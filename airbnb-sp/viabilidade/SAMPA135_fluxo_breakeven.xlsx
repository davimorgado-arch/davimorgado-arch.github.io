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remissas" sheetId="2" state="visible" r:id="rId4"/>
    <sheet name="Tabela SAMPA 135" sheetId="3" state="visible" r:id="rId5"/>
    <sheet name="Fluxo mens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<sst xmlns="http://schemas.openxmlformats.org/spreadsheetml/2006/main" count="192" uniqueCount="182">
  <si>
    <t xml:space="preserve">SAMPA 135 - Viabilidade e break-even do studio para Airbnb</t>
  </si>
  <si>
    <t xml:space="preserve">Valores nominais em R$. Todos os números vêm das abas Premissas e Fluxo mensal; mude as premissas e tudo recalcula.</t>
  </si>
  <si>
    <t xml:space="preserve">Unidade</t>
  </si>
  <si>
    <t xml:space="preserve">Final</t>
  </si>
  <si>
    <t xml:space="preserve">Área privativa (m²)</t>
  </si>
  <si>
    <t xml:space="preserve">Preço de tabela</t>
  </si>
  <si>
    <t xml:space="preserve">Preço por m²</t>
  </si>
  <si>
    <t xml:space="preserve">Até as chaves (jan/27 a ago/28)</t>
  </si>
  <si>
    <t xml:space="preserve">Pago à incorporadora até as chaves (corrigido INCC)</t>
  </si>
  <si>
    <t xml:space="preserve">ITBI + registro</t>
  </si>
  <si>
    <t xml:space="preserve">Mobília</t>
  </si>
  <si>
    <t xml:space="preserve">Saldo financiado nas chaves (corrigido INCC)</t>
  </si>
  <si>
    <t xml:space="preserve">Operação</t>
  </si>
  <si>
    <t xml:space="preserve">Início do aluguel</t>
  </si>
  <si>
    <t xml:space="preserve">1ª parcela do financiamento</t>
  </si>
  <si>
    <t xml:space="preserve">Resultado mensal do imóvel após IR (1º mês pós ramp-up)</t>
  </si>
  <si>
    <t xml:space="preserve">Fluxo de caixa médio no 1º ano de aluguel (mês)</t>
  </si>
  <si>
    <t xml:space="preserve">Aporte máximo acumulado (pior momento do caixa)</t>
  </si>
  <si>
    <t xml:space="preserve">Mês do aporte máximo</t>
  </si>
  <si>
    <t xml:space="preserve">Break-even</t>
  </si>
  <si>
    <t xml:space="preserve">1) Operacional: aluguel líquido cobre a parcela</t>
  </si>
  <si>
    <t xml:space="preserve">2) Caixa: dinheiro investido volta (caixa acumulado ≥ 0)</t>
  </si>
  <si>
    <t xml:space="preserve">3) Patrimonial: vender devolve tudo (caixa + patrimônio ≥ 0)</t>
  </si>
  <si>
    <t xml:space="preserve">Fim do financiamento</t>
  </si>
  <si>
    <t xml:space="preserve">Fotografias</t>
  </si>
  <si>
    <t xml:space="preserve">Posição se vender 5 anos após as chaves</t>
  </si>
  <si>
    <t xml:space="preserve">Posição se vender 10 anos após as chaves</t>
  </si>
  <si>
    <t xml:space="preserve">Posição se vender 20 anos após as chaves</t>
  </si>
  <si>
    <t xml:space="preserve">Como ler:</t>
  </si>
  <si>
    <t xml:space="preserve">• Posição total = caixa acumulado (tudo que entrou menos tudo que saiu) + quanto sobraria vendendo o imóvel (após corretagem, saldo devedor e IR sobre o ganho).</t>
  </si>
  <si>
    <t xml:space="preserve">• Break-even patrimonial é o indicador do objetivo de alavancagem de patrimônio: a partir daí, vender devolve todo o dinheiro colocado.</t>
  </si>
  <si>
    <t xml:space="preserve">• Não inclui custo de oportunidade do dinheiro (ex.: o que o capital renderia no CDI).</t>
  </si>
  <si>
    <t xml:space="preserve">• Premissas não informadas pelo usuário (INCC, indexador pós-chaves, diária, ocupação, condomínio, mobília, valorização) estão na aba Premissas com a origem de cada número.</t>
  </si>
  <si>
    <t xml:space="preserve">Premissas do estudo - SAMPA 135 (studio para Airbnb)</t>
  </si>
  <si>
    <t xml:space="preserve">Edite só as células em azul (amarelo = premissas que mais mexem no resultado). Todo o resto é calculado.</t>
  </si>
  <si>
    <t xml:space="preserve">1. Unidade (da tabela da incorporadora)</t>
  </si>
  <si>
    <t xml:space="preserve">Final escolhido (lista)</t>
  </si>
  <si>
    <t xml:space="preserve">6, 7 e 8</t>
  </si>
  <si>
    <t xml:space="preserve">Escolha na lista. Padrão: 21,94 m², a mais próxima do foco de ~20 m².</t>
  </si>
  <si>
    <t xml:space="preserve">Entrada (ato)</t>
  </si>
  <si>
    <t xml:space="preserve">Parcela 30 e 60 dias (cada uma)</t>
  </si>
  <si>
    <t xml:space="preserve">2 parcelas desse valor (a soma fecha com o preço total)</t>
  </si>
  <si>
    <t xml:space="preserve">Parcela mensal (19x)</t>
  </si>
  <si>
    <t xml:space="preserve">Parcela semestral (3x)</t>
  </si>
  <si>
    <t xml:space="preserve">Parcela das chaves (ago/28)</t>
  </si>
  <si>
    <t xml:space="preserve">Saldo financiado na entrega (tabela)</t>
  </si>
  <si>
    <t xml:space="preserve">Preço total (tabela)</t>
  </si>
  <si>
    <t xml:space="preserve">2. Datas</t>
  </si>
  <si>
    <t xml:space="preserve">Data-base da tabela</t>
  </si>
  <si>
    <t xml:space="preserve">Valores da tabela são de set/2026 e corrigem pelo INCC até o pagamento</t>
  </si>
  <si>
    <t xml:space="preserve">Data da compra (assinatura)</t>
  </si>
  <si>
    <t xml:space="preserve">Informado pelo usuário: jan/27</t>
  </si>
  <si>
    <t xml:space="preserve">1ª parcela mensal</t>
  </si>
  <si>
    <t xml:space="preserve">Tabela: 19 mensais a partir de jan/27</t>
  </si>
  <si>
    <t xml:space="preserve">Nº de parcelas mensais</t>
  </si>
  <si>
    <t xml:space="preserve">1ª semestral</t>
  </si>
  <si>
    <t xml:space="preserve">Tabela: 3 semestrais a partir de jun/27</t>
  </si>
  <si>
    <t xml:space="preserve">2ª semestral</t>
  </si>
  <si>
    <t xml:space="preserve">3ª semestral</t>
  </si>
  <si>
    <t xml:space="preserve">Entrega das chaves</t>
  </si>
  <si>
    <t xml:space="preserve">Informado pelo usuário: ago/28</t>
  </si>
  <si>
    <t xml:space="preserve">Meses para mobiliar (sem aluguel)</t>
  </si>
  <si>
    <t xml:space="preserve">Informado pelo usuário: 2 meses</t>
  </si>
  <si>
    <t xml:space="preserve">Início do aluguel (Airbnb)</t>
  </si>
  <si>
    <t xml:space="preserve">3. Correções e financiamento</t>
  </si>
  <si>
    <t xml:space="preserve">INCC durante a obra (a.a.)</t>
  </si>
  <si>
    <t xml:space="preserve">Estimativa (INCC-FGV recente ~5-6% a.a.). Tabela: corrige mensalmente pelo INCC</t>
  </si>
  <si>
    <t xml:space="preserve">Juros do financiamento (a.a.)</t>
  </si>
  <si>
    <t xml:space="preserve">Derivado da tabela: parcelas 1 e 120 batem com SAC a 12% a.a.</t>
  </si>
  <si>
    <t xml:space="preserve">Prazo do financiamento (meses)</t>
  </si>
  <si>
    <t xml:space="preserve">Tabela: financiamento direto em 120x. Para simular banco, use 360 e a taxa do banco</t>
  </si>
  <si>
    <t xml:space="preserve">Correção do saldo pós-chaves (a.a.)</t>
  </si>
  <si>
    <t xml:space="preserve">Premissa: IPCA ~4%. A tabela não informa o indexador; confirmar com a incorporadora</t>
  </si>
  <si>
    <t xml:space="preserve">ITBI + escritura/registro (% do preço)</t>
  </si>
  <si>
    <t xml:space="preserve">ITBI SP 3% + registro ~1%. Pago nas chaves (tabela, nota D)</t>
  </si>
  <si>
    <t xml:space="preserve">Mobília, decoração e enxoval</t>
  </si>
  <si>
    <t xml:space="preserve">Estimativa para ~22 m². Dividido pelos meses de mobília</t>
  </si>
  <si>
    <t xml:space="preserve">4. Operação Airbnb (valores de hoje, corrigidos pela inflação)</t>
  </si>
  <si>
    <t xml:space="preserve">Diária média</t>
  </si>
  <si>
    <t xml:space="preserve">Cenário base do estudo (R$ 220-245 média SP). Ajuste conforme a região do prédio</t>
  </si>
  <si>
    <t xml:space="preserve">Ocupação média</t>
  </si>
  <si>
    <t xml:space="preserve">Mediana de SP: 61-63%</t>
  </si>
  <si>
    <t xml:space="preserve">Dias por mês</t>
  </si>
  <si>
    <t xml:space="preserve">Meses de ramp-up (início)</t>
  </si>
  <si>
    <t xml:space="preserve">Anúncio novo leva alguns meses para ganhar avaliações</t>
  </si>
  <si>
    <t xml:space="preserve">Ocupação no ramp-up (% da média)</t>
  </si>
  <si>
    <t xml:space="preserve">Taxa Airbnb (anfitrião)</t>
  </si>
  <si>
    <t xml:space="preserve">Modelo de taxa única do anfitrião</t>
  </si>
  <si>
    <t xml:space="preserve">Gestora (% da receita bruta)</t>
  </si>
  <si>
    <t xml:space="preserve">Mercado: 15-28%</t>
  </si>
  <si>
    <t xml:space="preserve">Condomínio + IPTU (mês)</t>
  </si>
  <si>
    <t xml:space="preserve">Estimativa. Pago a partir das chaves</t>
  </si>
  <si>
    <t xml:space="preserve">Luz, internet, streaming, amenities (mês)</t>
  </si>
  <si>
    <t xml:space="preserve">Manutenção e reposição (mês)</t>
  </si>
  <si>
    <t xml:space="preserve">Inflação de diária e custos (a.a.)</t>
  </si>
  <si>
    <t xml:space="preserve">IR sobre aluguel (alíquota marginal)</t>
  </si>
  <si>
    <t xml:space="preserve">Carnê-leão. Deduz Airbnb, gestora, condomínio e IPTU. Use 0 se não tiver outra renda tributável alta</t>
  </si>
  <si>
    <t xml:space="preserve">5. Valorização e venda</t>
  </si>
  <si>
    <t xml:space="preserve">Valorização do imóvel (a.a.)</t>
  </si>
  <si>
    <t xml:space="preserve">SP: +3,8% em 12 meses (FipeZap jul/26). Teste 3-8%</t>
  </si>
  <si>
    <t xml:space="preserve">Corretagem na venda</t>
  </si>
  <si>
    <t xml:space="preserve">IR sobre ganho de capital</t>
  </si>
  <si>
    <t xml:space="preserve">Sem fatores de redução (conservador)</t>
  </si>
  <si>
    <t xml:space="preserve">Taxas mensais equivalentes (calculadas)</t>
  </si>
  <si>
    <t xml:space="preserve">INCC ao mês</t>
  </si>
  <si>
    <t xml:space="preserve">Juros ao mês</t>
  </si>
  <si>
    <t xml:space="preserve">Correção do saldo ao mês</t>
  </si>
  <si>
    <t xml:space="preserve">Inflação ao mês</t>
  </si>
  <si>
    <t xml:space="preserve">Valorização ao mês</t>
  </si>
  <si>
    <t xml:space="preserve">SAMPA 135 - Tabela especial de pré-lançamento (set/2026)</t>
  </si>
  <si>
    <t xml:space="preserve">Setor Residencial R - 3º ao 15º pavimento. Valores em R$. Entrega estimada: ago/2028.</t>
  </si>
  <si>
    <t xml:space="preserve">Vagas</t>
  </si>
  <si>
    <t xml:space="preserve">Tipo</t>
  </si>
  <si>
    <t xml:space="preserve">Entrada</t>
  </si>
  <si>
    <t xml:space="preserve">Mensais 30/60 dias</t>
  </si>
  <si>
    <t xml:space="preserve">19 mensais (a partir de jan/27)</t>
  </si>
  <si>
    <t xml:space="preserve">3 semestrais (a partir de jun/27)</t>
  </si>
  <si>
    <t xml:space="preserve">1 mensal (ago/28)</t>
  </si>
  <si>
    <t xml:space="preserve">Financiamento direto total (ago/28)</t>
  </si>
  <si>
    <t xml:space="preserve">Preço total</t>
  </si>
  <si>
    <t xml:space="preserve">Fin. direto parcela 1 de 120</t>
  </si>
  <si>
    <t xml:space="preserve">Fin. direto parcela 120 de 120</t>
  </si>
  <si>
    <t xml:space="preserve">Marca vermelha na tabela original</t>
  </si>
  <si>
    <t xml:space="preserve">1</t>
  </si>
  <si>
    <t xml:space="preserve">XXIV</t>
  </si>
  <si>
    <t xml:space="preserve">2</t>
  </si>
  <si>
    <t xml:space="preserve">XXV</t>
  </si>
  <si>
    <t xml:space="preserve">3</t>
  </si>
  <si>
    <t xml:space="preserve">XXVI</t>
  </si>
  <si>
    <t xml:space="preserve">4</t>
  </si>
  <si>
    <t xml:space="preserve">XXVII</t>
  </si>
  <si>
    <t xml:space="preserve">5</t>
  </si>
  <si>
    <t xml:space="preserve">XXVIII</t>
  </si>
  <si>
    <t xml:space="preserve">Sim</t>
  </si>
  <si>
    <t xml:space="preserve">XXIX</t>
  </si>
  <si>
    <t xml:space="preserve">9</t>
  </si>
  <si>
    <t xml:space="preserve">XXX</t>
  </si>
  <si>
    <t xml:space="preserve">10</t>
  </si>
  <si>
    <t xml:space="preserve">XXXI</t>
  </si>
  <si>
    <t xml:space="preserve">11</t>
  </si>
  <si>
    <t xml:space="preserve">XXXII</t>
  </si>
  <si>
    <t xml:space="preserve">12</t>
  </si>
  <si>
    <t xml:space="preserve">XXXIII</t>
  </si>
  <si>
    <t xml:space="preserve">Notas</t>
  </si>
  <si>
    <t xml:space="preserve">A) Valores em reais.</t>
  </si>
  <si>
    <t xml:space="preserve">B) Corrigidos mensalmente pelo INCC-FGV até a assinatura do contrato, e demais condições após essa data.</t>
  </si>
  <si>
    <t xml:space="preserve">C) Parcelas a partir de ago/2028 incluem juros.</t>
  </si>
  <si>
    <t xml:space="preserve">D) Custos de escritura (ITBI, registro) por conta do comprador.</t>
  </si>
  <si>
    <t xml:space="preserve">F) A tabela pode ser alterada sem aviso prévio.</t>
  </si>
  <si>
    <t xml:space="preserve">G) Previsão de entrega: agosto/2028.</t>
  </si>
  <si>
    <t xml:space="preserve">Fonte: tabela de pré-lançamento SAMPA 135 (set/2026) enviada pelo usuário. Valores copiados sem alteração.</t>
  </si>
  <si>
    <t xml:space="preserve">Fluxo mensal - pagamento, operação e break-even (R$ nominais)</t>
  </si>
  <si>
    <t xml:space="preserve">Saídas negativas no fluxo de caixa. Pagamentos da obra corrigidos pelo INCC desde a data-base da tabela; financiamento SAC com correção do saldo; receita e custos corrigidos pela inflação.</t>
  </si>
  <si>
    <t xml:space="preserve">Mês</t>
  </si>
  <si>
    <t xml:space="preserve">Fase</t>
  </si>
  <si>
    <t xml:space="preserve">Meses desde a tabela</t>
  </si>
  <si>
    <t xml:space="preserve">Pagto incorporadora (tabela)</t>
  </si>
  <si>
    <t xml:space="preserve">Fator INCC</t>
  </si>
  <si>
    <t xml:space="preserve">Pagto incorporadora corrigido</t>
  </si>
  <si>
    <t xml:space="preserve">Nº parcela financ.</t>
  </si>
  <si>
    <t xml:space="preserve">Saldo corrigido</t>
  </si>
  <si>
    <t xml:space="preserve">Juros</t>
  </si>
  <si>
    <t xml:space="preserve">Amortização</t>
  </si>
  <si>
    <t xml:space="preserve">Parcela financiamento</t>
  </si>
  <si>
    <t xml:space="preserve">Saldo devedor</t>
  </si>
  <si>
    <t xml:space="preserve">Ocupação</t>
  </si>
  <si>
    <t xml:space="preserve">Receita bruta</t>
  </si>
  <si>
    <t xml:space="preserve">Taxa Airbnb</t>
  </si>
  <si>
    <t xml:space="preserve">Gestora</t>
  </si>
  <si>
    <t xml:space="preserve">Condomínio + IPTU</t>
  </si>
  <si>
    <t xml:space="preserve">Contas</t>
  </si>
  <si>
    <t xml:space="preserve">Manutenção</t>
  </si>
  <si>
    <t xml:space="preserve">IR</t>
  </si>
  <si>
    <t xml:space="preserve">Resultado do imóvel (após IR)</t>
  </si>
  <si>
    <t xml:space="preserve">Fluxo de caixa do mês</t>
  </si>
  <si>
    <t xml:space="preserve">Caixa acumulado</t>
  </si>
  <si>
    <t xml:space="preserve">Valor de mercado</t>
  </si>
  <si>
    <t xml:space="preserve">Patrimônio líquido se vender</t>
  </si>
  <si>
    <t xml:space="preserve">Posição total (caixa + patrimônio)</t>
  </si>
  <si>
    <t xml:space="preserve">Flag: aluguel cobre parcela</t>
  </si>
  <si>
    <t xml:space="preserve">Flag: caixa acumulado ≥ 0</t>
  </si>
  <si>
    <t xml:space="preserve">Flag: posição ≥ 0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</si>
</sst>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&quot;R$ &quot;#,##0;&quot;(R$ &quot;#,##0\);\-"/>
    <numFmt numFmtId="167" formatCode="mmm/yy"/>
    <numFmt numFmtId="168" formatCode="&quot;R$ &quot;#,##0"/>
    <numFmt numFmtId="169" formatCode="0"/>
    <numFmt numFmtId="170" formatCode="0.0%;\(0.0%\);\-"/>
    <numFmt numFmtId="171" formatCode="0.000%"/>
    <numFmt numFmtId="172" formatCode="&quot;R$ &quot;#,##0.00;&quot;(R$ &quot;#,##0.00\);\-"/>
    <numFmt numFmtId="173" formatCode="0;\-0;\-"/>
    <numFmt numFmtId="174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9"/>
      <color rgb="FF6B6A64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DEAE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2A2E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D0CCC2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F6B3A"/>
      <rgbColor rgb="FF000080"/>
      <rgbColor rgb="FF808000"/>
      <rgbColor rgb="FF800080"/>
      <rgbColor rgb="FF008080"/>
      <rgbColor rgb="FFD0CCC2"/>
      <rgbColor rgb="FF878787"/>
      <rgbColor rgb="FF9999FF"/>
      <rgbColor rgb="FF993366"/>
      <rgbColor rgb="FFEDEAE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A64"/>
      <rgbColor rgb="FF969696"/>
      <rgbColor rgb="FF003366"/>
      <rgbColor rgb="FF339966"/>
      <rgbColor rgb="FF003300"/>
      <rgbColor rgb="FF333300"/>
      <rgbColor rgb="FFB4441F"/>
      <rgbColor rgb="FF993366"/>
      <rgbColor rgb="FF333399"/>
      <rgbColor rgb="FF1F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Caixa acumulado x posição total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'Fluxo mensal'!Y4</c:f>
              <c:strCache>
                <c:ptCount val="1"/>
                <c:pt idx="0">
                  <c:v>Caixa acumulado</c:v>
                </c:pt>
              </c:strCache>
            </c:strRef>
          </c:tx>
          <c:spPr>
            <a:solidFill>
              <a:srgbClr val="b4441f"/>
            </a:solidFill>
            <a:ln w="21960">
              <a:solidFill>
                <a:srgbClr val="b4441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'Fluxo mensal'!$A$5:$A$388</c:f>
              <c:strCache>
                <c:ptCount val="384"/>
                <c:pt idx="0">
                  <c:v>Jan/27</c:v>
                </c:pt>
                <c:pt idx="1">
                  <c:v>Feb/27</c:v>
                </c:pt>
                <c:pt idx="2">
                  <c:v>Mar/27</c:v>
                </c:pt>
                <c:pt idx="3">
                  <c:v>Apr/27</c:v>
                </c:pt>
                <c:pt idx="4">
                  <c:v>May/27</c:v>
                </c:pt>
                <c:pt idx="5">
                  <c:v>Jun/27</c:v>
                </c:pt>
                <c:pt idx="6">
                  <c:v>Jul/27</c:v>
                </c:pt>
                <c:pt idx="7">
                  <c:v>Aug/27</c:v>
                </c:pt>
                <c:pt idx="8">
                  <c:v>Sep/27</c:v>
                </c:pt>
                <c:pt idx="9">
                  <c:v>Oct/27</c:v>
                </c:pt>
                <c:pt idx="10">
                  <c:v>Nov/27</c:v>
                </c:pt>
                <c:pt idx="11">
                  <c:v>Dec/27</c:v>
                </c:pt>
                <c:pt idx="12">
                  <c:v>Jan/28</c:v>
                </c:pt>
                <c:pt idx="13">
                  <c:v>Feb/28</c:v>
                </c:pt>
                <c:pt idx="14">
                  <c:v>Mar/28</c:v>
                </c:pt>
                <c:pt idx="15">
                  <c:v>Apr/28</c:v>
                </c:pt>
                <c:pt idx="16">
                  <c:v>May/28</c:v>
                </c:pt>
                <c:pt idx="17">
                  <c:v>Jun/28</c:v>
                </c:pt>
                <c:pt idx="18">
                  <c:v>Jul/28</c:v>
                </c:pt>
                <c:pt idx="19">
                  <c:v>Aug/28</c:v>
                </c:pt>
                <c:pt idx="20">
                  <c:v>Sep/28</c:v>
                </c:pt>
                <c:pt idx="21">
                  <c:v>Oct/28</c:v>
                </c:pt>
                <c:pt idx="22">
                  <c:v>Nov/28</c:v>
                </c:pt>
                <c:pt idx="23">
                  <c:v>Dec/28</c:v>
                </c:pt>
                <c:pt idx="24">
                  <c:v>Jan/29</c:v>
                </c:pt>
                <c:pt idx="25">
                  <c:v>Feb/29</c:v>
                </c:pt>
                <c:pt idx="26">
                  <c:v>Mar/29</c:v>
                </c:pt>
                <c:pt idx="27">
                  <c:v>Apr/29</c:v>
                </c:pt>
                <c:pt idx="28">
                  <c:v>May/29</c:v>
                </c:pt>
                <c:pt idx="29">
                  <c:v>Jun/29</c:v>
                </c:pt>
                <c:pt idx="30">
                  <c:v>Jul/29</c:v>
                </c:pt>
                <c:pt idx="31">
                  <c:v>Aug/29</c:v>
                </c:pt>
                <c:pt idx="32">
                  <c:v>Sep/29</c:v>
                </c:pt>
                <c:pt idx="33">
                  <c:v>Oct/29</c:v>
                </c:pt>
                <c:pt idx="34">
                  <c:v>Nov/29</c:v>
                </c:pt>
                <c:pt idx="35">
                  <c:v>Dec/29</c:v>
                </c:pt>
                <c:pt idx="36">
                  <c:v>Jan/30</c:v>
                </c:pt>
                <c:pt idx="37">
                  <c:v>Feb/30</c:v>
                </c:pt>
                <c:pt idx="38">
                  <c:v>Mar/30</c:v>
                </c:pt>
                <c:pt idx="39">
                  <c:v>Apr/30</c:v>
                </c:pt>
                <c:pt idx="40">
                  <c:v>May/30</c:v>
                </c:pt>
                <c:pt idx="41">
                  <c:v>Jun/30</c:v>
                </c:pt>
                <c:pt idx="42">
                  <c:v>Jul/30</c:v>
                </c:pt>
                <c:pt idx="43">
                  <c:v>Aug/30</c:v>
                </c:pt>
                <c:pt idx="44">
                  <c:v>Sep/30</c:v>
                </c:pt>
                <c:pt idx="45">
                  <c:v>Oct/30</c:v>
                </c:pt>
                <c:pt idx="46">
                  <c:v>Nov/30</c:v>
                </c:pt>
                <c:pt idx="47">
                  <c:v>Dec/30</c:v>
                </c:pt>
                <c:pt idx="48">
                  <c:v>Jan/31</c:v>
                </c:pt>
                <c:pt idx="49">
                  <c:v>Feb/31</c:v>
                </c:pt>
                <c:pt idx="50">
                  <c:v>Mar/31</c:v>
                </c:pt>
                <c:pt idx="51">
                  <c:v>Apr/31</c:v>
                </c:pt>
                <c:pt idx="52">
                  <c:v>May/31</c:v>
                </c:pt>
                <c:pt idx="53">
                  <c:v>Jun/31</c:v>
                </c:pt>
                <c:pt idx="54">
                  <c:v>Jul/31</c:v>
                </c:pt>
                <c:pt idx="55">
                  <c:v>Aug/31</c:v>
                </c:pt>
                <c:pt idx="56">
                  <c:v>Sep/31</c:v>
                </c:pt>
                <c:pt idx="57">
                  <c:v>Oct/31</c:v>
                </c:pt>
                <c:pt idx="58">
                  <c:v>Nov/31</c:v>
                </c:pt>
                <c:pt idx="59">
                  <c:v>Dec/31</c:v>
                </c:pt>
                <c:pt idx="60">
                  <c:v>Jan/32</c:v>
                </c:pt>
                <c:pt idx="61">
                  <c:v>Feb/32</c:v>
                </c:pt>
                <c:pt idx="62">
                  <c:v>Mar/32</c:v>
                </c:pt>
                <c:pt idx="63">
                  <c:v>Apr/32</c:v>
                </c:pt>
                <c:pt idx="64">
                  <c:v>May/32</c:v>
                </c:pt>
                <c:pt idx="65">
                  <c:v>Jun/32</c:v>
                </c:pt>
                <c:pt idx="66">
                  <c:v>Jul/32</c:v>
                </c:pt>
                <c:pt idx="67">
                  <c:v>Aug/32</c:v>
                </c:pt>
                <c:pt idx="68">
                  <c:v>Sep/32</c:v>
                </c:pt>
                <c:pt idx="69">
                  <c:v>Oct/32</c:v>
                </c:pt>
                <c:pt idx="70">
                  <c:v>Nov/32</c:v>
                </c:pt>
                <c:pt idx="71">
                  <c:v>Dec/32</c:v>
                </c:pt>
                <c:pt idx="72">
                  <c:v>Jan/33</c:v>
                </c:pt>
                <c:pt idx="73">
                  <c:v>Feb/33</c:v>
                </c:pt>
                <c:pt idx="74">
                  <c:v>Mar/33</c:v>
                </c:pt>
                <c:pt idx="75">
                  <c:v>Apr/33</c:v>
                </c:pt>
                <c:pt idx="76">
                  <c:v>May/33</c:v>
                </c:pt>
                <c:pt idx="77">
                  <c:v>Jun/33</c:v>
                </c:pt>
                <c:pt idx="78">
                  <c:v>Jul/33</c:v>
                </c:pt>
                <c:pt idx="79">
                  <c:v>Aug/33</c:v>
                </c:pt>
                <c:pt idx="80">
                  <c:v>Sep/33</c:v>
                </c:pt>
                <c:pt idx="81">
                  <c:v>Oct/33</c:v>
                </c:pt>
                <c:pt idx="82">
                  <c:v>Nov/33</c:v>
                </c:pt>
                <c:pt idx="83">
                  <c:v>Dec/33</c:v>
                </c:pt>
                <c:pt idx="84">
                  <c:v>Jan/34</c:v>
                </c:pt>
                <c:pt idx="85">
                  <c:v>Feb/34</c:v>
                </c:pt>
                <c:pt idx="86">
                  <c:v>Mar/34</c:v>
                </c:pt>
                <c:pt idx="87">
                  <c:v>Apr/34</c:v>
                </c:pt>
                <c:pt idx="88">
                  <c:v>May/34</c:v>
                </c:pt>
                <c:pt idx="89">
                  <c:v>Jun/34</c:v>
                </c:pt>
                <c:pt idx="90">
                  <c:v>Jul/34</c:v>
                </c:pt>
                <c:pt idx="91">
                  <c:v>Aug/34</c:v>
                </c:pt>
                <c:pt idx="92">
                  <c:v>Sep/34</c:v>
                </c:pt>
                <c:pt idx="93">
                  <c:v>Oct/34</c:v>
                </c:pt>
                <c:pt idx="94">
                  <c:v>Nov/34</c:v>
                </c:pt>
                <c:pt idx="95">
                  <c:v>Dec/34</c:v>
                </c:pt>
                <c:pt idx="96">
                  <c:v>Jan/35</c:v>
                </c:pt>
                <c:pt idx="97">
                  <c:v>Feb/35</c:v>
                </c:pt>
                <c:pt idx="98">
                  <c:v>Mar/35</c:v>
                </c:pt>
                <c:pt idx="99">
                  <c:v>Apr/35</c:v>
                </c:pt>
                <c:pt idx="100">
                  <c:v>May/35</c:v>
                </c:pt>
                <c:pt idx="101">
                  <c:v>Jun/35</c:v>
                </c:pt>
                <c:pt idx="102">
                  <c:v>Jul/35</c:v>
                </c:pt>
                <c:pt idx="103">
                  <c:v>Aug/35</c:v>
                </c:pt>
                <c:pt idx="104">
                  <c:v>Sep/35</c:v>
                </c:pt>
                <c:pt idx="105">
                  <c:v>Oct/35</c:v>
                </c:pt>
                <c:pt idx="106">
                  <c:v>Nov/35</c:v>
                </c:pt>
                <c:pt idx="107">
                  <c:v>Dec/35</c:v>
                </c:pt>
                <c:pt idx="108">
                  <c:v>Jan/36</c:v>
                </c:pt>
                <c:pt idx="109">
                  <c:v>Feb/36</c:v>
                </c:pt>
                <c:pt idx="110">
                  <c:v>Mar/36</c:v>
                </c:pt>
                <c:pt idx="111">
                  <c:v>Apr/36</c:v>
                </c:pt>
                <c:pt idx="112">
                  <c:v>May/36</c:v>
                </c:pt>
                <c:pt idx="113">
                  <c:v>Jun/36</c:v>
                </c:pt>
                <c:pt idx="114">
                  <c:v>Jul/36</c:v>
                </c:pt>
                <c:pt idx="115">
                  <c:v>Aug/36</c:v>
                </c:pt>
                <c:pt idx="116">
                  <c:v>Sep/36</c:v>
                </c:pt>
                <c:pt idx="117">
                  <c:v>Oct/36</c:v>
                </c:pt>
                <c:pt idx="118">
                  <c:v>Nov/36</c:v>
                </c:pt>
                <c:pt idx="119">
                  <c:v>Dec/36</c:v>
                </c:pt>
                <c:pt idx="120">
                  <c:v>Jan/37</c:v>
                </c:pt>
                <c:pt idx="121">
                  <c:v>Feb/37</c:v>
                </c:pt>
                <c:pt idx="122">
                  <c:v>Mar/37</c:v>
                </c:pt>
                <c:pt idx="123">
                  <c:v>Apr/37</c:v>
                </c:pt>
                <c:pt idx="124">
                  <c:v>May/37</c:v>
                </c:pt>
                <c:pt idx="125">
                  <c:v>Jun/37</c:v>
                </c:pt>
                <c:pt idx="126">
                  <c:v>Jul/37</c:v>
                </c:pt>
                <c:pt idx="127">
                  <c:v>Aug/37</c:v>
                </c:pt>
                <c:pt idx="128">
                  <c:v>Sep/37</c:v>
                </c:pt>
                <c:pt idx="129">
                  <c:v>Oct/37</c:v>
                </c:pt>
                <c:pt idx="130">
                  <c:v>Nov/37</c:v>
                </c:pt>
                <c:pt idx="131">
                  <c:v>Dec/37</c:v>
                </c:pt>
                <c:pt idx="132">
                  <c:v>Jan/38</c:v>
                </c:pt>
                <c:pt idx="133">
                  <c:v>Feb/38</c:v>
                </c:pt>
                <c:pt idx="134">
                  <c:v>Mar/38</c:v>
                </c:pt>
                <c:pt idx="135">
                  <c:v>Apr/38</c:v>
                </c:pt>
                <c:pt idx="136">
                  <c:v>May/38</c:v>
                </c:pt>
                <c:pt idx="137">
                  <c:v>Jun/38</c:v>
                </c:pt>
                <c:pt idx="138">
                  <c:v>Jul/38</c:v>
                </c:pt>
                <c:pt idx="139">
                  <c:v>Aug/38</c:v>
                </c:pt>
                <c:pt idx="140">
                  <c:v>Sep/38</c:v>
                </c:pt>
                <c:pt idx="141">
                  <c:v>Oct/38</c:v>
                </c:pt>
                <c:pt idx="142">
                  <c:v>Nov/38</c:v>
                </c:pt>
                <c:pt idx="143">
                  <c:v>Dec/38</c:v>
                </c:pt>
                <c:pt idx="144">
                  <c:v>Jan/39</c:v>
                </c:pt>
                <c:pt idx="145">
                  <c:v>Feb/39</c:v>
                </c:pt>
                <c:pt idx="146">
                  <c:v>Mar/39</c:v>
                </c:pt>
                <c:pt idx="147">
                  <c:v>Apr/39</c:v>
                </c:pt>
                <c:pt idx="148">
                  <c:v>May/39</c:v>
                </c:pt>
                <c:pt idx="149">
                  <c:v>Jun/39</c:v>
                </c:pt>
                <c:pt idx="150">
                  <c:v>Jul/39</c:v>
                </c:pt>
                <c:pt idx="151">
                  <c:v>Aug/39</c:v>
                </c:pt>
                <c:pt idx="152">
                  <c:v>Sep/39</c:v>
                </c:pt>
                <c:pt idx="153">
                  <c:v>Oct/39</c:v>
                </c:pt>
                <c:pt idx="154">
                  <c:v>Nov/39</c:v>
                </c:pt>
                <c:pt idx="155">
                  <c:v>Dec/39</c:v>
                </c:pt>
                <c:pt idx="156">
                  <c:v>Jan/40</c:v>
                </c:pt>
                <c:pt idx="157">
                  <c:v>Feb/40</c:v>
                </c:pt>
                <c:pt idx="158">
                  <c:v>Mar/40</c:v>
                </c:pt>
                <c:pt idx="159">
                  <c:v>Apr/40</c:v>
                </c:pt>
                <c:pt idx="160">
                  <c:v>May/40</c:v>
                </c:pt>
                <c:pt idx="161">
                  <c:v>Jun/40</c:v>
                </c:pt>
                <c:pt idx="162">
                  <c:v>Jul/40</c:v>
                </c:pt>
                <c:pt idx="163">
                  <c:v>Aug/40</c:v>
                </c:pt>
                <c:pt idx="164">
                  <c:v>Sep/40</c:v>
                </c:pt>
                <c:pt idx="165">
                  <c:v>Oct/40</c:v>
                </c:pt>
                <c:pt idx="166">
                  <c:v>Nov/40</c:v>
                </c:pt>
                <c:pt idx="167">
                  <c:v>Dec/40</c:v>
                </c:pt>
                <c:pt idx="168">
                  <c:v>Jan/41</c:v>
                </c:pt>
                <c:pt idx="169">
                  <c:v>Feb/41</c:v>
                </c:pt>
                <c:pt idx="170">
                  <c:v>Mar/41</c:v>
                </c:pt>
                <c:pt idx="171">
                  <c:v>Apr/41</c:v>
                </c:pt>
                <c:pt idx="172">
                  <c:v>May/41</c:v>
                </c:pt>
                <c:pt idx="173">
                  <c:v>Jun/41</c:v>
                </c:pt>
                <c:pt idx="174">
                  <c:v>Jul/41</c:v>
                </c:pt>
                <c:pt idx="175">
                  <c:v>Aug/41</c:v>
                </c:pt>
                <c:pt idx="176">
                  <c:v>Sep/41</c:v>
                </c:pt>
                <c:pt idx="177">
                  <c:v>Oct/41</c:v>
                </c:pt>
                <c:pt idx="178">
                  <c:v>Nov/41</c:v>
                </c:pt>
                <c:pt idx="179">
                  <c:v>Dec/41</c:v>
                </c:pt>
                <c:pt idx="180">
                  <c:v>Jan/42</c:v>
                </c:pt>
                <c:pt idx="181">
                  <c:v>Feb/42</c:v>
                </c:pt>
                <c:pt idx="182">
                  <c:v>Mar/42</c:v>
                </c:pt>
                <c:pt idx="183">
                  <c:v>Apr/42</c:v>
                </c:pt>
                <c:pt idx="184">
                  <c:v>May/42</c:v>
                </c:pt>
                <c:pt idx="185">
                  <c:v>Jun/42</c:v>
                </c:pt>
                <c:pt idx="186">
                  <c:v>Jul/42</c:v>
                </c:pt>
                <c:pt idx="187">
                  <c:v>Aug/42</c:v>
                </c:pt>
                <c:pt idx="188">
                  <c:v>Sep/42</c:v>
                </c:pt>
                <c:pt idx="189">
                  <c:v>Oct/42</c:v>
                </c:pt>
                <c:pt idx="190">
                  <c:v>Nov/42</c:v>
                </c:pt>
                <c:pt idx="191">
                  <c:v>Dec/42</c:v>
                </c:pt>
                <c:pt idx="192">
                  <c:v>Jan/43</c:v>
                </c:pt>
                <c:pt idx="193">
                  <c:v>Feb/43</c:v>
                </c:pt>
                <c:pt idx="194">
                  <c:v>Mar/43</c:v>
                </c:pt>
                <c:pt idx="195">
                  <c:v>Apr/43</c:v>
                </c:pt>
                <c:pt idx="196">
                  <c:v>May/43</c:v>
                </c:pt>
                <c:pt idx="197">
                  <c:v>Jun/43</c:v>
                </c:pt>
                <c:pt idx="198">
                  <c:v>Jul/43</c:v>
                </c:pt>
                <c:pt idx="199">
                  <c:v>Aug/43</c:v>
                </c:pt>
                <c:pt idx="200">
                  <c:v>Sep/43</c:v>
                </c:pt>
                <c:pt idx="201">
                  <c:v>Oct/43</c:v>
                </c:pt>
                <c:pt idx="202">
                  <c:v>Nov/43</c:v>
                </c:pt>
                <c:pt idx="203">
                  <c:v>Dec/43</c:v>
                </c:pt>
                <c:pt idx="204">
                  <c:v>Jan/44</c:v>
                </c:pt>
                <c:pt idx="205">
                  <c:v>Feb/44</c:v>
                </c:pt>
                <c:pt idx="206">
                  <c:v>Mar/44</c:v>
                </c:pt>
                <c:pt idx="207">
                  <c:v>Apr/44</c:v>
                </c:pt>
                <c:pt idx="208">
                  <c:v>May/44</c:v>
                </c:pt>
                <c:pt idx="209">
                  <c:v>Jun/44</c:v>
                </c:pt>
                <c:pt idx="210">
                  <c:v>Jul/44</c:v>
                </c:pt>
                <c:pt idx="211">
                  <c:v>Aug/44</c:v>
                </c:pt>
                <c:pt idx="212">
                  <c:v>Sep/44</c:v>
                </c:pt>
                <c:pt idx="213">
                  <c:v>Oct/44</c:v>
                </c:pt>
                <c:pt idx="214">
                  <c:v>Nov/44</c:v>
                </c:pt>
                <c:pt idx="215">
                  <c:v>Dec/44</c:v>
                </c:pt>
                <c:pt idx="216">
                  <c:v>Jan/45</c:v>
                </c:pt>
                <c:pt idx="217">
                  <c:v>Feb/45</c:v>
                </c:pt>
                <c:pt idx="218">
                  <c:v>Mar/45</c:v>
                </c:pt>
                <c:pt idx="219">
                  <c:v>Apr/45</c:v>
                </c:pt>
                <c:pt idx="220">
                  <c:v>May/45</c:v>
                </c:pt>
                <c:pt idx="221">
                  <c:v>Jun/45</c:v>
                </c:pt>
                <c:pt idx="222">
                  <c:v>Jul/45</c:v>
                </c:pt>
                <c:pt idx="223">
                  <c:v>Aug/45</c:v>
                </c:pt>
                <c:pt idx="224">
                  <c:v>Sep/45</c:v>
                </c:pt>
                <c:pt idx="225">
                  <c:v>Oct/45</c:v>
                </c:pt>
                <c:pt idx="226">
                  <c:v>Nov/45</c:v>
                </c:pt>
                <c:pt idx="227">
                  <c:v>Dec/45</c:v>
                </c:pt>
                <c:pt idx="228">
                  <c:v>Jan/46</c:v>
                </c:pt>
                <c:pt idx="229">
                  <c:v>Feb/46</c:v>
                </c:pt>
                <c:pt idx="230">
                  <c:v>Mar/46</c:v>
                </c:pt>
                <c:pt idx="231">
                  <c:v>Apr/46</c:v>
                </c:pt>
                <c:pt idx="232">
                  <c:v>May/46</c:v>
                </c:pt>
                <c:pt idx="233">
                  <c:v>Jun/46</c:v>
                </c:pt>
                <c:pt idx="234">
                  <c:v>Jul/46</c:v>
                </c:pt>
                <c:pt idx="235">
                  <c:v>Aug/46</c:v>
                </c:pt>
                <c:pt idx="236">
                  <c:v>Sep/46</c:v>
                </c:pt>
                <c:pt idx="237">
                  <c:v>Oct/46</c:v>
                </c:pt>
                <c:pt idx="238">
                  <c:v>Nov/46</c:v>
                </c:pt>
                <c:pt idx="239">
                  <c:v>Dec/46</c:v>
                </c:pt>
                <c:pt idx="240">
                  <c:v>Jan/47</c:v>
                </c:pt>
                <c:pt idx="241">
                  <c:v>Feb/47</c:v>
                </c:pt>
                <c:pt idx="242">
                  <c:v>Mar/47</c:v>
                </c:pt>
                <c:pt idx="243">
                  <c:v>Apr/47</c:v>
                </c:pt>
                <c:pt idx="244">
                  <c:v>May/47</c:v>
                </c:pt>
                <c:pt idx="245">
                  <c:v>Jun/47</c:v>
                </c:pt>
                <c:pt idx="246">
                  <c:v>Jul/47</c:v>
                </c:pt>
                <c:pt idx="247">
                  <c:v>Aug/47</c:v>
                </c:pt>
                <c:pt idx="248">
                  <c:v>Sep/47</c:v>
                </c:pt>
                <c:pt idx="249">
                  <c:v>Oct/47</c:v>
                </c:pt>
                <c:pt idx="250">
                  <c:v>Nov/47</c:v>
                </c:pt>
                <c:pt idx="251">
                  <c:v>Dec/47</c:v>
                </c:pt>
                <c:pt idx="252">
                  <c:v>Jan/48</c:v>
                </c:pt>
                <c:pt idx="253">
                  <c:v>Feb/48</c:v>
                </c:pt>
                <c:pt idx="254">
                  <c:v>Mar/48</c:v>
                </c:pt>
                <c:pt idx="255">
                  <c:v>Apr/48</c:v>
                </c:pt>
                <c:pt idx="256">
                  <c:v>May/48</c:v>
                </c:pt>
                <c:pt idx="257">
                  <c:v>Jun/48</c:v>
                </c:pt>
                <c:pt idx="258">
                  <c:v>Jul/48</c:v>
                </c:pt>
                <c:pt idx="259">
                  <c:v>Aug/48</c:v>
                </c:pt>
                <c:pt idx="260">
                  <c:v>Sep/48</c:v>
                </c:pt>
                <c:pt idx="261">
                  <c:v>Oct/48</c:v>
                </c:pt>
                <c:pt idx="262">
                  <c:v>Nov/48</c:v>
                </c:pt>
                <c:pt idx="263">
                  <c:v>Dec/48</c:v>
                </c:pt>
                <c:pt idx="264">
                  <c:v>Jan/49</c:v>
                </c:pt>
                <c:pt idx="265">
                  <c:v>Feb/49</c:v>
                </c:pt>
                <c:pt idx="266">
                  <c:v>Mar/49</c:v>
                </c:pt>
                <c:pt idx="267">
                  <c:v>Apr/49</c:v>
                </c:pt>
                <c:pt idx="268">
                  <c:v>May/49</c:v>
                </c:pt>
                <c:pt idx="269">
                  <c:v>Jun/49</c:v>
                </c:pt>
                <c:pt idx="270">
                  <c:v>Jul/49</c:v>
                </c:pt>
                <c:pt idx="271">
                  <c:v>Aug/49</c:v>
                </c:pt>
                <c:pt idx="272">
                  <c:v>Sep/49</c:v>
                </c:pt>
                <c:pt idx="273">
                  <c:v>Oct/49</c:v>
                </c:pt>
                <c:pt idx="274">
                  <c:v>Nov/49</c:v>
                </c:pt>
                <c:pt idx="275">
                  <c:v>Dec/49</c:v>
                </c:pt>
                <c:pt idx="276">
                  <c:v>Jan/50</c:v>
                </c:pt>
                <c:pt idx="277">
                  <c:v>Feb/50</c:v>
                </c:pt>
                <c:pt idx="278">
                  <c:v>Mar/50</c:v>
                </c:pt>
                <c:pt idx="279">
                  <c:v>Apr/50</c:v>
                </c:pt>
                <c:pt idx="280">
                  <c:v>May/50</c:v>
                </c:pt>
                <c:pt idx="281">
                  <c:v>Jun/50</c:v>
                </c:pt>
                <c:pt idx="282">
                  <c:v>Jul/50</c:v>
                </c:pt>
                <c:pt idx="283">
                  <c:v>Aug/50</c:v>
                </c:pt>
                <c:pt idx="284">
                  <c:v>Sep/50</c:v>
                </c:pt>
                <c:pt idx="285">
                  <c:v>Oct/50</c:v>
                </c:pt>
                <c:pt idx="286">
                  <c:v>Nov/50</c:v>
                </c:pt>
                <c:pt idx="287">
                  <c:v>Dec/50</c:v>
                </c:pt>
                <c:pt idx="288">
                  <c:v>Jan/51</c:v>
                </c:pt>
                <c:pt idx="289">
                  <c:v>Feb/51</c:v>
                </c:pt>
                <c:pt idx="290">
                  <c:v>Mar/51</c:v>
                </c:pt>
                <c:pt idx="291">
                  <c:v>Apr/51</c:v>
                </c:pt>
                <c:pt idx="292">
                  <c:v>May/51</c:v>
                </c:pt>
                <c:pt idx="293">
                  <c:v>Jun/51</c:v>
                </c:pt>
                <c:pt idx="294">
                  <c:v>Jul/51</c:v>
                </c:pt>
                <c:pt idx="295">
                  <c:v>Aug/51</c:v>
                </c:pt>
                <c:pt idx="296">
                  <c:v>Sep/51</c:v>
                </c:pt>
                <c:pt idx="297">
                  <c:v>Oct/51</c:v>
                </c:pt>
                <c:pt idx="298">
                  <c:v>Nov/51</c:v>
                </c:pt>
                <c:pt idx="299">
                  <c:v>Dec/51</c:v>
                </c:pt>
                <c:pt idx="300">
                  <c:v>Jan/52</c:v>
                </c:pt>
                <c:pt idx="301">
                  <c:v>Feb/52</c:v>
                </c:pt>
                <c:pt idx="302">
                  <c:v>Mar/52</c:v>
                </c:pt>
                <c:pt idx="303">
                  <c:v>Apr/52</c:v>
                </c:pt>
                <c:pt idx="304">
                  <c:v>May/52</c:v>
                </c:pt>
                <c:pt idx="305">
                  <c:v>Jun/52</c:v>
                </c:pt>
                <c:pt idx="306">
                  <c:v>Jul/52</c:v>
                </c:pt>
                <c:pt idx="307">
                  <c:v>Aug/52</c:v>
                </c:pt>
                <c:pt idx="308">
                  <c:v>Sep/52</c:v>
                </c:pt>
                <c:pt idx="309">
                  <c:v>Oct/52</c:v>
                </c:pt>
                <c:pt idx="310">
                  <c:v>Nov/52</c:v>
                </c:pt>
                <c:pt idx="311">
                  <c:v>Dec/52</c:v>
                </c:pt>
                <c:pt idx="312">
                  <c:v>Jan/53</c:v>
                </c:pt>
                <c:pt idx="313">
                  <c:v>Feb/53</c:v>
                </c:pt>
                <c:pt idx="314">
                  <c:v>Mar/53</c:v>
                </c:pt>
                <c:pt idx="315">
                  <c:v>Apr/53</c:v>
                </c:pt>
                <c:pt idx="316">
                  <c:v>May/53</c:v>
                </c:pt>
                <c:pt idx="317">
                  <c:v>Jun/53</c:v>
                </c:pt>
                <c:pt idx="318">
                  <c:v>Jul/53</c:v>
                </c:pt>
                <c:pt idx="319">
                  <c:v>Aug/53</c:v>
                </c:pt>
                <c:pt idx="320">
                  <c:v>Sep/53</c:v>
                </c:pt>
                <c:pt idx="321">
                  <c:v>Oct/53</c:v>
                </c:pt>
                <c:pt idx="322">
                  <c:v>Nov/53</c:v>
                </c:pt>
                <c:pt idx="323">
                  <c:v>Dec/53</c:v>
                </c:pt>
                <c:pt idx="324">
                  <c:v>Jan/54</c:v>
                </c:pt>
                <c:pt idx="325">
                  <c:v>Feb/54</c:v>
                </c:pt>
                <c:pt idx="326">
                  <c:v>Mar/54</c:v>
                </c:pt>
                <c:pt idx="327">
                  <c:v>Apr/54</c:v>
                </c:pt>
                <c:pt idx="328">
                  <c:v>May/54</c:v>
                </c:pt>
                <c:pt idx="329">
                  <c:v>Jun/54</c:v>
                </c:pt>
                <c:pt idx="330">
                  <c:v>Jul/54</c:v>
                </c:pt>
                <c:pt idx="331">
                  <c:v>Aug/54</c:v>
                </c:pt>
                <c:pt idx="332">
                  <c:v>Sep/54</c:v>
                </c:pt>
                <c:pt idx="333">
                  <c:v>Oct/54</c:v>
                </c:pt>
                <c:pt idx="334">
                  <c:v>Nov/54</c:v>
                </c:pt>
                <c:pt idx="335">
                  <c:v>Dec/54</c:v>
                </c:pt>
                <c:pt idx="336">
                  <c:v>Jan/55</c:v>
                </c:pt>
                <c:pt idx="337">
                  <c:v>Feb/55</c:v>
                </c:pt>
                <c:pt idx="338">
                  <c:v>Mar/55</c:v>
                </c:pt>
                <c:pt idx="339">
                  <c:v>Apr/55</c:v>
                </c:pt>
                <c:pt idx="340">
                  <c:v>May/55</c:v>
                </c:pt>
                <c:pt idx="341">
                  <c:v>Jun/55</c:v>
                </c:pt>
                <c:pt idx="342">
                  <c:v>Jul/55</c:v>
                </c:pt>
                <c:pt idx="343">
                  <c:v>Aug/55</c:v>
                </c:pt>
                <c:pt idx="344">
                  <c:v>Sep/55</c:v>
                </c:pt>
                <c:pt idx="345">
                  <c:v>Oct/55</c:v>
                </c:pt>
                <c:pt idx="346">
                  <c:v>Nov/55</c:v>
                </c:pt>
                <c:pt idx="347">
                  <c:v>Dec/55</c:v>
                </c:pt>
                <c:pt idx="348">
                  <c:v>Jan/56</c:v>
                </c:pt>
                <c:pt idx="349">
                  <c:v>Feb/56</c:v>
                </c:pt>
                <c:pt idx="350">
                  <c:v>Mar/56</c:v>
                </c:pt>
                <c:pt idx="351">
                  <c:v>Apr/56</c:v>
                </c:pt>
                <c:pt idx="352">
                  <c:v>May/56</c:v>
                </c:pt>
                <c:pt idx="353">
                  <c:v>Jun/56</c:v>
                </c:pt>
                <c:pt idx="354">
                  <c:v>Jul/56</c:v>
                </c:pt>
                <c:pt idx="355">
                  <c:v>Aug/56</c:v>
                </c:pt>
                <c:pt idx="356">
                  <c:v>Sep/56</c:v>
                </c:pt>
                <c:pt idx="357">
                  <c:v>Oct/56</c:v>
                </c:pt>
                <c:pt idx="358">
                  <c:v>Nov/56</c:v>
                </c:pt>
                <c:pt idx="359">
                  <c:v>Dec/56</c:v>
                </c:pt>
                <c:pt idx="360">
                  <c:v>Jan/57</c:v>
                </c:pt>
                <c:pt idx="361">
                  <c:v>Feb/57</c:v>
                </c:pt>
                <c:pt idx="362">
                  <c:v>Mar/57</c:v>
                </c:pt>
                <c:pt idx="363">
                  <c:v>Apr/57</c:v>
                </c:pt>
                <c:pt idx="364">
                  <c:v>May/57</c:v>
                </c:pt>
                <c:pt idx="365">
                  <c:v>Jun/57</c:v>
                </c:pt>
                <c:pt idx="366">
                  <c:v>Jul/57</c:v>
                </c:pt>
                <c:pt idx="367">
                  <c:v>Aug/57</c:v>
                </c:pt>
                <c:pt idx="368">
                  <c:v>Sep/57</c:v>
                </c:pt>
                <c:pt idx="369">
                  <c:v>Oct/57</c:v>
                </c:pt>
                <c:pt idx="370">
                  <c:v>Nov/57</c:v>
                </c:pt>
                <c:pt idx="371">
                  <c:v>Dec/57</c:v>
                </c:pt>
                <c:pt idx="372">
                  <c:v>Jan/58</c:v>
                </c:pt>
                <c:pt idx="373">
                  <c:v>Feb/58</c:v>
                </c:pt>
                <c:pt idx="374">
                  <c:v>Mar/58</c:v>
                </c:pt>
                <c:pt idx="375">
                  <c:v>Apr/58</c:v>
                </c:pt>
                <c:pt idx="376">
                  <c:v>May/58</c:v>
                </c:pt>
                <c:pt idx="377">
                  <c:v>Jun/58</c:v>
                </c:pt>
                <c:pt idx="378">
                  <c:v>Jul/58</c:v>
                </c:pt>
                <c:pt idx="379">
                  <c:v>Aug/58</c:v>
                </c:pt>
                <c:pt idx="380">
                  <c:v>Sep/58</c:v>
                </c:pt>
                <c:pt idx="381">
                  <c:v>Oct/58</c:v>
                </c:pt>
                <c:pt idx="382">
                  <c:v>Nov/58</c:v>
                </c:pt>
                <c:pt idx="383">
                  <c:v>Dec/58</c:v>
                </c:pt>
              </c:strCache>
            </c:strRef>
          </c:cat>
          <c:val>
            <c:numRef>
              <c:f>'Fluxo mensal'!$Y$5:$Y$388</c:f>
              <c:numCache>
                <c:formatCode>"R$ "#,##0;"(R$ "#,##0\);\-</c:formatCode>
                <c:ptCount val="384"/>
                <c:pt idx="0">
                  <c:v>-20685.9048873148</c:v>
                </c:pt>
                <c:pt idx="1">
                  <c:v>-41464.3109131123</c:v>
                </c:pt>
                <c:pt idx="2">
                  <c:v>-62335.6317146332</c:v>
                </c:pt>
                <c:pt idx="3">
                  <c:v>-63914.1708941679</c:v>
                </c:pt>
                <c:pt idx="4">
                  <c:v>-65499.7688256422</c:v>
                </c:pt>
                <c:pt idx="5">
                  <c:v>-76544.4892907205</c:v>
                </c:pt>
                <c:pt idx="6">
                  <c:v>-78144.2995610617</c:v>
                </c:pt>
                <c:pt idx="7">
                  <c:v>-79751.2637012562</c:v>
                </c:pt>
                <c:pt idx="8">
                  <c:v>-81365.4137012562</c:v>
                </c:pt>
                <c:pt idx="9">
                  <c:v>-82986.7816940632</c:v>
                </c:pt>
                <c:pt idx="10">
                  <c:v>-84615.3999563677</c:v>
                </c:pt>
                <c:pt idx="11">
                  <c:v>-95959.7849952345</c:v>
                </c:pt>
                <c:pt idx="12">
                  <c:v>-97603.0012045779</c:v>
                </c:pt>
                <c:pt idx="13">
                  <c:v>-99253.5653820652</c:v>
                </c:pt>
                <c:pt idx="14">
                  <c:v>-100911.510385597</c:v>
                </c:pt>
                <c:pt idx="15">
                  <c:v>-102576.869220006</c:v>
                </c:pt>
                <c:pt idx="16">
                  <c:v>-104249.675037712</c:v>
                </c:pt>
                <c:pt idx="17">
                  <c:v>-115901.855128369</c:v>
                </c:pt>
                <c:pt idx="18">
                  <c:v>-117589.654963579</c:v>
                </c:pt>
                <c:pt idx="19">
                  <c:v>-165237.350798844</c:v>
                </c:pt>
                <c:pt idx="20">
                  <c:v>-187647.371362277</c:v>
                </c:pt>
                <c:pt idx="21">
                  <c:v>-210052.229985989</c:v>
                </c:pt>
                <c:pt idx="22">
                  <c:v>-216433.948407463</c:v>
                </c:pt>
                <c:pt idx="23">
                  <c:v>-222806.945550686</c:v>
                </c:pt>
                <c:pt idx="24">
                  <c:v>-229171.095918015</c:v>
                </c:pt>
                <c:pt idx="25">
                  <c:v>-234664.674899738</c:v>
                </c:pt>
                <c:pt idx="26">
                  <c:v>-240146.333273281</c:v>
                </c:pt>
                <c:pt idx="27">
                  <c:v>-245615.934111976</c:v>
                </c:pt>
                <c:pt idx="28">
                  <c:v>-251073.339720387</c:v>
                </c:pt>
                <c:pt idx="29">
                  <c:v>-256518.411630744</c:v>
                </c:pt>
                <c:pt idx="30">
                  <c:v>-261951.010599366</c:v>
                </c:pt>
                <c:pt idx="31">
                  <c:v>-267370.996603058</c:v>
                </c:pt>
                <c:pt idx="32">
                  <c:v>-272778.228835507</c:v>
                </c:pt>
                <c:pt idx="33">
                  <c:v>-278172.565703647</c:v>
                </c:pt>
                <c:pt idx="34">
                  <c:v>-283553.864824025</c:v>
                </c:pt>
                <c:pt idx="35">
                  <c:v>-288921.983019138</c:v>
                </c:pt>
                <c:pt idx="36">
                  <c:v>-294276.776313761</c:v>
                </c:pt>
                <c:pt idx="37">
                  <c:v>-299618.099931261</c:v>
                </c:pt>
                <c:pt idx="38">
                  <c:v>-304945.808289888</c:v>
                </c:pt>
                <c:pt idx="39">
                  <c:v>-310259.754999062</c:v>
                </c:pt>
                <c:pt idx="40">
                  <c:v>-315559.79285563</c:v>
                </c:pt>
                <c:pt idx="41">
                  <c:v>-320845.773840119</c:v>
                </c:pt>
                <c:pt idx="42">
                  <c:v>-326117.549112968</c:v>
                </c:pt>
                <c:pt idx="43">
                  <c:v>-331374.969010746</c:v>
                </c:pt>
                <c:pt idx="44">
                  <c:v>-336617.883042349</c:v>
                </c:pt>
                <c:pt idx="45">
                  <c:v>-341846.13988519</c:v>
                </c:pt>
                <c:pt idx="46">
                  <c:v>-347059.587381365</c:v>
                </c:pt>
                <c:pt idx="47">
                  <c:v>-352258.072533803</c:v>
                </c:pt>
                <c:pt idx="48">
                  <c:v>-357441.441502409</c:v>
                </c:pt>
                <c:pt idx="49">
                  <c:v>-362609.539600177</c:v>
                </c:pt>
                <c:pt idx="50">
                  <c:v>-367762.211289299</c:v>
                </c:pt>
                <c:pt idx="51">
                  <c:v>-372899.300177247</c:v>
                </c:pt>
                <c:pt idx="52">
                  <c:v>-378020.649012851</c:v>
                </c:pt>
                <c:pt idx="53">
                  <c:v>-383126.099682345</c:v>
                </c:pt>
                <c:pt idx="54">
                  <c:v>-388215.493205411</c:v>
                </c:pt>
                <c:pt idx="55">
                  <c:v>-393288.669731194</c:v>
                </c:pt>
                <c:pt idx="56">
                  <c:v>-398345.468534314</c:v>
                </c:pt>
                <c:pt idx="57">
                  <c:v>-403385.728010843</c:v>
                </c:pt>
                <c:pt idx="58">
                  <c:v>-408409.285674285</c:v>
                </c:pt>
                <c:pt idx="59">
                  <c:v>-413415.978151524</c:v>
                </c:pt>
                <c:pt idx="60">
                  <c:v>-418405.641178759</c:v>
                </c:pt>
                <c:pt idx="61">
                  <c:v>-423378.109597429</c:v>
                </c:pt>
                <c:pt idx="62">
                  <c:v>-428333.21735011</c:v>
                </c:pt>
                <c:pt idx="63">
                  <c:v>-433270.797476401</c:v>
                </c:pt>
                <c:pt idx="64">
                  <c:v>-438190.682108793</c:v>
                </c:pt>
                <c:pt idx="65">
                  <c:v>-443092.702468518</c:v>
                </c:pt>
                <c:pt idx="66">
                  <c:v>-447976.68886138</c:v>
                </c:pt>
                <c:pt idx="67">
                  <c:v>-452842.470673574</c:v>
                </c:pt>
                <c:pt idx="68">
                  <c:v>-457689.876367479</c:v>
                </c:pt>
                <c:pt idx="69">
                  <c:v>-462518.733477443</c:v>
                </c:pt>
                <c:pt idx="70">
                  <c:v>-467328.868605541</c:v>
                </c:pt>
                <c:pt idx="71">
                  <c:v>-472120.107417319</c:v>
                </c:pt>
                <c:pt idx="72">
                  <c:v>-476892.274637524</c:v>
                </c:pt>
                <c:pt idx="73">
                  <c:v>-481645.194045812</c:v>
                </c:pt>
                <c:pt idx="74">
                  <c:v>-486378.688472434</c:v>
                </c:pt>
                <c:pt idx="75">
                  <c:v>-491092.579793915</c:v>
                </c:pt>
                <c:pt idx="76">
                  <c:v>-495786.688928702</c:v>
                </c:pt>
                <c:pt idx="77">
                  <c:v>-500460.835832804</c:v>
                </c:pt>
                <c:pt idx="78">
                  <c:v>-505114.83949541</c:v>
                </c:pt>
                <c:pt idx="79">
                  <c:v>-509748.517934485</c:v>
                </c:pt>
                <c:pt idx="80">
                  <c:v>-514361.688192355</c:v>
                </c:pt>
                <c:pt idx="81">
                  <c:v>-518954.166331266</c:v>
                </c:pt>
                <c:pt idx="82">
                  <c:v>-523525.767428929</c:v>
                </c:pt>
                <c:pt idx="83">
                  <c:v>-528076.305574047</c:v>
                </c:pt>
                <c:pt idx="84">
                  <c:v>-532605.593861817</c:v>
                </c:pt>
                <c:pt idx="85">
                  <c:v>-537113.444389422</c:v>
                </c:pt>
                <c:pt idx="86">
                  <c:v>-541599.668251497</c:v>
                </c:pt>
                <c:pt idx="87">
                  <c:v>-546064.075535579</c:v>
                </c:pt>
                <c:pt idx="88">
                  <c:v>-550506.47531754</c:v>
                </c:pt>
                <c:pt idx="89">
                  <c:v>-554926.675656995</c:v>
                </c:pt>
                <c:pt idx="90">
                  <c:v>-559324.483592695</c:v>
                </c:pt>
                <c:pt idx="91">
                  <c:v>-563699.705137903</c:v>
                </c:pt>
                <c:pt idx="92">
                  <c:v>-568052.145275745</c:v>
                </c:pt>
                <c:pt idx="93">
                  <c:v>-572381.607954542</c:v>
                </c:pt>
                <c:pt idx="94">
                  <c:v>-576687.896083132</c:v>
                </c:pt>
                <c:pt idx="95">
                  <c:v>-580970.811526157</c:v>
                </c:pt>
                <c:pt idx="96">
                  <c:v>-585230.155099344</c:v>
                </c:pt>
                <c:pt idx="97">
                  <c:v>-589465.726564759</c:v>
                </c:pt>
                <c:pt idx="98">
                  <c:v>-593677.32462604</c:v>
                </c:pt>
                <c:pt idx="99">
                  <c:v>-597864.746923618</c:v>
                </c:pt>
                <c:pt idx="100">
                  <c:v>-602027.790029912</c:v>
                </c:pt>
                <c:pt idx="101">
                  <c:v>-606166.2494445</c:v>
                </c:pt>
                <c:pt idx="102">
                  <c:v>-610279.919589283</c:v>
                </c:pt>
                <c:pt idx="103">
                  <c:v>-614368.593803612</c:v>
                </c:pt>
                <c:pt idx="104">
                  <c:v>-618432.064339409</c:v>
                </c:pt>
                <c:pt idx="105">
                  <c:v>-622470.122356262</c:v>
                </c:pt>
                <c:pt idx="106">
                  <c:v>-626482.557916496</c:v>
                </c:pt>
                <c:pt idx="107">
                  <c:v>-630469.15998023</c:v>
                </c:pt>
                <c:pt idx="108">
                  <c:v>-634429.716400407</c:v>
                </c:pt>
                <c:pt idx="109">
                  <c:v>-638364.013917811</c:v>
                </c:pt>
                <c:pt idx="110">
                  <c:v>-642271.838156055</c:v>
                </c:pt>
                <c:pt idx="111">
                  <c:v>-646152.973616555</c:v>
                </c:pt>
                <c:pt idx="112">
                  <c:v>-650007.203673477</c:v>
                </c:pt>
                <c:pt idx="113">
                  <c:v>-653834.310568667</c:v>
                </c:pt>
                <c:pt idx="114">
                  <c:v>-657634.07540656</c:v>
                </c:pt>
                <c:pt idx="115">
                  <c:v>-661406.278149067</c:v>
                </c:pt>
                <c:pt idx="116">
                  <c:v>-665150.697610437</c:v>
                </c:pt>
                <c:pt idx="117">
                  <c:v>-668867.111452104</c:v>
                </c:pt>
                <c:pt idx="118">
                  <c:v>-672555.296177508</c:v>
                </c:pt>
                <c:pt idx="119">
                  <c:v>-676215.027126898</c:v>
                </c:pt>
                <c:pt idx="120">
                  <c:v>-679846.078472107</c:v>
                </c:pt>
                <c:pt idx="121">
                  <c:v>-683448.223211315</c:v>
                </c:pt>
                <c:pt idx="122">
                  <c:v>-687021.233163782</c:v>
                </c:pt>
                <c:pt idx="123">
                  <c:v>-690564.878964561</c:v>
                </c:pt>
                <c:pt idx="124">
                  <c:v>-694078.93005919</c:v>
                </c:pt>
                <c:pt idx="125">
                  <c:v>-697563.154698367</c:v>
                </c:pt>
                <c:pt idx="126">
                  <c:v>-701017.319932589</c:v>
                </c:pt>
                <c:pt idx="127">
                  <c:v>-704441.191606785</c:v>
                </c:pt>
                <c:pt idx="128">
                  <c:v>-707834.534354916</c:v>
                </c:pt>
                <c:pt idx="129">
                  <c:v>-711197.111594555</c:v>
                </c:pt>
                <c:pt idx="130">
                  <c:v>-714528.685521446</c:v>
                </c:pt>
                <c:pt idx="131">
                  <c:v>-717829.017104042</c:v>
                </c:pt>
                <c:pt idx="132">
                  <c:v>-721097.866078014</c:v>
                </c:pt>
                <c:pt idx="133">
                  <c:v>-724334.990940743</c:v>
                </c:pt>
                <c:pt idx="134">
                  <c:v>-727540.148945789</c:v>
                </c:pt>
                <c:pt idx="135">
                  <c:v>-730713.096097332</c:v>
                </c:pt>
                <c:pt idx="136">
                  <c:v>-733853.587144595</c:v>
                </c:pt>
                <c:pt idx="137">
                  <c:v>-736961.375576245</c:v>
                </c:pt>
                <c:pt idx="138">
                  <c:v>-740036.213614761</c:v>
                </c:pt>
                <c:pt idx="139">
                  <c:v>-743077.852210794</c:v>
                </c:pt>
                <c:pt idx="140">
                  <c:v>-741511.454689917</c:v>
                </c:pt>
                <c:pt idx="141">
                  <c:v>-739939.929191161</c:v>
                </c:pt>
                <c:pt idx="142">
                  <c:v>-738363.25892686</c:v>
                </c:pt>
                <c:pt idx="143">
                  <c:v>-736781.427054393</c:v>
                </c:pt>
                <c:pt idx="144">
                  <c:v>-735194.416675995</c:v>
                </c:pt>
                <c:pt idx="145">
                  <c:v>-733602.210838587</c:v>
                </c:pt>
                <c:pt idx="146">
                  <c:v>-732004.792533588</c:v>
                </c:pt>
                <c:pt idx="147">
                  <c:v>-730402.144696735</c:v>
                </c:pt>
                <c:pt idx="148">
                  <c:v>-728794.250207901</c:v>
                </c:pt>
                <c:pt idx="149">
                  <c:v>-727181.091890914</c:v>
                </c:pt>
                <c:pt idx="150">
                  <c:v>-725562.652513369</c:v>
                </c:pt>
                <c:pt idx="151">
                  <c:v>-723938.914786449</c:v>
                </c:pt>
                <c:pt idx="152">
                  <c:v>-722309.861364737</c:v>
                </c:pt>
                <c:pt idx="153">
                  <c:v>-720675.47484603</c:v>
                </c:pt>
                <c:pt idx="154">
                  <c:v>-719035.737771158</c:v>
                </c:pt>
                <c:pt idx="155">
                  <c:v>-717390.632623792</c:v>
                </c:pt>
                <c:pt idx="156">
                  <c:v>-715740.141830258</c:v>
                </c:pt>
                <c:pt idx="157">
                  <c:v>-714084.247759354</c:v>
                </c:pt>
                <c:pt idx="158">
                  <c:v>-712422.932722155</c:v>
                </c:pt>
                <c:pt idx="159">
                  <c:v>-710756.178971827</c:v>
                </c:pt>
                <c:pt idx="160">
                  <c:v>-709083.96870344</c:v>
                </c:pt>
                <c:pt idx="161">
                  <c:v>-707406.284053773</c:v>
                </c:pt>
                <c:pt idx="162">
                  <c:v>-705723.107101127</c:v>
                </c:pt>
                <c:pt idx="163">
                  <c:v>-704034.41986513</c:v>
                </c:pt>
                <c:pt idx="164">
                  <c:v>-702340.204306549</c:v>
                </c:pt>
                <c:pt idx="165">
                  <c:v>-700640.442327095</c:v>
                </c:pt>
                <c:pt idx="166">
                  <c:v>-698935.115769228</c:v>
                </c:pt>
                <c:pt idx="167">
                  <c:v>-697224.206415966</c:v>
                </c:pt>
                <c:pt idx="168">
                  <c:v>-695507.695990692</c:v>
                </c:pt>
                <c:pt idx="169">
                  <c:v>-693785.566156951</c:v>
                </c:pt>
                <c:pt idx="170">
                  <c:v>-692057.798518264</c:v>
                </c:pt>
                <c:pt idx="171">
                  <c:v>-690324.374617923</c:v>
                </c:pt>
                <c:pt idx="172">
                  <c:v>-688585.275938801</c:v>
                </c:pt>
                <c:pt idx="173">
                  <c:v>-686840.483903148</c:v>
                </c:pt>
                <c:pt idx="174">
                  <c:v>-685089.979872395</c:v>
                </c:pt>
                <c:pt idx="175">
                  <c:v>-683333.745146959</c:v>
                </c:pt>
                <c:pt idx="176">
                  <c:v>-681571.760966035</c:v>
                </c:pt>
                <c:pt idx="177">
                  <c:v>-679804.008507402</c:v>
                </c:pt>
                <c:pt idx="178">
                  <c:v>-678030.46888722</c:v>
                </c:pt>
                <c:pt idx="179">
                  <c:v>-676251.123159828</c:v>
                </c:pt>
                <c:pt idx="180">
                  <c:v>-674465.952317543</c:v>
                </c:pt>
                <c:pt idx="181">
                  <c:v>-672674.937290452</c:v>
                </c:pt>
                <c:pt idx="182">
                  <c:v>-670878.058946218</c:v>
                </c:pt>
                <c:pt idx="183">
                  <c:v>-669075.298089864</c:v>
                </c:pt>
                <c:pt idx="184">
                  <c:v>-667266.635463576</c:v>
                </c:pt>
                <c:pt idx="185">
                  <c:v>-665452.051746497</c:v>
                </c:pt>
                <c:pt idx="186">
                  <c:v>-663631.527554514</c:v>
                </c:pt>
                <c:pt idx="187">
                  <c:v>-661805.04344006</c:v>
                </c:pt>
                <c:pt idx="188">
                  <c:v>-659972.579891899</c:v>
                </c:pt>
                <c:pt idx="189">
                  <c:v>-658134.117334921</c:v>
                </c:pt>
                <c:pt idx="190">
                  <c:v>-656289.636129932</c:v>
                </c:pt>
                <c:pt idx="191">
                  <c:v>-654439.116573445</c:v>
                </c:pt>
                <c:pt idx="192">
                  <c:v>-652582.538897467</c:v>
                </c:pt>
                <c:pt idx="193">
                  <c:v>-650719.883269294</c:v>
                </c:pt>
                <c:pt idx="194">
                  <c:v>-648851.129791289</c:v>
                </c:pt>
                <c:pt idx="195">
                  <c:v>-646976.258500681</c:v>
                </c:pt>
                <c:pt idx="196">
                  <c:v>-645095.249369342</c:v>
                </c:pt>
                <c:pt idx="197">
                  <c:v>-643208.082303579</c:v>
                </c:pt>
                <c:pt idx="198">
                  <c:v>-641314.737143918</c:v>
                </c:pt>
                <c:pt idx="199">
                  <c:v>-639415.193664886</c:v>
                </c:pt>
                <c:pt idx="200">
                  <c:v>-637509.431574798</c:v>
                </c:pt>
                <c:pt idx="201">
                  <c:v>-635597.430515541</c:v>
                </c:pt>
                <c:pt idx="202">
                  <c:v>-633679.170062352</c:v>
                </c:pt>
                <c:pt idx="203">
                  <c:v>-631754.629723605</c:v>
                </c:pt>
                <c:pt idx="204">
                  <c:v>-629823.788940589</c:v>
                </c:pt>
                <c:pt idx="205">
                  <c:v>-627886.627087289</c:v>
                </c:pt>
                <c:pt idx="206">
                  <c:v>-625943.123470164</c:v>
                </c:pt>
                <c:pt idx="207">
                  <c:v>-623993.257327932</c:v>
                </c:pt>
                <c:pt idx="208">
                  <c:v>-622037.007831339</c:v>
                </c:pt>
                <c:pt idx="209">
                  <c:v>-620074.354082946</c:v>
                </c:pt>
                <c:pt idx="210">
                  <c:v>-618105.275116898</c:v>
                </c:pt>
                <c:pt idx="211">
                  <c:v>-616129.749898704</c:v>
                </c:pt>
                <c:pt idx="212">
                  <c:v>-614147.757325013</c:v>
                </c:pt>
                <c:pt idx="213">
                  <c:v>-612159.276223386</c:v>
                </c:pt>
                <c:pt idx="214">
                  <c:v>-610164.285352069</c:v>
                </c:pt>
                <c:pt idx="215">
                  <c:v>-608162.763399773</c:v>
                </c:pt>
                <c:pt idx="216">
                  <c:v>-606154.688985436</c:v>
                </c:pt>
                <c:pt idx="217">
                  <c:v>-604140.040658003</c:v>
                </c:pt>
                <c:pt idx="218">
                  <c:v>-602118.796896194</c:v>
                </c:pt>
                <c:pt idx="219">
                  <c:v>-600090.936108272</c:v>
                </c:pt>
                <c:pt idx="220">
                  <c:v>-598056.436631816</c:v>
                </c:pt>
                <c:pt idx="221">
                  <c:v>-596015.276733487</c:v>
                </c:pt>
                <c:pt idx="222">
                  <c:v>-593967.434608797</c:v>
                </c:pt>
                <c:pt idx="223">
                  <c:v>-591912.888381876</c:v>
                </c:pt>
                <c:pt idx="224">
                  <c:v>-589851.616105237</c:v>
                </c:pt>
                <c:pt idx="225">
                  <c:v>-587783.595759544</c:v>
                </c:pt>
                <c:pt idx="226">
                  <c:v>-585708.805253375</c:v>
                </c:pt>
                <c:pt idx="227">
                  <c:v>-583627.222422987</c:v>
                </c:pt>
                <c:pt idx="228">
                  <c:v>-581538.825032076</c:v>
                </c:pt>
                <c:pt idx="229">
                  <c:v>-579443.590771547</c:v>
                </c:pt>
                <c:pt idx="230">
                  <c:v>-577341.497259265</c:v>
                </c:pt>
                <c:pt idx="231">
                  <c:v>-575232.522039826</c:v>
                </c:pt>
                <c:pt idx="232">
                  <c:v>-573116.642584312</c:v>
                </c:pt>
                <c:pt idx="233">
                  <c:v>-570993.836290049</c:v>
                </c:pt>
                <c:pt idx="234">
                  <c:v>-568864.080480372</c:v>
                </c:pt>
                <c:pt idx="235">
                  <c:v>-566727.352404374</c:v>
                </c:pt>
                <c:pt idx="236">
                  <c:v>-564583.629236669</c:v>
                </c:pt>
                <c:pt idx="237">
                  <c:v>-562432.888077149</c:v>
                </c:pt>
                <c:pt idx="238">
                  <c:v>-560275.105950733</c:v>
                </c:pt>
                <c:pt idx="239">
                  <c:v>-558110.259807129</c:v>
                </c:pt>
                <c:pt idx="240">
                  <c:v>-555938.326520583</c:v>
                </c:pt>
                <c:pt idx="241">
                  <c:v>-553759.282889631</c:v>
                </c:pt>
                <c:pt idx="242">
                  <c:v>-551573.105636858</c:v>
                </c:pt>
                <c:pt idx="243">
                  <c:v>-549379.771408642</c:v>
                </c:pt>
                <c:pt idx="244">
                  <c:v>-547179.256774907</c:v>
                </c:pt>
                <c:pt idx="245">
                  <c:v>-544971.538228874</c:v>
                </c:pt>
                <c:pt idx="246">
                  <c:v>-542756.59218681</c:v>
                </c:pt>
                <c:pt idx="247">
                  <c:v>-540534.394987772</c:v>
                </c:pt>
                <c:pt idx="248">
                  <c:v>-538304.922893359</c:v>
                </c:pt>
                <c:pt idx="249">
                  <c:v>-536068.152087458</c:v>
                </c:pt>
                <c:pt idx="250">
                  <c:v>-533824.058675986</c:v>
                </c:pt>
                <c:pt idx="251">
                  <c:v>-531572.618686638</c:v>
                </c:pt>
                <c:pt idx="252">
                  <c:v>-529313.808068629</c:v>
                </c:pt>
                <c:pt idx="253">
                  <c:v>-527047.60269244</c:v>
                </c:pt>
                <c:pt idx="254">
                  <c:v>-524773.978349556</c:v>
                </c:pt>
                <c:pt idx="255">
                  <c:v>-522492.910752211</c:v>
                </c:pt>
                <c:pt idx="256">
                  <c:v>-520204.375533126</c:v>
                </c:pt>
                <c:pt idx="257">
                  <c:v>-517908.348245253</c:v>
                </c:pt>
                <c:pt idx="258">
                  <c:v>-515604.804361505</c:v>
                </c:pt>
                <c:pt idx="259">
                  <c:v>-513293.719274506</c:v>
                </c:pt>
                <c:pt idx="260">
                  <c:v>-510975.068296317</c:v>
                </c:pt>
                <c:pt idx="261">
                  <c:v>-508648.826658179</c:v>
                </c:pt>
                <c:pt idx="262">
                  <c:v>-506314.969510248</c:v>
                </c:pt>
                <c:pt idx="263">
                  <c:v>-503973.471921326</c:v>
                </c:pt>
                <c:pt idx="264">
                  <c:v>-501624.308878597</c:v>
                </c:pt>
                <c:pt idx="265">
                  <c:v>-499267.45528736</c:v>
                </c:pt>
                <c:pt idx="266">
                  <c:v>-496902.885970761</c:v>
                </c:pt>
                <c:pt idx="267">
                  <c:v>-494530.575669522</c:v>
                </c:pt>
                <c:pt idx="268">
                  <c:v>-492150.499041675</c:v>
                </c:pt>
                <c:pt idx="269">
                  <c:v>-489762.630662286</c:v>
                </c:pt>
                <c:pt idx="270">
                  <c:v>-487366.945023188</c:v>
                </c:pt>
                <c:pt idx="271">
                  <c:v>-484963.416532709</c:v>
                </c:pt>
                <c:pt idx="272">
                  <c:v>-482552.019515392</c:v>
                </c:pt>
                <c:pt idx="273">
                  <c:v>-480132.72821173</c:v>
                </c:pt>
                <c:pt idx="274">
                  <c:v>-477705.516777881</c:v>
                </c:pt>
                <c:pt idx="275">
                  <c:v>-475270.359285402</c:v>
                </c:pt>
                <c:pt idx="276">
                  <c:v>-472827.229720964</c:v>
                </c:pt>
                <c:pt idx="277">
                  <c:v>-470376.101986078</c:v>
                </c:pt>
                <c:pt idx="278">
                  <c:v>-467916.949896815</c:v>
                </c:pt>
                <c:pt idx="279">
                  <c:v>-465449.747183526</c:v>
                </c:pt>
                <c:pt idx="280">
                  <c:v>-462974.467490565</c:v>
                </c:pt>
                <c:pt idx="281">
                  <c:v>-460491.084376</c:v>
                </c:pt>
                <c:pt idx="282">
                  <c:v>-457999.571311339</c:v>
                </c:pt>
                <c:pt idx="283">
                  <c:v>-455499.90168124</c:v>
                </c:pt>
                <c:pt idx="284">
                  <c:v>-452992.048783231</c:v>
                </c:pt>
                <c:pt idx="285">
                  <c:v>-450475.985827422</c:v>
                </c:pt>
                <c:pt idx="286">
                  <c:v>-447951.685936219</c:v>
                </c:pt>
                <c:pt idx="287">
                  <c:v>-445419.122144041</c:v>
                </c:pt>
                <c:pt idx="288">
                  <c:v>-442878.267397026</c:v>
                </c:pt>
                <c:pt idx="289">
                  <c:v>-440329.094552744</c:v>
                </c:pt>
                <c:pt idx="290">
                  <c:v>-437771.57637991</c:v>
                </c:pt>
                <c:pt idx="291">
                  <c:v>-435205.68555809</c:v>
                </c:pt>
                <c:pt idx="292">
                  <c:v>-432631.39467741</c:v>
                </c:pt>
                <c:pt idx="293">
                  <c:v>-430048.676238263</c:v>
                </c:pt>
                <c:pt idx="294">
                  <c:v>-427457.502651015</c:v>
                </c:pt>
                <c:pt idx="295">
                  <c:v>-424857.846235713</c:v>
                </c:pt>
                <c:pt idx="296">
                  <c:v>-422249.679221783</c:v>
                </c:pt>
                <c:pt idx="297">
                  <c:v>-419632.973747742</c:v>
                </c:pt>
                <c:pt idx="298">
                  <c:v>-417007.701860891</c:v>
                </c:pt>
                <c:pt idx="299">
                  <c:v>-414373.835517026</c:v>
                </c:pt>
                <c:pt idx="300">
                  <c:v>-411731.346580129</c:v>
                </c:pt>
                <c:pt idx="301">
                  <c:v>-409080.206822076</c:v>
                </c:pt>
                <c:pt idx="302">
                  <c:v>-406420.387922329</c:v>
                </c:pt>
                <c:pt idx="303">
                  <c:v>-403751.861467637</c:v>
                </c:pt>
                <c:pt idx="304">
                  <c:v>-401074.598951729</c:v>
                </c:pt>
                <c:pt idx="305">
                  <c:v>-398388.571775016</c:v>
                </c:pt>
                <c:pt idx="306">
                  <c:v>-395693.751244279</c:v>
                </c:pt>
                <c:pt idx="307">
                  <c:v>-392990.108572364</c:v>
                </c:pt>
                <c:pt idx="308">
                  <c:v>-390277.614877877</c:v>
                </c:pt>
                <c:pt idx="309">
                  <c:v>-387556.241184874</c:v>
                </c:pt>
                <c:pt idx="310">
                  <c:v>-384825.95842255</c:v>
                </c:pt>
                <c:pt idx="311">
                  <c:v>-382086.73742493</c:v>
                </c:pt>
                <c:pt idx="312">
                  <c:v>-379338.548930558</c:v>
                </c:pt>
                <c:pt idx="313">
                  <c:v>-376581.363582182</c:v>
                </c:pt>
                <c:pt idx="314">
                  <c:v>-373815.151926445</c:v>
                </c:pt>
                <c:pt idx="315">
                  <c:v>-371039.884413565</c:v>
                </c:pt>
                <c:pt idx="316">
                  <c:v>-368255.531397021</c:v>
                </c:pt>
                <c:pt idx="317">
                  <c:v>-365462.06313324</c:v>
                </c:pt>
                <c:pt idx="318">
                  <c:v>-362659.449781273</c:v>
                </c:pt>
                <c:pt idx="319">
                  <c:v>-359847.661402482</c:v>
                </c:pt>
                <c:pt idx="320">
                  <c:v>-357026.667960215</c:v>
                </c:pt>
                <c:pt idx="321">
                  <c:v>-354196.439319492</c:v>
                </c:pt>
                <c:pt idx="322">
                  <c:v>-351356.945246675</c:v>
                </c:pt>
                <c:pt idx="323">
                  <c:v>-348508.15540915</c:v>
                </c:pt>
                <c:pt idx="324">
                  <c:v>-345650.039375003</c:v>
                </c:pt>
                <c:pt idx="325">
                  <c:v>-342782.566612693</c:v>
                </c:pt>
                <c:pt idx="326">
                  <c:v>-339905.706490726</c:v>
                </c:pt>
                <c:pt idx="327">
                  <c:v>-337019.42827733</c:v>
                </c:pt>
                <c:pt idx="328">
                  <c:v>-334123.701140125</c:v>
                </c:pt>
                <c:pt idx="329">
                  <c:v>-331218.494145792</c:v>
                </c:pt>
                <c:pt idx="330">
                  <c:v>-328303.776259747</c:v>
                </c:pt>
                <c:pt idx="331">
                  <c:v>-325379.516345804</c:v>
                </c:pt>
                <c:pt idx="332">
                  <c:v>-322445.683165847</c:v>
                </c:pt>
                <c:pt idx="333">
                  <c:v>-319502.245379494</c:v>
                </c:pt>
                <c:pt idx="334">
                  <c:v>-316549.171543764</c:v>
                </c:pt>
                <c:pt idx="335">
                  <c:v>-313586.430112739</c:v>
                </c:pt>
                <c:pt idx="336">
                  <c:v>-310613.989437226</c:v>
                </c:pt>
                <c:pt idx="337">
                  <c:v>-307631.817764423</c:v>
                </c:pt>
                <c:pt idx="338">
                  <c:v>-304639.883237578</c:v>
                </c:pt>
                <c:pt idx="339">
                  <c:v>-301638.153895647</c:v>
                </c:pt>
                <c:pt idx="340">
                  <c:v>-298626.597672953</c:v>
                </c:pt>
                <c:pt idx="341">
                  <c:v>-295605.182398847</c:v>
                </c:pt>
                <c:pt idx="342">
                  <c:v>-292573.875797359</c:v>
                </c:pt>
                <c:pt idx="343">
                  <c:v>-289532.645486859</c:v>
                </c:pt>
                <c:pt idx="344">
                  <c:v>-286481.458979704</c:v>
                </c:pt>
                <c:pt idx="345">
                  <c:v>-283420.283681897</c:v>
                </c:pt>
                <c:pt idx="346">
                  <c:v>-280349.086892738</c:v>
                </c:pt>
                <c:pt idx="347">
                  <c:v>-277267.835804471</c:v>
                </c:pt>
                <c:pt idx="348">
                  <c:v>-274176.497501938</c:v>
                </c:pt>
                <c:pt idx="349">
                  <c:v>-271075.038962223</c:v>
                </c:pt>
                <c:pt idx="350">
                  <c:v>-267963.427054304</c:v>
                </c:pt>
                <c:pt idx="351">
                  <c:v>-264841.628538695</c:v>
                </c:pt>
                <c:pt idx="352">
                  <c:v>-261709.610067094</c:v>
                </c:pt>
                <c:pt idx="353">
                  <c:v>-258567.338182024</c:v>
                </c:pt>
                <c:pt idx="354">
                  <c:v>-255414.779316477</c:v>
                </c:pt>
                <c:pt idx="355">
                  <c:v>-252251.899793556</c:v>
                </c:pt>
                <c:pt idx="356">
                  <c:v>-249078.665826115</c:v>
                </c:pt>
                <c:pt idx="357">
                  <c:v>-245895.043516396</c:v>
                </c:pt>
                <c:pt idx="358">
                  <c:v>-242700.99885567</c:v>
                </c:pt>
                <c:pt idx="359">
                  <c:v>-239496.497723873</c:v>
                </c:pt>
                <c:pt idx="360">
                  <c:v>-236281.505889238</c:v>
                </c:pt>
                <c:pt idx="361">
                  <c:v>-233055.989007935</c:v>
                </c:pt>
                <c:pt idx="362">
                  <c:v>-229819.912623699</c:v>
                </c:pt>
                <c:pt idx="363">
                  <c:v>-226573.242167466</c:v>
                </c:pt>
                <c:pt idx="364">
                  <c:v>-223315.942957001</c:v>
                </c:pt>
                <c:pt idx="365">
                  <c:v>-220047.980196527</c:v>
                </c:pt>
                <c:pt idx="366">
                  <c:v>-216769.318976359</c:v>
                </c:pt>
                <c:pt idx="367">
                  <c:v>-213479.924272521</c:v>
                </c:pt>
                <c:pt idx="368">
                  <c:v>-210179.760946382</c:v>
                </c:pt>
                <c:pt idx="369">
                  <c:v>-206868.793744275</c:v>
                </c:pt>
                <c:pt idx="370">
                  <c:v>-203546.98729712</c:v>
                </c:pt>
                <c:pt idx="371">
                  <c:v>-200214.306120051</c:v>
                </c:pt>
                <c:pt idx="372">
                  <c:v>-196870.71461203</c:v>
                </c:pt>
                <c:pt idx="373">
                  <c:v>-193516.177055475</c:v>
                </c:pt>
                <c:pt idx="374">
                  <c:v>-190150.65761587</c:v>
                </c:pt>
                <c:pt idx="375">
                  <c:v>-186774.120341387</c:v>
                </c:pt>
                <c:pt idx="376">
                  <c:v>-183386.529162503</c:v>
                </c:pt>
                <c:pt idx="377">
                  <c:v>-179987.847891611</c:v>
                </c:pt>
                <c:pt idx="378">
                  <c:v>-176578.040222636</c:v>
                </c:pt>
                <c:pt idx="379">
                  <c:v>-173157.069730645</c:v>
                </c:pt>
                <c:pt idx="380">
                  <c:v>-169724.89987146</c:v>
                </c:pt>
                <c:pt idx="381">
                  <c:v>-166281.493981268</c:v>
                </c:pt>
                <c:pt idx="382">
                  <c:v>-162826.815276228</c:v>
                </c:pt>
                <c:pt idx="383">
                  <c:v>-159360.826852075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'Fluxo mensal'!AB4</c:f>
              <c:strCache>
                <c:ptCount val="1"/>
                <c:pt idx="0">
                  <c:v>Posição total (caixa + patrimônio)</c:v>
                </c:pt>
              </c:strCache>
            </c:strRef>
          </c:tx>
          <c:spPr>
            <a:solidFill>
              <a:srgbClr val="2f6b3a"/>
            </a:solidFill>
            <a:ln w="21960">
              <a:solidFill>
                <a:srgbClr val="2f6b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'Fluxo mensal'!$A$5:$A$388</c:f>
              <c:strCache>
                <c:ptCount val="384"/>
                <c:pt idx="0">
                  <c:v>Jan/27</c:v>
                </c:pt>
                <c:pt idx="1">
                  <c:v>Feb/27</c:v>
                </c:pt>
                <c:pt idx="2">
                  <c:v>Mar/27</c:v>
                </c:pt>
                <c:pt idx="3">
                  <c:v>Apr/27</c:v>
                </c:pt>
                <c:pt idx="4">
                  <c:v>May/27</c:v>
                </c:pt>
                <c:pt idx="5">
                  <c:v>Jun/27</c:v>
                </c:pt>
                <c:pt idx="6">
                  <c:v>Jul/27</c:v>
                </c:pt>
                <c:pt idx="7">
                  <c:v>Aug/27</c:v>
                </c:pt>
                <c:pt idx="8">
                  <c:v>Sep/27</c:v>
                </c:pt>
                <c:pt idx="9">
                  <c:v>Oct/27</c:v>
                </c:pt>
                <c:pt idx="10">
                  <c:v>Nov/27</c:v>
                </c:pt>
                <c:pt idx="11">
                  <c:v>Dec/27</c:v>
                </c:pt>
                <c:pt idx="12">
                  <c:v>Jan/28</c:v>
                </c:pt>
                <c:pt idx="13">
                  <c:v>Feb/28</c:v>
                </c:pt>
                <c:pt idx="14">
                  <c:v>Mar/28</c:v>
                </c:pt>
                <c:pt idx="15">
                  <c:v>Apr/28</c:v>
                </c:pt>
                <c:pt idx="16">
                  <c:v>May/28</c:v>
                </c:pt>
                <c:pt idx="17">
                  <c:v>Jun/28</c:v>
                </c:pt>
                <c:pt idx="18">
                  <c:v>Jul/28</c:v>
                </c:pt>
                <c:pt idx="19">
                  <c:v>Aug/28</c:v>
                </c:pt>
                <c:pt idx="20">
                  <c:v>Sep/28</c:v>
                </c:pt>
                <c:pt idx="21">
                  <c:v>Oct/28</c:v>
                </c:pt>
                <c:pt idx="22">
                  <c:v>Nov/28</c:v>
                </c:pt>
                <c:pt idx="23">
                  <c:v>Dec/28</c:v>
                </c:pt>
                <c:pt idx="24">
                  <c:v>Jan/29</c:v>
                </c:pt>
                <c:pt idx="25">
                  <c:v>Feb/29</c:v>
                </c:pt>
                <c:pt idx="26">
                  <c:v>Mar/29</c:v>
                </c:pt>
                <c:pt idx="27">
                  <c:v>Apr/29</c:v>
                </c:pt>
                <c:pt idx="28">
                  <c:v>May/29</c:v>
                </c:pt>
                <c:pt idx="29">
                  <c:v>Jun/29</c:v>
                </c:pt>
                <c:pt idx="30">
                  <c:v>Jul/29</c:v>
                </c:pt>
                <c:pt idx="31">
                  <c:v>Aug/29</c:v>
                </c:pt>
                <c:pt idx="32">
                  <c:v>Sep/29</c:v>
                </c:pt>
                <c:pt idx="33">
                  <c:v>Oct/29</c:v>
                </c:pt>
                <c:pt idx="34">
                  <c:v>Nov/29</c:v>
                </c:pt>
                <c:pt idx="35">
                  <c:v>Dec/29</c:v>
                </c:pt>
                <c:pt idx="36">
                  <c:v>Jan/30</c:v>
                </c:pt>
                <c:pt idx="37">
                  <c:v>Feb/30</c:v>
                </c:pt>
                <c:pt idx="38">
                  <c:v>Mar/30</c:v>
                </c:pt>
                <c:pt idx="39">
                  <c:v>Apr/30</c:v>
                </c:pt>
                <c:pt idx="40">
                  <c:v>May/30</c:v>
                </c:pt>
                <c:pt idx="41">
                  <c:v>Jun/30</c:v>
                </c:pt>
                <c:pt idx="42">
                  <c:v>Jul/30</c:v>
                </c:pt>
                <c:pt idx="43">
                  <c:v>Aug/30</c:v>
                </c:pt>
                <c:pt idx="44">
                  <c:v>Sep/30</c:v>
                </c:pt>
                <c:pt idx="45">
                  <c:v>Oct/30</c:v>
                </c:pt>
                <c:pt idx="46">
                  <c:v>Nov/30</c:v>
                </c:pt>
                <c:pt idx="47">
                  <c:v>Dec/30</c:v>
                </c:pt>
                <c:pt idx="48">
                  <c:v>Jan/31</c:v>
                </c:pt>
                <c:pt idx="49">
                  <c:v>Feb/31</c:v>
                </c:pt>
                <c:pt idx="50">
                  <c:v>Mar/31</c:v>
                </c:pt>
                <c:pt idx="51">
                  <c:v>Apr/31</c:v>
                </c:pt>
                <c:pt idx="52">
                  <c:v>May/31</c:v>
                </c:pt>
                <c:pt idx="53">
                  <c:v>Jun/31</c:v>
                </c:pt>
                <c:pt idx="54">
                  <c:v>Jul/31</c:v>
                </c:pt>
                <c:pt idx="55">
                  <c:v>Aug/31</c:v>
                </c:pt>
                <c:pt idx="56">
                  <c:v>Sep/31</c:v>
                </c:pt>
                <c:pt idx="57">
                  <c:v>Oct/31</c:v>
                </c:pt>
                <c:pt idx="58">
                  <c:v>Nov/31</c:v>
                </c:pt>
                <c:pt idx="59">
                  <c:v>Dec/31</c:v>
                </c:pt>
                <c:pt idx="60">
                  <c:v>Jan/32</c:v>
                </c:pt>
                <c:pt idx="61">
                  <c:v>Feb/32</c:v>
                </c:pt>
                <c:pt idx="62">
                  <c:v>Mar/32</c:v>
                </c:pt>
                <c:pt idx="63">
                  <c:v>Apr/32</c:v>
                </c:pt>
                <c:pt idx="64">
                  <c:v>May/32</c:v>
                </c:pt>
                <c:pt idx="65">
                  <c:v>Jun/32</c:v>
                </c:pt>
                <c:pt idx="66">
                  <c:v>Jul/32</c:v>
                </c:pt>
                <c:pt idx="67">
                  <c:v>Aug/32</c:v>
                </c:pt>
                <c:pt idx="68">
                  <c:v>Sep/32</c:v>
                </c:pt>
                <c:pt idx="69">
                  <c:v>Oct/32</c:v>
                </c:pt>
                <c:pt idx="70">
                  <c:v>Nov/32</c:v>
                </c:pt>
                <c:pt idx="71">
                  <c:v>Dec/32</c:v>
                </c:pt>
                <c:pt idx="72">
                  <c:v>Jan/33</c:v>
                </c:pt>
                <c:pt idx="73">
                  <c:v>Feb/33</c:v>
                </c:pt>
                <c:pt idx="74">
                  <c:v>Mar/33</c:v>
                </c:pt>
                <c:pt idx="75">
                  <c:v>Apr/33</c:v>
                </c:pt>
                <c:pt idx="76">
                  <c:v>May/33</c:v>
                </c:pt>
                <c:pt idx="77">
                  <c:v>Jun/33</c:v>
                </c:pt>
                <c:pt idx="78">
                  <c:v>Jul/33</c:v>
                </c:pt>
                <c:pt idx="79">
                  <c:v>Aug/33</c:v>
                </c:pt>
                <c:pt idx="80">
                  <c:v>Sep/33</c:v>
                </c:pt>
                <c:pt idx="81">
                  <c:v>Oct/33</c:v>
                </c:pt>
                <c:pt idx="82">
                  <c:v>Nov/33</c:v>
                </c:pt>
                <c:pt idx="83">
                  <c:v>Dec/33</c:v>
                </c:pt>
                <c:pt idx="84">
                  <c:v>Jan/34</c:v>
                </c:pt>
                <c:pt idx="85">
                  <c:v>Feb/34</c:v>
                </c:pt>
                <c:pt idx="86">
                  <c:v>Mar/34</c:v>
                </c:pt>
                <c:pt idx="87">
                  <c:v>Apr/34</c:v>
                </c:pt>
                <c:pt idx="88">
                  <c:v>May/34</c:v>
                </c:pt>
                <c:pt idx="89">
                  <c:v>Jun/34</c:v>
                </c:pt>
                <c:pt idx="90">
                  <c:v>Jul/34</c:v>
                </c:pt>
                <c:pt idx="91">
                  <c:v>Aug/34</c:v>
                </c:pt>
                <c:pt idx="92">
                  <c:v>Sep/34</c:v>
                </c:pt>
                <c:pt idx="93">
                  <c:v>Oct/34</c:v>
                </c:pt>
                <c:pt idx="94">
                  <c:v>Nov/34</c:v>
                </c:pt>
                <c:pt idx="95">
                  <c:v>Dec/34</c:v>
                </c:pt>
                <c:pt idx="96">
                  <c:v>Jan/35</c:v>
                </c:pt>
                <c:pt idx="97">
                  <c:v>Feb/35</c:v>
                </c:pt>
                <c:pt idx="98">
                  <c:v>Mar/35</c:v>
                </c:pt>
                <c:pt idx="99">
                  <c:v>Apr/35</c:v>
                </c:pt>
                <c:pt idx="100">
                  <c:v>May/35</c:v>
                </c:pt>
                <c:pt idx="101">
                  <c:v>Jun/35</c:v>
                </c:pt>
                <c:pt idx="102">
                  <c:v>Jul/35</c:v>
                </c:pt>
                <c:pt idx="103">
                  <c:v>Aug/35</c:v>
                </c:pt>
                <c:pt idx="104">
                  <c:v>Sep/35</c:v>
                </c:pt>
                <c:pt idx="105">
                  <c:v>Oct/35</c:v>
                </c:pt>
                <c:pt idx="106">
                  <c:v>Nov/35</c:v>
                </c:pt>
                <c:pt idx="107">
                  <c:v>Dec/35</c:v>
                </c:pt>
                <c:pt idx="108">
                  <c:v>Jan/36</c:v>
                </c:pt>
                <c:pt idx="109">
                  <c:v>Feb/36</c:v>
                </c:pt>
                <c:pt idx="110">
                  <c:v>Mar/36</c:v>
                </c:pt>
                <c:pt idx="111">
                  <c:v>Apr/36</c:v>
                </c:pt>
                <c:pt idx="112">
                  <c:v>May/36</c:v>
                </c:pt>
                <c:pt idx="113">
                  <c:v>Jun/36</c:v>
                </c:pt>
                <c:pt idx="114">
                  <c:v>Jul/36</c:v>
                </c:pt>
                <c:pt idx="115">
                  <c:v>Aug/36</c:v>
                </c:pt>
                <c:pt idx="116">
                  <c:v>Sep/36</c:v>
                </c:pt>
                <c:pt idx="117">
                  <c:v>Oct/36</c:v>
                </c:pt>
                <c:pt idx="118">
                  <c:v>Nov/36</c:v>
                </c:pt>
                <c:pt idx="119">
                  <c:v>Dec/36</c:v>
                </c:pt>
                <c:pt idx="120">
                  <c:v>Jan/37</c:v>
                </c:pt>
                <c:pt idx="121">
                  <c:v>Feb/37</c:v>
                </c:pt>
                <c:pt idx="122">
                  <c:v>Mar/37</c:v>
                </c:pt>
                <c:pt idx="123">
                  <c:v>Apr/37</c:v>
                </c:pt>
                <c:pt idx="124">
                  <c:v>May/37</c:v>
                </c:pt>
                <c:pt idx="125">
                  <c:v>Jun/37</c:v>
                </c:pt>
                <c:pt idx="126">
                  <c:v>Jul/37</c:v>
                </c:pt>
                <c:pt idx="127">
                  <c:v>Aug/37</c:v>
                </c:pt>
                <c:pt idx="128">
                  <c:v>Sep/37</c:v>
                </c:pt>
                <c:pt idx="129">
                  <c:v>Oct/37</c:v>
                </c:pt>
                <c:pt idx="130">
                  <c:v>Nov/37</c:v>
                </c:pt>
                <c:pt idx="131">
                  <c:v>Dec/37</c:v>
                </c:pt>
                <c:pt idx="132">
                  <c:v>Jan/38</c:v>
                </c:pt>
                <c:pt idx="133">
                  <c:v>Feb/38</c:v>
                </c:pt>
                <c:pt idx="134">
                  <c:v>Mar/38</c:v>
                </c:pt>
                <c:pt idx="135">
                  <c:v>Apr/38</c:v>
                </c:pt>
                <c:pt idx="136">
                  <c:v>May/38</c:v>
                </c:pt>
                <c:pt idx="137">
                  <c:v>Jun/38</c:v>
                </c:pt>
                <c:pt idx="138">
                  <c:v>Jul/38</c:v>
                </c:pt>
                <c:pt idx="139">
                  <c:v>Aug/38</c:v>
                </c:pt>
                <c:pt idx="140">
                  <c:v>Sep/38</c:v>
                </c:pt>
                <c:pt idx="141">
                  <c:v>Oct/38</c:v>
                </c:pt>
                <c:pt idx="142">
                  <c:v>Nov/38</c:v>
                </c:pt>
                <c:pt idx="143">
                  <c:v>Dec/38</c:v>
                </c:pt>
                <c:pt idx="144">
                  <c:v>Jan/39</c:v>
                </c:pt>
                <c:pt idx="145">
                  <c:v>Feb/39</c:v>
                </c:pt>
                <c:pt idx="146">
                  <c:v>Mar/39</c:v>
                </c:pt>
                <c:pt idx="147">
                  <c:v>Apr/39</c:v>
                </c:pt>
                <c:pt idx="148">
                  <c:v>May/39</c:v>
                </c:pt>
                <c:pt idx="149">
                  <c:v>Jun/39</c:v>
                </c:pt>
                <c:pt idx="150">
                  <c:v>Jul/39</c:v>
                </c:pt>
                <c:pt idx="151">
                  <c:v>Aug/39</c:v>
                </c:pt>
                <c:pt idx="152">
                  <c:v>Sep/39</c:v>
                </c:pt>
                <c:pt idx="153">
                  <c:v>Oct/39</c:v>
                </c:pt>
                <c:pt idx="154">
                  <c:v>Nov/39</c:v>
                </c:pt>
                <c:pt idx="155">
                  <c:v>Dec/39</c:v>
                </c:pt>
                <c:pt idx="156">
                  <c:v>Jan/40</c:v>
                </c:pt>
                <c:pt idx="157">
                  <c:v>Feb/40</c:v>
                </c:pt>
                <c:pt idx="158">
                  <c:v>Mar/40</c:v>
                </c:pt>
                <c:pt idx="159">
                  <c:v>Apr/40</c:v>
                </c:pt>
                <c:pt idx="160">
                  <c:v>May/40</c:v>
                </c:pt>
                <c:pt idx="161">
                  <c:v>Jun/40</c:v>
                </c:pt>
                <c:pt idx="162">
                  <c:v>Jul/40</c:v>
                </c:pt>
                <c:pt idx="163">
                  <c:v>Aug/40</c:v>
                </c:pt>
                <c:pt idx="164">
                  <c:v>Sep/40</c:v>
                </c:pt>
                <c:pt idx="165">
                  <c:v>Oct/40</c:v>
                </c:pt>
                <c:pt idx="166">
                  <c:v>Nov/40</c:v>
                </c:pt>
                <c:pt idx="167">
                  <c:v>Dec/40</c:v>
                </c:pt>
                <c:pt idx="168">
                  <c:v>Jan/41</c:v>
                </c:pt>
                <c:pt idx="169">
                  <c:v>Feb/41</c:v>
                </c:pt>
                <c:pt idx="170">
                  <c:v>Mar/41</c:v>
                </c:pt>
                <c:pt idx="171">
                  <c:v>Apr/41</c:v>
                </c:pt>
                <c:pt idx="172">
                  <c:v>May/41</c:v>
                </c:pt>
                <c:pt idx="173">
                  <c:v>Jun/41</c:v>
                </c:pt>
                <c:pt idx="174">
                  <c:v>Jul/41</c:v>
                </c:pt>
                <c:pt idx="175">
                  <c:v>Aug/41</c:v>
                </c:pt>
                <c:pt idx="176">
                  <c:v>Sep/41</c:v>
                </c:pt>
                <c:pt idx="177">
                  <c:v>Oct/41</c:v>
                </c:pt>
                <c:pt idx="178">
                  <c:v>Nov/41</c:v>
                </c:pt>
                <c:pt idx="179">
                  <c:v>Dec/41</c:v>
                </c:pt>
                <c:pt idx="180">
                  <c:v>Jan/42</c:v>
                </c:pt>
                <c:pt idx="181">
                  <c:v>Feb/42</c:v>
                </c:pt>
                <c:pt idx="182">
                  <c:v>Mar/42</c:v>
                </c:pt>
                <c:pt idx="183">
                  <c:v>Apr/42</c:v>
                </c:pt>
                <c:pt idx="184">
                  <c:v>May/42</c:v>
                </c:pt>
                <c:pt idx="185">
                  <c:v>Jun/42</c:v>
                </c:pt>
                <c:pt idx="186">
                  <c:v>Jul/42</c:v>
                </c:pt>
                <c:pt idx="187">
                  <c:v>Aug/42</c:v>
                </c:pt>
                <c:pt idx="188">
                  <c:v>Sep/42</c:v>
                </c:pt>
                <c:pt idx="189">
                  <c:v>Oct/42</c:v>
                </c:pt>
                <c:pt idx="190">
                  <c:v>Nov/42</c:v>
                </c:pt>
                <c:pt idx="191">
                  <c:v>Dec/42</c:v>
                </c:pt>
                <c:pt idx="192">
                  <c:v>Jan/43</c:v>
                </c:pt>
                <c:pt idx="193">
                  <c:v>Feb/43</c:v>
                </c:pt>
                <c:pt idx="194">
                  <c:v>Mar/43</c:v>
                </c:pt>
                <c:pt idx="195">
                  <c:v>Apr/43</c:v>
                </c:pt>
                <c:pt idx="196">
                  <c:v>May/43</c:v>
                </c:pt>
                <c:pt idx="197">
                  <c:v>Jun/43</c:v>
                </c:pt>
                <c:pt idx="198">
                  <c:v>Jul/43</c:v>
                </c:pt>
                <c:pt idx="199">
                  <c:v>Aug/43</c:v>
                </c:pt>
                <c:pt idx="200">
                  <c:v>Sep/43</c:v>
                </c:pt>
                <c:pt idx="201">
                  <c:v>Oct/43</c:v>
                </c:pt>
                <c:pt idx="202">
                  <c:v>Nov/43</c:v>
                </c:pt>
                <c:pt idx="203">
                  <c:v>Dec/43</c:v>
                </c:pt>
                <c:pt idx="204">
                  <c:v>Jan/44</c:v>
                </c:pt>
                <c:pt idx="205">
                  <c:v>Feb/44</c:v>
                </c:pt>
                <c:pt idx="206">
                  <c:v>Mar/44</c:v>
                </c:pt>
                <c:pt idx="207">
                  <c:v>Apr/44</c:v>
                </c:pt>
                <c:pt idx="208">
                  <c:v>May/44</c:v>
                </c:pt>
                <c:pt idx="209">
                  <c:v>Jun/44</c:v>
                </c:pt>
                <c:pt idx="210">
                  <c:v>Jul/44</c:v>
                </c:pt>
                <c:pt idx="211">
                  <c:v>Aug/44</c:v>
                </c:pt>
                <c:pt idx="212">
                  <c:v>Sep/44</c:v>
                </c:pt>
                <c:pt idx="213">
                  <c:v>Oct/44</c:v>
                </c:pt>
                <c:pt idx="214">
                  <c:v>Nov/44</c:v>
                </c:pt>
                <c:pt idx="215">
                  <c:v>Dec/44</c:v>
                </c:pt>
                <c:pt idx="216">
                  <c:v>Jan/45</c:v>
                </c:pt>
                <c:pt idx="217">
                  <c:v>Feb/45</c:v>
                </c:pt>
                <c:pt idx="218">
                  <c:v>Mar/45</c:v>
                </c:pt>
                <c:pt idx="219">
                  <c:v>Apr/45</c:v>
                </c:pt>
                <c:pt idx="220">
                  <c:v>May/45</c:v>
                </c:pt>
                <c:pt idx="221">
                  <c:v>Jun/45</c:v>
                </c:pt>
                <c:pt idx="222">
                  <c:v>Jul/45</c:v>
                </c:pt>
                <c:pt idx="223">
                  <c:v>Aug/45</c:v>
                </c:pt>
                <c:pt idx="224">
                  <c:v>Sep/45</c:v>
                </c:pt>
                <c:pt idx="225">
                  <c:v>Oct/45</c:v>
                </c:pt>
                <c:pt idx="226">
                  <c:v>Nov/45</c:v>
                </c:pt>
                <c:pt idx="227">
                  <c:v>Dec/45</c:v>
                </c:pt>
                <c:pt idx="228">
                  <c:v>Jan/46</c:v>
                </c:pt>
                <c:pt idx="229">
                  <c:v>Feb/46</c:v>
                </c:pt>
                <c:pt idx="230">
                  <c:v>Mar/46</c:v>
                </c:pt>
                <c:pt idx="231">
                  <c:v>Apr/46</c:v>
                </c:pt>
                <c:pt idx="232">
                  <c:v>May/46</c:v>
                </c:pt>
                <c:pt idx="233">
                  <c:v>Jun/46</c:v>
                </c:pt>
                <c:pt idx="234">
                  <c:v>Jul/46</c:v>
                </c:pt>
                <c:pt idx="235">
                  <c:v>Aug/46</c:v>
                </c:pt>
                <c:pt idx="236">
                  <c:v>Sep/46</c:v>
                </c:pt>
                <c:pt idx="237">
                  <c:v>Oct/46</c:v>
                </c:pt>
                <c:pt idx="238">
                  <c:v>Nov/46</c:v>
                </c:pt>
                <c:pt idx="239">
                  <c:v>Dec/46</c:v>
                </c:pt>
                <c:pt idx="240">
                  <c:v>Jan/47</c:v>
                </c:pt>
                <c:pt idx="241">
                  <c:v>Feb/47</c:v>
                </c:pt>
                <c:pt idx="242">
                  <c:v>Mar/47</c:v>
                </c:pt>
                <c:pt idx="243">
                  <c:v>Apr/47</c:v>
                </c:pt>
                <c:pt idx="244">
                  <c:v>May/47</c:v>
                </c:pt>
                <c:pt idx="245">
                  <c:v>Jun/47</c:v>
                </c:pt>
                <c:pt idx="246">
                  <c:v>Jul/47</c:v>
                </c:pt>
                <c:pt idx="247">
                  <c:v>Aug/47</c:v>
                </c:pt>
                <c:pt idx="248">
                  <c:v>Sep/47</c:v>
                </c:pt>
                <c:pt idx="249">
                  <c:v>Oct/47</c:v>
                </c:pt>
                <c:pt idx="250">
                  <c:v>Nov/47</c:v>
                </c:pt>
                <c:pt idx="251">
                  <c:v>Dec/47</c:v>
                </c:pt>
                <c:pt idx="252">
                  <c:v>Jan/48</c:v>
                </c:pt>
                <c:pt idx="253">
                  <c:v>Feb/48</c:v>
                </c:pt>
                <c:pt idx="254">
                  <c:v>Mar/48</c:v>
                </c:pt>
                <c:pt idx="255">
                  <c:v>Apr/48</c:v>
                </c:pt>
                <c:pt idx="256">
                  <c:v>May/48</c:v>
                </c:pt>
                <c:pt idx="257">
                  <c:v>Jun/48</c:v>
                </c:pt>
                <c:pt idx="258">
                  <c:v>Jul/48</c:v>
                </c:pt>
                <c:pt idx="259">
                  <c:v>Aug/48</c:v>
                </c:pt>
                <c:pt idx="260">
                  <c:v>Sep/48</c:v>
                </c:pt>
                <c:pt idx="261">
                  <c:v>Oct/48</c:v>
                </c:pt>
                <c:pt idx="262">
                  <c:v>Nov/48</c:v>
                </c:pt>
                <c:pt idx="263">
                  <c:v>Dec/48</c:v>
                </c:pt>
                <c:pt idx="264">
                  <c:v>Jan/49</c:v>
                </c:pt>
                <c:pt idx="265">
                  <c:v>Feb/49</c:v>
                </c:pt>
                <c:pt idx="266">
                  <c:v>Mar/49</c:v>
                </c:pt>
                <c:pt idx="267">
                  <c:v>Apr/49</c:v>
                </c:pt>
                <c:pt idx="268">
                  <c:v>May/49</c:v>
                </c:pt>
                <c:pt idx="269">
                  <c:v>Jun/49</c:v>
                </c:pt>
                <c:pt idx="270">
                  <c:v>Jul/49</c:v>
                </c:pt>
                <c:pt idx="271">
                  <c:v>Aug/49</c:v>
                </c:pt>
                <c:pt idx="272">
                  <c:v>Sep/49</c:v>
                </c:pt>
                <c:pt idx="273">
                  <c:v>Oct/49</c:v>
                </c:pt>
                <c:pt idx="274">
                  <c:v>Nov/49</c:v>
                </c:pt>
                <c:pt idx="275">
                  <c:v>Dec/49</c:v>
                </c:pt>
                <c:pt idx="276">
                  <c:v>Jan/50</c:v>
                </c:pt>
                <c:pt idx="277">
                  <c:v>Feb/50</c:v>
                </c:pt>
                <c:pt idx="278">
                  <c:v>Mar/50</c:v>
                </c:pt>
                <c:pt idx="279">
                  <c:v>Apr/50</c:v>
                </c:pt>
                <c:pt idx="280">
                  <c:v>May/50</c:v>
                </c:pt>
                <c:pt idx="281">
                  <c:v>Jun/50</c:v>
                </c:pt>
                <c:pt idx="282">
                  <c:v>Jul/50</c:v>
                </c:pt>
                <c:pt idx="283">
                  <c:v>Aug/50</c:v>
                </c:pt>
                <c:pt idx="284">
                  <c:v>Sep/50</c:v>
                </c:pt>
                <c:pt idx="285">
                  <c:v>Oct/50</c:v>
                </c:pt>
                <c:pt idx="286">
                  <c:v>Nov/50</c:v>
                </c:pt>
                <c:pt idx="287">
                  <c:v>Dec/50</c:v>
                </c:pt>
                <c:pt idx="288">
                  <c:v>Jan/51</c:v>
                </c:pt>
                <c:pt idx="289">
                  <c:v>Feb/51</c:v>
                </c:pt>
                <c:pt idx="290">
                  <c:v>Mar/51</c:v>
                </c:pt>
                <c:pt idx="291">
                  <c:v>Apr/51</c:v>
                </c:pt>
                <c:pt idx="292">
                  <c:v>May/51</c:v>
                </c:pt>
                <c:pt idx="293">
                  <c:v>Jun/51</c:v>
                </c:pt>
                <c:pt idx="294">
                  <c:v>Jul/51</c:v>
                </c:pt>
                <c:pt idx="295">
                  <c:v>Aug/51</c:v>
                </c:pt>
                <c:pt idx="296">
                  <c:v>Sep/51</c:v>
                </c:pt>
                <c:pt idx="297">
                  <c:v>Oct/51</c:v>
                </c:pt>
                <c:pt idx="298">
                  <c:v>Nov/51</c:v>
                </c:pt>
                <c:pt idx="299">
                  <c:v>Dec/51</c:v>
                </c:pt>
                <c:pt idx="300">
                  <c:v>Jan/52</c:v>
                </c:pt>
                <c:pt idx="301">
                  <c:v>Feb/52</c:v>
                </c:pt>
                <c:pt idx="302">
                  <c:v>Mar/52</c:v>
                </c:pt>
                <c:pt idx="303">
                  <c:v>Apr/52</c:v>
                </c:pt>
                <c:pt idx="304">
                  <c:v>May/52</c:v>
                </c:pt>
                <c:pt idx="305">
                  <c:v>Jun/52</c:v>
                </c:pt>
                <c:pt idx="306">
                  <c:v>Jul/52</c:v>
                </c:pt>
                <c:pt idx="307">
                  <c:v>Aug/52</c:v>
                </c:pt>
                <c:pt idx="308">
                  <c:v>Sep/52</c:v>
                </c:pt>
                <c:pt idx="309">
                  <c:v>Oct/52</c:v>
                </c:pt>
                <c:pt idx="310">
                  <c:v>Nov/52</c:v>
                </c:pt>
                <c:pt idx="311">
                  <c:v>Dec/52</c:v>
                </c:pt>
                <c:pt idx="312">
                  <c:v>Jan/53</c:v>
                </c:pt>
                <c:pt idx="313">
                  <c:v>Feb/53</c:v>
                </c:pt>
                <c:pt idx="314">
                  <c:v>Mar/53</c:v>
                </c:pt>
                <c:pt idx="315">
                  <c:v>Apr/53</c:v>
                </c:pt>
                <c:pt idx="316">
                  <c:v>May/53</c:v>
                </c:pt>
                <c:pt idx="317">
                  <c:v>Jun/53</c:v>
                </c:pt>
                <c:pt idx="318">
                  <c:v>Jul/53</c:v>
                </c:pt>
                <c:pt idx="319">
                  <c:v>Aug/53</c:v>
                </c:pt>
                <c:pt idx="320">
                  <c:v>Sep/53</c:v>
                </c:pt>
                <c:pt idx="321">
                  <c:v>Oct/53</c:v>
                </c:pt>
                <c:pt idx="322">
                  <c:v>Nov/53</c:v>
                </c:pt>
                <c:pt idx="323">
                  <c:v>Dec/53</c:v>
                </c:pt>
                <c:pt idx="324">
                  <c:v>Jan/54</c:v>
                </c:pt>
                <c:pt idx="325">
                  <c:v>Feb/54</c:v>
                </c:pt>
                <c:pt idx="326">
                  <c:v>Mar/54</c:v>
                </c:pt>
                <c:pt idx="327">
                  <c:v>Apr/54</c:v>
                </c:pt>
                <c:pt idx="328">
                  <c:v>May/54</c:v>
                </c:pt>
                <c:pt idx="329">
                  <c:v>Jun/54</c:v>
                </c:pt>
                <c:pt idx="330">
                  <c:v>Jul/54</c:v>
                </c:pt>
                <c:pt idx="331">
                  <c:v>Aug/54</c:v>
                </c:pt>
                <c:pt idx="332">
                  <c:v>Sep/54</c:v>
                </c:pt>
                <c:pt idx="333">
                  <c:v>Oct/54</c:v>
                </c:pt>
                <c:pt idx="334">
                  <c:v>Nov/54</c:v>
                </c:pt>
                <c:pt idx="335">
                  <c:v>Dec/54</c:v>
                </c:pt>
                <c:pt idx="336">
                  <c:v>Jan/55</c:v>
                </c:pt>
                <c:pt idx="337">
                  <c:v>Feb/55</c:v>
                </c:pt>
                <c:pt idx="338">
                  <c:v>Mar/55</c:v>
                </c:pt>
                <c:pt idx="339">
                  <c:v>Apr/55</c:v>
                </c:pt>
                <c:pt idx="340">
                  <c:v>May/55</c:v>
                </c:pt>
                <c:pt idx="341">
                  <c:v>Jun/55</c:v>
                </c:pt>
                <c:pt idx="342">
                  <c:v>Jul/55</c:v>
                </c:pt>
                <c:pt idx="343">
                  <c:v>Aug/55</c:v>
                </c:pt>
                <c:pt idx="344">
                  <c:v>Sep/55</c:v>
                </c:pt>
                <c:pt idx="345">
                  <c:v>Oct/55</c:v>
                </c:pt>
                <c:pt idx="346">
                  <c:v>Nov/55</c:v>
                </c:pt>
                <c:pt idx="347">
                  <c:v>Dec/55</c:v>
                </c:pt>
                <c:pt idx="348">
                  <c:v>Jan/56</c:v>
                </c:pt>
                <c:pt idx="349">
                  <c:v>Feb/56</c:v>
                </c:pt>
                <c:pt idx="350">
                  <c:v>Mar/56</c:v>
                </c:pt>
                <c:pt idx="351">
                  <c:v>Apr/56</c:v>
                </c:pt>
                <c:pt idx="352">
                  <c:v>May/56</c:v>
                </c:pt>
                <c:pt idx="353">
                  <c:v>Jun/56</c:v>
                </c:pt>
                <c:pt idx="354">
                  <c:v>Jul/56</c:v>
                </c:pt>
                <c:pt idx="355">
                  <c:v>Aug/56</c:v>
                </c:pt>
                <c:pt idx="356">
                  <c:v>Sep/56</c:v>
                </c:pt>
                <c:pt idx="357">
                  <c:v>Oct/56</c:v>
                </c:pt>
                <c:pt idx="358">
                  <c:v>Nov/56</c:v>
                </c:pt>
                <c:pt idx="359">
                  <c:v>Dec/56</c:v>
                </c:pt>
                <c:pt idx="360">
                  <c:v>Jan/57</c:v>
                </c:pt>
                <c:pt idx="361">
                  <c:v>Feb/57</c:v>
                </c:pt>
                <c:pt idx="362">
                  <c:v>Mar/57</c:v>
                </c:pt>
                <c:pt idx="363">
                  <c:v>Apr/57</c:v>
                </c:pt>
                <c:pt idx="364">
                  <c:v>May/57</c:v>
                </c:pt>
                <c:pt idx="365">
                  <c:v>Jun/57</c:v>
                </c:pt>
                <c:pt idx="366">
                  <c:v>Jul/57</c:v>
                </c:pt>
                <c:pt idx="367">
                  <c:v>Aug/57</c:v>
                </c:pt>
                <c:pt idx="368">
                  <c:v>Sep/57</c:v>
                </c:pt>
                <c:pt idx="369">
                  <c:v>Oct/57</c:v>
                </c:pt>
                <c:pt idx="370">
                  <c:v>Nov/57</c:v>
                </c:pt>
                <c:pt idx="371">
                  <c:v>Dec/57</c:v>
                </c:pt>
                <c:pt idx="372">
                  <c:v>Jan/58</c:v>
                </c:pt>
                <c:pt idx="373">
                  <c:v>Feb/58</c:v>
                </c:pt>
                <c:pt idx="374">
                  <c:v>Mar/58</c:v>
                </c:pt>
                <c:pt idx="375">
                  <c:v>Apr/58</c:v>
                </c:pt>
                <c:pt idx="376">
                  <c:v>May/58</c:v>
                </c:pt>
                <c:pt idx="377">
                  <c:v>Jun/58</c:v>
                </c:pt>
                <c:pt idx="378">
                  <c:v>Jul/58</c:v>
                </c:pt>
                <c:pt idx="379">
                  <c:v>Aug/58</c:v>
                </c:pt>
                <c:pt idx="380">
                  <c:v>Sep/58</c:v>
                </c:pt>
                <c:pt idx="381">
                  <c:v>Oct/58</c:v>
                </c:pt>
                <c:pt idx="382">
                  <c:v>Nov/58</c:v>
                </c:pt>
                <c:pt idx="383">
                  <c:v>Dec/58</c:v>
                </c:pt>
              </c:strCache>
            </c:strRef>
          </c:cat>
          <c:val>
            <c:numRef>
              <c:f>'Fluxo mensal'!$AB$5:$AB$388</c:f>
              <c:numCache>
                <c:formatCode>"R$ "#,##0;"(R$ "#,##0\);\-</c:formatCode>
                <c:ptCount val="384"/>
                <c:pt idx="19">
                  <c:v>-49249.640893124</c:v>
                </c:pt>
                <c:pt idx="20">
                  <c:v>-67800.8317338026</c:v>
                </c:pt>
                <c:pt idx="21">
                  <c:v>-86322.5270085893</c:v>
                </c:pt>
                <c:pt idx="22">
                  <c:v>-88796.629220097</c:v>
                </c:pt>
                <c:pt idx="23">
                  <c:v>-91237.4375323843</c:v>
                </c:pt>
                <c:pt idx="24">
                  <c:v>-93644.7061606398</c:v>
                </c:pt>
                <c:pt idx="25">
                  <c:v>-95156.5896785528</c:v>
                </c:pt>
                <c:pt idx="26">
                  <c:v>-96631.6175153233</c:v>
                </c:pt>
                <c:pt idx="27">
                  <c:v>-98069.5308622205</c:v>
                </c:pt>
                <c:pt idx="28">
                  <c:v>-99470.0696056941</c:v>
                </c:pt>
                <c:pt idx="29">
                  <c:v>-100832.972321585</c:v>
                </c:pt>
                <c:pt idx="30">
                  <c:v>-102157.976269309</c:v>
                </c:pt>
                <c:pt idx="31">
                  <c:v>-103444.817386018</c:v>
                </c:pt>
                <c:pt idx="32">
                  <c:v>-104693.230280736</c:v>
                </c:pt>
                <c:pt idx="33">
                  <c:v>-105902.948228475</c:v>
                </c:pt>
                <c:pt idx="34">
                  <c:v>-107073.703164316</c:v>
                </c:pt>
                <c:pt idx="35">
                  <c:v>-108205.22567748</c:v>
                </c:pt>
                <c:pt idx="36">
                  <c:v>-109297.245005363</c:v>
                </c:pt>
                <c:pt idx="37">
                  <c:v>-110349.489027547</c:v>
                </c:pt>
                <c:pt idx="38">
                  <c:v>-111361.684259798</c:v>
                </c:pt>
                <c:pt idx="39">
                  <c:v>-112333.555848023</c:v>
                </c:pt>
                <c:pt idx="40">
                  <c:v>-113264.827562211</c:v>
                </c:pt>
                <c:pt idx="41">
                  <c:v>-114155.221790351</c:v>
                </c:pt>
                <c:pt idx="42">
                  <c:v>-115004.459532314</c:v>
                </c:pt>
                <c:pt idx="43">
                  <c:v>-115812.260393727</c:v>
                </c:pt>
                <c:pt idx="44">
                  <c:v>-116578.3425798</c:v>
                </c:pt>
                <c:pt idx="45">
                  <c:v>-117302.422889151</c:v>
                </c:pt>
                <c:pt idx="46">
                  <c:v>-118078.463063668</c:v>
                </c:pt>
                <c:pt idx="47">
                  <c:v>-119048.896182312</c:v>
                </c:pt>
                <c:pt idx="48">
                  <c:v>-119977.818716205</c:v>
                </c:pt>
                <c:pt idx="49">
                  <c:v>-120864.9472728</c:v>
                </c:pt>
                <c:pt idx="50">
                  <c:v>-121709.99704403</c:v>
                </c:pt>
                <c:pt idx="51">
                  <c:v>-122512.681800056</c:v>
                </c:pt>
                <c:pt idx="52">
                  <c:v>-123272.713882988</c:v>
                </c:pt>
                <c:pt idx="53">
                  <c:v>-123989.804200589</c:v>
                </c:pt>
                <c:pt idx="54">
                  <c:v>-124663.662219939</c:v>
                </c:pt>
                <c:pt idx="55">
                  <c:v>-125293.995961085</c:v>
                </c:pt>
                <c:pt idx="56">
                  <c:v>-125880.511990657</c:v>
                </c:pt>
                <c:pt idx="57">
                  <c:v>-126422.915415463</c:v>
                </c:pt>
                <c:pt idx="58">
                  <c:v>-126920.909876055</c:v>
                </c:pt>
                <c:pt idx="59">
                  <c:v>-127374.197540266</c:v>
                </c:pt>
                <c:pt idx="60">
                  <c:v>-127782.479096725</c:v>
                </c:pt>
                <c:pt idx="61">
                  <c:v>-128145.453748342</c:v>
                </c:pt>
                <c:pt idx="62">
                  <c:v>-128462.819205771</c:v>
                </c:pt>
                <c:pt idx="63">
                  <c:v>-128734.271680835</c:v>
                </c:pt>
                <c:pt idx="64">
                  <c:v>-128959.505879939</c:v>
                </c:pt>
                <c:pt idx="65">
                  <c:v>-129138.214997442</c:v>
                </c:pt>
                <c:pt idx="66">
                  <c:v>-129270.090709012</c:v>
                </c:pt>
                <c:pt idx="67">
                  <c:v>-129354.823164944</c:v>
                </c:pt>
                <c:pt idx="68">
                  <c:v>-129392.100983464</c:v>
                </c:pt>
                <c:pt idx="69">
                  <c:v>-129381.611243987</c:v>
                </c:pt>
                <c:pt idx="70">
                  <c:v>-129323.039480366</c:v>
                </c:pt>
                <c:pt idx="71">
                  <c:v>-129216.069674098</c:v>
                </c:pt>
                <c:pt idx="72">
                  <c:v>-129060.384247515</c:v>
                </c:pt>
                <c:pt idx="73">
                  <c:v>-128855.664056932</c:v>
                </c:pt>
                <c:pt idx="74">
                  <c:v>-128601.588385786</c:v>
                </c:pt>
                <c:pt idx="75">
                  <c:v>-128297.834937724</c:v>
                </c:pt>
                <c:pt idx="76">
                  <c:v>-127944.079829685</c:v>
                </c:pt>
                <c:pt idx="77">
                  <c:v>-127539.997584937</c:v>
                </c:pt>
                <c:pt idx="78">
                  <c:v>-127085.261126092</c:v>
                </c:pt>
                <c:pt idx="79">
                  <c:v>-126579.541768095</c:v>
                </c:pt>
                <c:pt idx="80">
                  <c:v>-126022.509211176</c:v>
                </c:pt>
                <c:pt idx="81">
                  <c:v>-125413.831533781</c:v>
                </c:pt>
                <c:pt idx="82">
                  <c:v>-124753.175185471</c:v>
                </c:pt>
                <c:pt idx="83">
                  <c:v>-124040.204979789</c:v>
                </c:pt>
                <c:pt idx="84">
                  <c:v>-123274.584087102</c:v>
                </c:pt>
                <c:pt idx="85">
                  <c:v>-122455.974027411</c:v>
                </c:pt>
                <c:pt idx="86">
                  <c:v>-121584.034663134</c:v>
                </c:pt>
                <c:pt idx="87">
                  <c:v>-120658.424191854</c:v>
                </c:pt>
                <c:pt idx="88">
                  <c:v>-119678.799139043</c:v>
                </c:pt>
                <c:pt idx="89">
                  <c:v>-118644.814350755</c:v>
                </c:pt>
                <c:pt idx="90">
                  <c:v>-117556.122986286</c:v>
                </c:pt>
                <c:pt idx="91">
                  <c:v>-116412.376510804</c:v>
                </c:pt>
                <c:pt idx="92">
                  <c:v>-115213.224687955</c:v>
                </c:pt>
                <c:pt idx="93">
                  <c:v>-113958.315572429</c:v>
                </c:pt>
                <c:pt idx="94">
                  <c:v>-112647.295502506</c:v>
                </c:pt>
                <c:pt idx="95">
                  <c:v>-111279.809092558</c:v>
                </c:pt>
                <c:pt idx="96">
                  <c:v>-109855.499225538</c:v>
                </c:pt>
                <c:pt idx="97">
                  <c:v>-108374.007045421</c:v>
                </c:pt>
                <c:pt idx="98">
                  <c:v>-106834.971949622</c:v>
                </c:pt>
                <c:pt idx="99">
                  <c:v>-105238.031581386</c:v>
                </c:pt>
                <c:pt idx="100">
                  <c:v>-103582.821822139</c:v>
                </c:pt>
                <c:pt idx="101">
                  <c:v>-101868.976783815</c:v>
                </c:pt>
                <c:pt idx="102">
                  <c:v>-100096.128801144</c:v>
                </c:pt>
                <c:pt idx="103">
                  <c:v>-98263.9084239159</c:v>
                </c:pt>
                <c:pt idx="104">
                  <c:v>-96371.9444092091</c:v>
                </c:pt>
                <c:pt idx="105">
                  <c:v>-94419.863713585</c:v>
                </c:pt>
                <c:pt idx="106">
                  <c:v>-92407.2914852556</c:v>
                </c:pt>
                <c:pt idx="107">
                  <c:v>-90333.8510562144</c:v>
                </c:pt>
                <c:pt idx="108">
                  <c:v>-88199.1639343386</c:v>
                </c:pt>
                <c:pt idx="109">
                  <c:v>-86002.8497954562</c:v>
                </c:pt>
                <c:pt idx="110">
                  <c:v>-83744.5264753817</c:v>
                </c:pt>
                <c:pt idx="111">
                  <c:v>-81423.8099619208</c:v>
                </c:pt>
                <c:pt idx="112">
                  <c:v>-79040.3143868391</c:v>
                </c:pt>
                <c:pt idx="113">
                  <c:v>-76593.6520178</c:v>
                </c:pt>
                <c:pt idx="114">
                  <c:v>-74083.4332502702</c:v>
                </c:pt>
                <c:pt idx="115">
                  <c:v>-71509.26659939</c:v>
                </c:pt>
                <c:pt idx="116">
                  <c:v>-68870.7586918119</c:v>
                </c:pt>
                <c:pt idx="117">
                  <c:v>-66167.5142575057</c:v>
                </c:pt>
                <c:pt idx="118">
                  <c:v>-63399.1361215288</c:v>
                </c:pt>
                <c:pt idx="119">
                  <c:v>-60565.2251957649</c:v>
                </c:pt>
                <c:pt idx="120">
                  <c:v>-57665.3804706266</c:v>
                </c:pt>
                <c:pt idx="121">
                  <c:v>-54699.1990067269</c:v>
                </c:pt>
                <c:pt idx="122">
                  <c:v>-51666.2759265126</c:v>
                </c:pt>
                <c:pt idx="123">
                  <c:v>-48566.2044058682</c:v>
                </c:pt>
                <c:pt idx="124">
                  <c:v>-45398.5756656822</c:v>
                </c:pt>
                <c:pt idx="125">
                  <c:v>-42162.9789633798</c:v>
                </c:pt>
                <c:pt idx="126">
                  <c:v>-38859.0015844215</c:v>
                </c:pt>
                <c:pt idx="127">
                  <c:v>-35486.2288337661</c:v>
                </c:pt>
                <c:pt idx="128">
                  <c:v>-32044.2440273004</c:v>
                </c:pt>
                <c:pt idx="129">
                  <c:v>-28532.6284832313</c:v>
                </c:pt>
                <c:pt idx="130">
                  <c:v>-24950.9615134454</c:v>
                </c:pt>
                <c:pt idx="131">
                  <c:v>-21298.8204148319</c:v>
                </c:pt>
                <c:pt idx="132">
                  <c:v>-17575.78046057</c:v>
                </c:pt>
                <c:pt idx="133">
                  <c:v>-13781.4148913821</c:v>
                </c:pt>
                <c:pt idx="134">
                  <c:v>-9915.29490674916</c:v>
                </c:pt>
                <c:pt idx="135">
                  <c:v>-5976.98965609202</c:v>
                </c:pt>
                <c:pt idx="136">
                  <c:v>-1966.06622991583</c:v>
                </c:pt>
                <c:pt idx="137">
                  <c:v>2117.91034908104</c:v>
                </c:pt>
                <c:pt idx="138">
                  <c:v>6275.37713493488</c:v>
                </c:pt>
                <c:pt idx="139">
                  <c:v>10506.7732673814</c:v>
                </c:pt>
                <c:pt idx="140">
                  <c:v>14812.5399808547</c:v>
                </c:pt>
                <c:pt idx="141">
                  <c:v>19134.5952013867</c:v>
                </c:pt>
                <c:pt idx="142">
                  <c:v>23473.00118602</c:v>
                </c:pt>
                <c:pt idx="143">
                  <c:v>27827.8204320031</c:v>
                </c:pt>
                <c:pt idx="144">
                  <c:v>32199.1156777261</c:v>
                </c:pt>
                <c:pt idx="145">
                  <c:v>36586.949903658</c:v>
                </c:pt>
                <c:pt idx="146">
                  <c:v>40991.3863332893</c:v>
                </c:pt>
                <c:pt idx="147">
                  <c:v>45412.4884340771</c:v>
                </c:pt>
                <c:pt idx="148">
                  <c:v>49850.3199183951</c:v>
                </c:pt>
                <c:pt idx="149">
                  <c:v>54304.9447444864</c:v>
                </c:pt>
                <c:pt idx="150">
                  <c:v>58776.4271174199</c:v>
                </c:pt>
                <c:pt idx="151">
                  <c:v>63264.8314900524</c:v>
                </c:pt>
                <c:pt idx="152">
                  <c:v>67770.2225639906</c:v>
                </c:pt>
                <c:pt idx="153">
                  <c:v>72292.6652905617</c:v>
                </c:pt>
                <c:pt idx="154">
                  <c:v>76832.2248717835</c:v>
                </c:pt>
                <c:pt idx="155">
                  <c:v>81388.9667613412</c:v>
                </c:pt>
                <c:pt idx="156">
                  <c:v>85962.9566655663</c:v>
                </c:pt>
                <c:pt idx="157">
                  <c:v>90554.2605444208</c:v>
                </c:pt>
                <c:pt idx="158">
                  <c:v>95162.9446124836</c:v>
                </c:pt>
                <c:pt idx="159">
                  <c:v>99789.0753399422</c:v>
                </c:pt>
                <c:pt idx="160">
                  <c:v>104432.719453588</c:v>
                </c:pt>
                <c:pt idx="161">
                  <c:v>109093.943937814</c:v>
                </c:pt>
                <c:pt idx="162">
                  <c:v>113772.816035619</c:v>
                </c:pt>
                <c:pt idx="163">
                  <c:v>118469.403249613</c:v>
                </c:pt>
                <c:pt idx="164">
                  <c:v>123183.773343031</c:v>
                </c:pt>
                <c:pt idx="165">
                  <c:v>127915.994340744</c:v>
                </c:pt>
                <c:pt idx="166">
                  <c:v>132666.134530278</c:v>
                </c:pt>
                <c:pt idx="167">
                  <c:v>137434.26246284</c:v>
                </c:pt>
                <c:pt idx="168">
                  <c:v>142220.446954341</c:v>
                </c:pt>
                <c:pt idx="169">
                  <c:v>147024.75708643</c:v>
                </c:pt>
                <c:pt idx="170">
                  <c:v>151847.262207523</c:v>
                </c:pt>
                <c:pt idx="171">
                  <c:v>156688.031933852</c:v>
                </c:pt>
                <c:pt idx="172">
                  <c:v>161547.136150496</c:v>
                </c:pt>
                <c:pt idx="173">
                  <c:v>166424.645012436</c:v>
                </c:pt>
                <c:pt idx="174">
                  <c:v>171320.628945605</c:v>
                </c:pt>
                <c:pt idx="175">
                  <c:v>176235.15864794</c:v>
                </c:pt>
                <c:pt idx="176">
                  <c:v>181168.305090443</c:v>
                </c:pt>
                <c:pt idx="177">
                  <c:v>186120.139518246</c:v>
                </c:pt>
                <c:pt idx="178">
                  <c:v>191090.733451678</c:v>
                </c:pt>
                <c:pt idx="179">
                  <c:v>196080.158687336</c:v>
                </c:pt>
                <c:pt idx="180">
                  <c:v>201088.487299159</c:v>
                </c:pt>
                <c:pt idx="181">
                  <c:v>206115.791639514</c:v>
                </c:pt>
                <c:pt idx="182">
                  <c:v>211162.144340276</c:v>
                </c:pt>
                <c:pt idx="183">
                  <c:v>216227.618313918</c:v>
                </c:pt>
                <c:pt idx="184">
                  <c:v>221312.286754602</c:v>
                </c:pt>
                <c:pt idx="185">
                  <c:v>226416.223139283</c:v>
                </c:pt>
                <c:pt idx="186">
                  <c:v>231539.501228803</c:v>
                </c:pt>
                <c:pt idx="187">
                  <c:v>236682.195069</c:v>
                </c:pt>
                <c:pt idx="188">
                  <c:v>241844.378991819</c:v>
                </c:pt>
                <c:pt idx="189">
                  <c:v>247026.127616427</c:v>
                </c:pt>
                <c:pt idx="190">
                  <c:v>252227.515850329</c:v>
                </c:pt>
                <c:pt idx="191">
                  <c:v>257448.618890495</c:v>
                </c:pt>
                <c:pt idx="192">
                  <c:v>262689.512224487</c:v>
                </c:pt>
                <c:pt idx="193">
                  <c:v>267950.271631589</c:v>
                </c:pt>
                <c:pt idx="194">
                  <c:v>273230.973183946</c:v>
                </c:pt>
                <c:pt idx="195">
                  <c:v>278531.693247707</c:v>
                </c:pt>
                <c:pt idx="196">
                  <c:v>283852.508484163</c:v>
                </c:pt>
                <c:pt idx="197">
                  <c:v>289193.495850907</c:v>
                </c:pt>
                <c:pt idx="198">
                  <c:v>294554.732602983</c:v>
                </c:pt>
                <c:pt idx="199">
                  <c:v>299936.296294045</c:v>
                </c:pt>
                <c:pt idx="200">
                  <c:v>305338.264777523</c:v>
                </c:pt>
                <c:pt idx="201">
                  <c:v>310760.716207791</c:v>
                </c:pt>
                <c:pt idx="202">
                  <c:v>316203.729041339</c:v>
                </c:pt>
                <c:pt idx="203">
                  <c:v>321667.382037948</c:v>
                </c:pt>
                <c:pt idx="204">
                  <c:v>327151.75426188</c:v>
                </c:pt>
                <c:pt idx="205">
                  <c:v>332656.925083056</c:v>
                </c:pt>
                <c:pt idx="206">
                  <c:v>338182.974178251</c:v>
                </c:pt>
                <c:pt idx="207">
                  <c:v>343729.981532292</c:v>
                </c:pt>
                <c:pt idx="208">
                  <c:v>349298.027439258</c:v>
                </c:pt>
                <c:pt idx="209">
                  <c:v>354887.192503682</c:v>
                </c:pt>
                <c:pt idx="210">
                  <c:v>360497.557641765</c:v>
                </c:pt>
                <c:pt idx="211">
                  <c:v>366129.20408259</c:v>
                </c:pt>
                <c:pt idx="212">
                  <c:v>371782.213369342</c:v>
                </c:pt>
                <c:pt idx="213">
                  <c:v>377456.66736053</c:v>
                </c:pt>
                <c:pt idx="214">
                  <c:v>383152.648231223</c:v>
                </c:pt>
                <c:pt idx="215">
                  <c:v>388870.238474276</c:v>
                </c:pt>
                <c:pt idx="216">
                  <c:v>394609.520901574</c:v>
                </c:pt>
                <c:pt idx="217">
                  <c:v>400370.578645275</c:v>
                </c:pt>
                <c:pt idx="218">
                  <c:v>406153.495159059</c:v>
                </c:pt>
                <c:pt idx="219">
                  <c:v>411958.354219381</c:v>
                </c:pt>
                <c:pt idx="220">
                  <c:v>417785.239926729</c:v>
                </c:pt>
                <c:pt idx="221">
                  <c:v>423634.23670689</c:v>
                </c:pt>
                <c:pt idx="222">
                  <c:v>429505.429312217</c:v>
                </c:pt>
                <c:pt idx="223">
                  <c:v>435398.902822901</c:v>
                </c:pt>
                <c:pt idx="224">
                  <c:v>441314.742648253</c:v>
                </c:pt>
                <c:pt idx="225">
                  <c:v>447253.034527985</c:v>
                </c:pt>
                <c:pt idx="226">
                  <c:v>453213.864533499</c:v>
                </c:pt>
                <c:pt idx="227">
                  <c:v>459197.319069182</c:v>
                </c:pt>
                <c:pt idx="228">
                  <c:v>465203.484873701</c:v>
                </c:pt>
                <c:pt idx="229">
                  <c:v>471232.449021313</c:v>
                </c:pt>
                <c:pt idx="230">
                  <c:v>477284.298923168</c:v>
                </c:pt>
                <c:pt idx="231">
                  <c:v>483359.122328627</c:v>
                </c:pt>
                <c:pt idx="232">
                  <c:v>489457.007326578</c:v>
                </c:pt>
                <c:pt idx="233">
                  <c:v>495578.042346763</c:v>
                </c:pt>
                <c:pt idx="234">
                  <c:v>501722.31616111</c:v>
                </c:pt>
                <c:pt idx="235">
                  <c:v>507889.917885059</c:v>
                </c:pt>
                <c:pt idx="236">
                  <c:v>514080.936978912</c:v>
                </c:pt>
                <c:pt idx="237">
                  <c:v>520295.463249174</c:v>
                </c:pt>
                <c:pt idx="238">
                  <c:v>526533.586849903</c:v>
                </c:pt>
                <c:pt idx="239">
                  <c:v>532795.398284065</c:v>
                </c:pt>
                <c:pt idx="240">
                  <c:v>539080.988404901</c:v>
                </c:pt>
                <c:pt idx="241">
                  <c:v>545390.448417289</c:v>
                </c:pt>
                <c:pt idx="242">
                  <c:v>551723.869879114</c:v>
                </c:pt>
                <c:pt idx="243">
                  <c:v>558081.34470265</c:v>
                </c:pt>
                <c:pt idx="244">
                  <c:v>564462.965155944</c:v>
                </c:pt>
                <c:pt idx="245">
                  <c:v>570868.823864197</c:v>
                </c:pt>
                <c:pt idx="246">
                  <c:v>577299.013811163</c:v>
                </c:pt>
                <c:pt idx="247">
                  <c:v>583753.62834055</c:v>
                </c:pt>
                <c:pt idx="248">
                  <c:v>590232.761157419</c:v>
                </c:pt>
                <c:pt idx="249">
                  <c:v>596736.506329599</c:v>
                </c:pt>
                <c:pt idx="250">
                  <c:v>603264.958289099</c:v>
                </c:pt>
                <c:pt idx="251">
                  <c:v>609818.211833534</c:v>
                </c:pt>
                <c:pt idx="252">
                  <c:v>616396.362127547</c:v>
                </c:pt>
                <c:pt idx="253">
                  <c:v>622999.504704244</c:v>
                </c:pt>
                <c:pt idx="254">
                  <c:v>629627.735466632</c:v>
                </c:pt>
                <c:pt idx="255">
                  <c:v>636281.150689064</c:v>
                </c:pt>
                <c:pt idx="256">
                  <c:v>642959.847018685</c:v>
                </c:pt>
                <c:pt idx="257">
                  <c:v>649663.921476889</c:v>
                </c:pt>
                <c:pt idx="258">
                  <c:v>656393.471460784</c:v>
                </c:pt>
                <c:pt idx="259">
                  <c:v>663148.59474465</c:v>
                </c:pt>
                <c:pt idx="260">
                  <c:v>669929.389481418</c:v>
                </c:pt>
                <c:pt idx="261">
                  <c:v>676735.954204148</c:v>
                </c:pt>
                <c:pt idx="262">
                  <c:v>683568.387827508</c:v>
                </c:pt>
                <c:pt idx="263">
                  <c:v>690426.789649271</c:v>
                </c:pt>
                <c:pt idx="264">
                  <c:v>697311.259351805</c:v>
                </c:pt>
                <c:pt idx="265">
                  <c:v>704221.897003575</c:v>
                </c:pt>
                <c:pt idx="266">
                  <c:v>711158.803060654</c:v>
                </c:pt>
                <c:pt idx="267">
                  <c:v>718122.078368233</c:v>
                </c:pt>
                <c:pt idx="268">
                  <c:v>725111.824162144</c:v>
                </c:pt>
                <c:pt idx="269">
                  <c:v>732128.142070381</c:v>
                </c:pt>
                <c:pt idx="270">
                  <c:v>739171.134114633</c:v>
                </c:pt>
                <c:pt idx="271">
                  <c:v>746240.902711822</c:v>
                </c:pt>
                <c:pt idx="272">
                  <c:v>753337.550675646</c:v>
                </c:pt>
                <c:pt idx="273">
                  <c:v>760461.181218131</c:v>
                </c:pt>
                <c:pt idx="274">
                  <c:v>767611.897951181</c:v>
                </c:pt>
                <c:pt idx="275">
                  <c:v>774789.804888143</c:v>
                </c:pt>
                <c:pt idx="276">
                  <c:v>781995.006445375</c:v>
                </c:pt>
                <c:pt idx="277">
                  <c:v>789227.607443821</c:v>
                </c:pt>
                <c:pt idx="278">
                  <c:v>796487.713110588</c:v>
                </c:pt>
                <c:pt idx="279">
                  <c:v>803775.429080535</c:v>
                </c:pt>
                <c:pt idx="280">
                  <c:v>811090.861397863</c:v>
                </c:pt>
                <c:pt idx="281">
                  <c:v>818434.116517717</c:v>
                </c:pt>
                <c:pt idx="282">
                  <c:v>825805.30130779</c:v>
                </c:pt>
                <c:pt idx="283">
                  <c:v>833204.523049934</c:v>
                </c:pt>
                <c:pt idx="284">
                  <c:v>840631.889441777</c:v>
                </c:pt>
                <c:pt idx="285">
                  <c:v>848087.50859835</c:v>
                </c:pt>
                <c:pt idx="286">
                  <c:v>855571.489053713</c:v>
                </c:pt>
                <c:pt idx="287">
                  <c:v>863083.939762598</c:v>
                </c:pt>
                <c:pt idx="288">
                  <c:v>870624.970102048</c:v>
                </c:pt>
                <c:pt idx="289">
                  <c:v>878194.689873068</c:v>
                </c:pt>
                <c:pt idx="290">
                  <c:v>885793.209302281</c:v>
                </c:pt>
                <c:pt idx="291">
                  <c:v>893420.639043591</c:v>
                </c:pt>
                <c:pt idx="292">
                  <c:v>901077.090179856</c:v>
                </c:pt>
                <c:pt idx="293">
                  <c:v>908762.674224558</c:v>
                </c:pt>
                <c:pt idx="294">
                  <c:v>916477.503123488</c:v>
                </c:pt>
                <c:pt idx="295">
                  <c:v>924221.689256438</c:v>
                </c:pt>
                <c:pt idx="296">
                  <c:v>931995.345438893</c:v>
                </c:pt>
                <c:pt idx="297">
                  <c:v>939798.584923736</c:v>
                </c:pt>
                <c:pt idx="298">
                  <c:v>947631.521402956</c:v>
                </c:pt>
                <c:pt idx="299">
                  <c:v>955494.269009363</c:v>
                </c:pt>
                <c:pt idx="300">
                  <c:v>963386.942318316</c:v>
                </c:pt>
                <c:pt idx="301">
                  <c:v>971309.656349443</c:v>
                </c:pt>
                <c:pt idx="302">
                  <c:v>979262.526568388</c:v>
                </c:pt>
                <c:pt idx="303">
                  <c:v>987245.668888547</c:v>
                </c:pt>
                <c:pt idx="304">
                  <c:v>995259.199672818</c:v>
                </c:pt>
                <c:pt idx="305">
                  <c:v>1003303.23573536</c:v>
                </c:pt>
                <c:pt idx="306">
                  <c:v>1011377.89434337</c:v>
                </c:pt>
                <c:pt idx="307">
                  <c:v>1019483.29321881</c:v>
                </c:pt>
                <c:pt idx="308">
                  <c:v>1027619.55054025</c:v>
                </c:pt>
                <c:pt idx="309">
                  <c:v>1035786.78494459</c:v>
                </c:pt>
                <c:pt idx="310">
                  <c:v>1043985.11552891</c:v>
                </c:pt>
                <c:pt idx="311">
                  <c:v>1052214.6618522</c:v>
                </c:pt>
                <c:pt idx="312">
                  <c:v>1060475.54393723</c:v>
                </c:pt>
                <c:pt idx="313">
                  <c:v>1068767.88227233</c:v>
                </c:pt>
                <c:pt idx="314">
                  <c:v>1077091.79781323</c:v>
                </c:pt>
                <c:pt idx="315">
                  <c:v>1085447.41198485</c:v>
                </c:pt>
                <c:pt idx="316">
                  <c:v>1093834.84668317</c:v>
                </c:pt>
                <c:pt idx="317">
                  <c:v>1102254.22427708</c:v>
                </c:pt>
                <c:pt idx="318">
                  <c:v>1110705.66761017</c:v>
                </c:pt>
                <c:pt idx="319">
                  <c:v>1119189.30000267</c:v>
                </c:pt>
                <c:pt idx="320">
                  <c:v>1127705.24525324</c:v>
                </c:pt>
                <c:pt idx="321">
                  <c:v>1136253.62764087</c:v>
                </c:pt>
                <c:pt idx="322">
                  <c:v>1144834.57192677</c:v>
                </c:pt>
                <c:pt idx="323">
                  <c:v>1153448.20335625</c:v>
                </c:pt>
                <c:pt idx="324">
                  <c:v>1162094.64766059</c:v>
                </c:pt>
                <c:pt idx="325">
                  <c:v>1170774.03105896</c:v>
                </c:pt>
                <c:pt idx="326">
                  <c:v>1179486.48026035</c:v>
                </c:pt>
                <c:pt idx="327">
                  <c:v>1188232.12246542</c:v>
                </c:pt>
                <c:pt idx="328">
                  <c:v>1197011.08536849</c:v>
                </c:pt>
                <c:pt idx="329">
                  <c:v>1205823.49715946</c:v>
                </c:pt>
                <c:pt idx="330">
                  <c:v>1214669.48652569</c:v>
                </c:pt>
                <c:pt idx="331">
                  <c:v>1223549.18265402</c:v>
                </c:pt>
                <c:pt idx="332">
                  <c:v>1232462.71523269</c:v>
                </c:pt>
                <c:pt idx="333">
                  <c:v>1241410.2144533</c:v>
                </c:pt>
                <c:pt idx="334">
                  <c:v>1250391.81101277</c:v>
                </c:pt>
                <c:pt idx="335">
                  <c:v>1259407.63611535</c:v>
                </c:pt>
                <c:pt idx="336">
                  <c:v>1268457.82147456</c:v>
                </c:pt>
                <c:pt idx="337">
                  <c:v>1277542.49931523</c:v>
                </c:pt>
                <c:pt idx="338">
                  <c:v>1286661.80237547</c:v>
                </c:pt>
                <c:pt idx="339">
                  <c:v>1295815.86390866</c:v>
                </c:pt>
                <c:pt idx="340">
                  <c:v>1305004.81768552</c:v>
                </c:pt>
                <c:pt idx="341">
                  <c:v>1314228.79799608</c:v>
                </c:pt>
                <c:pt idx="342">
                  <c:v>1323487.93965177</c:v>
                </c:pt>
                <c:pt idx="343">
                  <c:v>1332782.37798738</c:v>
                </c:pt>
                <c:pt idx="344">
                  <c:v>1342112.24886318</c:v>
                </c:pt>
                <c:pt idx="345">
                  <c:v>1351477.68866696</c:v>
                </c:pt>
                <c:pt idx="346">
                  <c:v>1360878.83431604</c:v>
                </c:pt>
                <c:pt idx="347">
                  <c:v>1370315.82325944</c:v>
                </c:pt>
                <c:pt idx="348">
                  <c:v>1379788.79347986</c:v>
                </c:pt>
                <c:pt idx="349">
                  <c:v>1389297.88349583</c:v>
                </c:pt>
                <c:pt idx="350">
                  <c:v>1398843.23236381</c:v>
                </c:pt>
                <c:pt idx="351">
                  <c:v>1408424.97968024</c:v>
                </c:pt>
                <c:pt idx="352">
                  <c:v>1418043.26558372</c:v>
                </c:pt>
                <c:pt idx="353">
                  <c:v>1427698.23075707</c:v>
                </c:pt>
                <c:pt idx="354">
                  <c:v>1437390.01642952</c:v>
                </c:pt>
                <c:pt idx="355">
                  <c:v>1447118.76437881</c:v>
                </c:pt>
                <c:pt idx="356">
                  <c:v>1456884.61693333</c:v>
                </c:pt>
                <c:pt idx="357">
                  <c:v>1466687.71697432</c:v>
                </c:pt>
                <c:pt idx="358">
                  <c:v>1476528.20793797</c:v>
                </c:pt>
                <c:pt idx="359">
                  <c:v>1486406.23381765</c:v>
                </c:pt>
                <c:pt idx="360">
                  <c:v>1496321.93916607</c:v>
                </c:pt>
                <c:pt idx="361">
                  <c:v>1506275.46909744</c:v>
                </c:pt>
                <c:pt idx="362">
                  <c:v>1516266.96928974</c:v>
                </c:pt>
                <c:pt idx="363">
                  <c:v>1526296.58598684</c:v>
                </c:pt>
                <c:pt idx="364">
                  <c:v>1536364.46600077</c:v>
                </c:pt>
                <c:pt idx="365">
                  <c:v>1546470.75671394</c:v>
                </c:pt>
                <c:pt idx="366">
                  <c:v>1556615.60608136</c:v>
                </c:pt>
                <c:pt idx="367">
                  <c:v>1566799.16263288</c:v>
                </c:pt>
                <c:pt idx="368">
                  <c:v>1577021.57547546</c:v>
                </c:pt>
                <c:pt idx="369">
                  <c:v>1587282.99429539</c:v>
                </c:pt>
                <c:pt idx="370">
                  <c:v>1597583.56936062</c:v>
                </c:pt>
                <c:pt idx="371">
                  <c:v>1607923.45152297</c:v>
                </c:pt>
                <c:pt idx="372">
                  <c:v>1618302.79222046</c:v>
                </c:pt>
                <c:pt idx="373">
                  <c:v>1628721.74347959</c:v>
                </c:pt>
                <c:pt idx="374">
                  <c:v>1639180.45791766</c:v>
                </c:pt>
                <c:pt idx="375">
                  <c:v>1649679.08874505</c:v>
                </c:pt>
                <c:pt idx="376">
                  <c:v>1660217.78976757</c:v>
                </c:pt>
                <c:pt idx="377">
                  <c:v>1670796.7153888</c:v>
                </c:pt>
                <c:pt idx="378">
                  <c:v>1681416.02061239</c:v>
                </c:pt>
                <c:pt idx="379">
                  <c:v>1692075.86104445</c:v>
                </c:pt>
                <c:pt idx="380">
                  <c:v>1702776.39289589</c:v>
                </c:pt>
                <c:pt idx="381">
                  <c:v>1713517.7729848</c:v>
                </c:pt>
                <c:pt idx="382">
                  <c:v>1724300.15873882</c:v>
                </c:pt>
                <c:pt idx="383">
                  <c:v>1735123.70819751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210519"/>
        <c:axId val="18116883"/>
      </c:lineChart>
      <c:catAx>
        <c:axId val="98210519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16883"/>
        <c:crosses val="autoZero"/>
        <c:auto val="1"/>
        <c:lblAlgn val="ctr"/>
        <c:lblOffset val="100"/>
        <c:noMultiLvlLbl val="0"/>
      </c:catAx>
      <c:valAx>
        <c:axId val="181168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105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160920</xdr:rowOff>
    </xdr:from>
    <xdr:to>
      <xdr:col>12</xdr:col>
      <xdr:colOff>370080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822636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3" t="s">
        <v>2</v>
      </c>
      <c r="B5" s="4"/>
    </row>
    <row r="6" customFormat="false" ht="15" hidden="false" customHeight="false" outlineLevel="0" collapsed="false">
      <c r="A6" s="5" t="s">
        <v>3</v>
      </c>
      <c r="B6" s="6" t="str">
        <f aca="false">Premissas!$C$6</f>
        <v>6, 7 e 8</v>
      </c>
    </row>
    <row r="7" customFormat="false" ht="15" hidden="false" customHeight="false" outlineLevel="0" collapsed="false">
      <c r="A7" s="5" t="s">
        <v>4</v>
      </c>
      <c r="B7" s="7" t="n">
        <f aca="false">Premissas!$C$7</f>
        <v>21.94</v>
      </c>
    </row>
    <row r="8" customFormat="false" ht="15" hidden="false" customHeight="false" outlineLevel="0" collapsed="false">
      <c r="A8" s="5" t="s">
        <v>5</v>
      </c>
      <c r="B8" s="8" t="n">
        <f aca="false">Premissas!$C$14</f>
        <v>469760</v>
      </c>
    </row>
    <row r="9" customFormat="false" ht="15" hidden="false" customHeight="false" outlineLevel="0" collapsed="false">
      <c r="A9" s="5" t="s">
        <v>6</v>
      </c>
      <c r="B9" s="8" t="n">
        <f aca="false">Premissas!$C$15</f>
        <v>21411.1212397448</v>
      </c>
    </row>
    <row r="11" customFormat="false" ht="15" hidden="false" customHeight="false" outlineLevel="0" collapsed="false">
      <c r="A11" s="3" t="s">
        <v>7</v>
      </c>
      <c r="B11" s="4"/>
    </row>
    <row r="12" customFormat="false" ht="15" hidden="false" customHeight="false" outlineLevel="0" collapsed="false">
      <c r="A12" s="5" t="s">
        <v>8</v>
      </c>
      <c r="B12" s="8" t="n">
        <f aca="false">SUMIFS('Fluxo mensal'!$F$5:$F$388,'Fluxo mensal'!$A$5:$A$388,"&lt;="&amp;Premissas!$C$25)</f>
        <v>143618.220306125</v>
      </c>
    </row>
    <row r="13" customFormat="false" ht="15" hidden="false" customHeight="false" outlineLevel="0" collapsed="false">
      <c r="A13" s="5" t="s">
        <v>9</v>
      </c>
      <c r="B13" s="8" t="n">
        <f aca="false">SUM('Fluxo mensal'!$G$5:$G$388)</f>
        <v>20821.0793619654</v>
      </c>
    </row>
    <row r="14" customFormat="false" ht="15" hidden="false" customHeight="false" outlineLevel="0" collapsed="false">
      <c r="A14" s="5" t="s">
        <v>10</v>
      </c>
      <c r="B14" s="8" t="n">
        <f aca="false">SUM('Fluxo mensal'!$H$5:$H$388)</f>
        <v>30000</v>
      </c>
    </row>
    <row r="15" customFormat="false" ht="15" hidden="false" customHeight="false" outlineLevel="0" collapsed="false">
      <c r="A15" s="5" t="s">
        <v>11</v>
      </c>
      <c r="B15" s="8" t="n">
        <f aca="false">INDEX('Fluxo mensal'!$N$5:$N$388,MATCH(Premissas!$C$25,'Fluxo mensal'!$A$5:$A$388,0))</f>
        <v>369641.086105567</v>
      </c>
    </row>
    <row r="17" customFormat="false" ht="15" hidden="false" customHeight="false" outlineLevel="0" collapsed="false">
      <c r="A17" s="3" t="s">
        <v>12</v>
      </c>
      <c r="B17" s="4"/>
    </row>
    <row r="18" customFormat="false" ht="15" hidden="false" customHeight="false" outlineLevel="0" collapsed="false">
      <c r="A18" s="5" t="s">
        <v>13</v>
      </c>
      <c r="B18" s="9" t="n">
        <f aca="false">Premissas!$C$27</f>
        <v>47058</v>
      </c>
    </row>
    <row r="19" customFormat="false" ht="15" hidden="false" customHeight="false" outlineLevel="0" collapsed="false">
      <c r="A19" s="5" t="s">
        <v>14</v>
      </c>
      <c r="B19" s="8" t="n">
        <f aca="false">INDEX('Fluxo mensal'!$M$5:$M$388,MATCH(1,'Fluxo mensal'!$I$5:$I$388,0))</f>
        <v>6609.35682094431</v>
      </c>
    </row>
    <row r="20" customFormat="false" ht="15" hidden="false" customHeight="false" outlineLevel="0" collapsed="false">
      <c r="A20" s="5" t="s">
        <v>15</v>
      </c>
      <c r="B20" s="8" t="n">
        <f aca="false">INDEX('Fluxo mensal'!$W$5:$W$388,MATCH(EDATE(Premissas!$C$27,Premissas!$C$41),'Fluxo mensal'!$A$5:$A$388,0))</f>
        <v>1075.63721314811</v>
      </c>
    </row>
    <row r="21" customFormat="false" ht="15" hidden="false" customHeight="false" outlineLevel="0" collapsed="false">
      <c r="A21" s="5" t="s">
        <v>16</v>
      </c>
      <c r="B21" s="8" t="n">
        <f aca="false">AVERAGEIFS('Fluxo mensal'!$X$5:$X$388,'Fluxo mensal'!$A$5:$A$388,"&gt;="&amp;Premissas!$C$27,'Fluxo mensal'!$A$5:$A$388,"&lt;"&amp;EDATE(Premissas!$C$27,12))</f>
        <v>-5676.69464313819</v>
      </c>
    </row>
    <row r="22" customFormat="false" ht="15" hidden="false" customHeight="false" outlineLevel="0" collapsed="false">
      <c r="A22" s="5" t="s">
        <v>17</v>
      </c>
      <c r="B22" s="8" t="n">
        <f aca="false">MIN('Fluxo mensal'!$Y$5:$Y$388)</f>
        <v>-743077.852210794</v>
      </c>
    </row>
    <row r="23" customFormat="false" ht="15" hidden="false" customHeight="false" outlineLevel="0" collapsed="false">
      <c r="A23" s="5" t="s">
        <v>18</v>
      </c>
      <c r="B23" s="9" t="n">
        <f aca="false">INDEX('Fluxo mensal'!$A$5:$A$388,MATCH(MIN('Fluxo mensal'!$Y$5:$Y$388),'Fluxo mensal'!$Y$5:$Y$388,0))</f>
        <v>50618</v>
      </c>
    </row>
    <row r="25" customFormat="false" ht="15" hidden="false" customHeight="false" outlineLevel="0" collapsed="false">
      <c r="A25" s="3" t="s">
        <v>19</v>
      </c>
      <c r="B25" s="4"/>
    </row>
    <row r="26" customFormat="false" ht="15" hidden="false" customHeight="false" outlineLevel="0" collapsed="false">
      <c r="A26" s="5" t="s">
        <v>20</v>
      </c>
      <c r="B26" s="10" t="n">
        <f aca="false">IF(MIN('Fluxo mensal'!$AC$5:$AC$388)=0,"Não atinge até dez/58",MIN('Fluxo mensal'!$AC$5:$AC$388))</f>
        <v>50649</v>
      </c>
    </row>
    <row r="27" customFormat="false" ht="15" hidden="false" customHeight="false" outlineLevel="0" collapsed="false">
      <c r="A27" s="5" t="s">
        <v>21</v>
      </c>
      <c r="B27" s="10" t="str">
        <f aca="false">IF(MIN('Fluxo mensal'!$AD$5:$AD$388)=0,"Não atinge até dez/58",MIN('Fluxo mensal'!$AD$5:$AD$388))</f>
        <v>Não atinge até dez/58</v>
      </c>
    </row>
    <row r="28" customFormat="false" ht="15" hidden="false" customHeight="false" outlineLevel="0" collapsed="false">
      <c r="A28" s="5" t="s">
        <v>22</v>
      </c>
      <c r="B28" s="10" t="n">
        <f aca="false">IF(MIN('Fluxo mensal'!$AE$5:$AE$388)=0,"Não atinge até dez/58",MIN('Fluxo mensal'!$AE$5:$AE$388))</f>
        <v>50557</v>
      </c>
    </row>
    <row r="29" customFormat="false" ht="15" hidden="false" customHeight="false" outlineLevel="0" collapsed="false">
      <c r="A29" s="5" t="s">
        <v>23</v>
      </c>
      <c r="B29" s="9" t="n">
        <f aca="false">EDATE(Premissas!$C$25,Premissas!$C$32)</f>
        <v>50618</v>
      </c>
    </row>
    <row r="31" customFormat="false" ht="15" hidden="false" customHeight="false" outlineLevel="0" collapsed="false">
      <c r="A31" s="3" t="s">
        <v>24</v>
      </c>
      <c r="B31" s="4"/>
    </row>
    <row r="32" customFormat="false" ht="15" hidden="false" customHeight="false" outlineLevel="0" collapsed="false">
      <c r="A32" s="5" t="s">
        <v>25</v>
      </c>
      <c r="B32" s="8" t="n">
        <f aca="false">INDEX('Fluxo mensal'!$AB$5:$AB$388,MATCH(EDATE(Premissas!$C$25,60),'Fluxo mensal'!$A$5:$A$388,0))</f>
        <v>-126579.541768095</v>
      </c>
    </row>
    <row r="33" customFormat="false" ht="15" hidden="false" customHeight="false" outlineLevel="0" collapsed="false">
      <c r="A33" s="5" t="s">
        <v>26</v>
      </c>
      <c r="B33" s="8" t="n">
        <f aca="false">INDEX('Fluxo mensal'!$AB$5:$AB$388,MATCH(EDATE(Premissas!$C$25,120),'Fluxo mensal'!$A$5:$A$388,0))</f>
        <v>10506.7732673814</v>
      </c>
    </row>
    <row r="34" customFormat="false" ht="15" hidden="false" customHeight="false" outlineLevel="0" collapsed="false">
      <c r="A34" s="5" t="s">
        <v>27</v>
      </c>
      <c r="B34" s="8" t="n">
        <f aca="false">INDEX('Fluxo mensal'!$AB$5:$AB$388,MATCH(EDATE(Premissas!$C$25,240),'Fluxo mensal'!$A$5:$A$388,0))</f>
        <v>663148.59474465</v>
      </c>
    </row>
    <row r="36" customFormat="false" ht="15" hidden="false" customHeight="false" outlineLevel="0" collapsed="false">
      <c r="A36" s="11" t="s">
        <v>28</v>
      </c>
    </row>
    <row r="37" customFormat="false" ht="15" hidden="false" customHeight="false" outlineLevel="0" collapsed="false">
      <c r="A37" s="12" t="s">
        <v>29</v>
      </c>
    </row>
    <row r="38" customFormat="false" ht="15" hidden="false" customHeight="false" outlineLevel="0" collapsed="false">
      <c r="A38" s="12" t="s">
        <v>30</v>
      </c>
    </row>
    <row r="39" customFormat="false" ht="15" hidden="false" customHeight="false" outlineLevel="0" collapsed="false">
      <c r="A39" s="12" t="s">
        <v>31</v>
      </c>
    </row>
    <row r="40" customFormat="false" ht="15" hidden="false" customHeight="false" outlineLevel="0" collapsed="false">
      <c r="A40" s="1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" min="3" style="0" width="16"/>
    <col collapsed="false" customWidth="true" hidden="false" outlineLevel="0" max="4" min="4" style="0" width="86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5" customFormat="false" ht="15" hidden="false" customHeight="false" outlineLevel="0" collapsed="false">
      <c r="A5" s="3" t="s">
        <v>35</v>
      </c>
      <c r="B5" s="4"/>
      <c r="C5" s="4"/>
      <c r="D5" s="4"/>
    </row>
    <row r="6" customFormat="false" ht="15" hidden="false" customHeight="false" outlineLevel="0" collapsed="false">
      <c r="A6" s="5" t="s">
        <v>36</v>
      </c>
      <c r="C6" s="13" t="s">
        <v>37</v>
      </c>
      <c r="D6" s="14" t="s">
        <v>38</v>
      </c>
    </row>
    <row r="7" customFormat="false" ht="15" hidden="false" customHeight="false" outlineLevel="0" collapsed="false">
      <c r="A7" s="5" t="s">
        <v>4</v>
      </c>
      <c r="C7" s="15" t="n">
        <f aca="false">INDEX('Tabela SAMPA 135'!$C$5:$C$14,MATCH(Premissas!$C$6,'Tabela SAMPA 135'!$A$5:$A$14,0))</f>
        <v>21.94</v>
      </c>
    </row>
    <row r="8" customFormat="false" ht="15" hidden="false" customHeight="false" outlineLevel="0" collapsed="false">
      <c r="A8" s="5" t="s">
        <v>39</v>
      </c>
      <c r="C8" s="16" t="n">
        <f aca="false">INDEX('Tabela SAMPA 135'!$E$5:$E$14,MATCH(Premissas!$C$6,'Tabela SAMPA 135'!$A$5:$A$14,0))</f>
        <v>18790</v>
      </c>
    </row>
    <row r="9" customFormat="false" ht="15" hidden="false" customHeight="false" outlineLevel="0" collapsed="false">
      <c r="A9" s="5" t="s">
        <v>40</v>
      </c>
      <c r="C9" s="16" t="n">
        <f aca="false">INDEX('Tabela SAMPA 135'!$F$5:$F$14,MATCH(Premissas!$C$6,'Tabela SAMPA 135'!$A$5:$A$14,0))</f>
        <v>18790</v>
      </c>
      <c r="D9" s="14" t="s">
        <v>41</v>
      </c>
    </row>
    <row r="10" customFormat="false" ht="15" hidden="false" customHeight="false" outlineLevel="0" collapsed="false">
      <c r="A10" s="5" t="s">
        <v>42</v>
      </c>
      <c r="C10" s="16" t="n">
        <f aca="false">INDEX('Tabela SAMPA 135'!$G$5:$G$14,MATCH(Premissas!$C$6,'Tabela SAMPA 135'!$A$5:$A$14,0))</f>
        <v>1530</v>
      </c>
    </row>
    <row r="11" customFormat="false" ht="15" hidden="false" customHeight="false" outlineLevel="0" collapsed="false">
      <c r="A11" s="5" t="s">
        <v>43</v>
      </c>
      <c r="C11" s="16" t="n">
        <f aca="false">INDEX('Tabela SAMPA 135'!$H$5:$H$14,MATCH(Premissas!$C$6,'Tabela SAMPA 135'!$A$5:$A$14,0))</f>
        <v>9080</v>
      </c>
    </row>
    <row r="12" customFormat="false" ht="15" hidden="false" customHeight="false" outlineLevel="0" collapsed="false">
      <c r="A12" s="5" t="s">
        <v>44</v>
      </c>
      <c r="C12" s="16" t="n">
        <f aca="false">INDEX('Tabela SAMPA 135'!$I$5:$I$14,MATCH(Premissas!$C$6,'Tabela SAMPA 135'!$A$5:$A$14,0))</f>
        <v>23490</v>
      </c>
    </row>
    <row r="13" customFormat="false" ht="15" hidden="false" customHeight="false" outlineLevel="0" collapsed="false">
      <c r="A13" s="5" t="s">
        <v>45</v>
      </c>
      <c r="C13" s="16" t="n">
        <f aca="false">INDEX('Tabela SAMPA 135'!$J$5:$J$14,MATCH(Premissas!$C$6,'Tabela SAMPA 135'!$A$5:$A$14,0))</f>
        <v>333590</v>
      </c>
    </row>
    <row r="14" customFormat="false" ht="15" hidden="false" customHeight="false" outlineLevel="0" collapsed="false">
      <c r="A14" s="5" t="s">
        <v>46</v>
      </c>
      <c r="C14" s="16" t="n">
        <f aca="false">INDEX('Tabela SAMPA 135'!$K$5:$K$14,MATCH(Premissas!$C$6,'Tabela SAMPA 135'!$A$5:$A$14,0))</f>
        <v>469760</v>
      </c>
    </row>
    <row r="15" customFormat="false" ht="15" hidden="false" customHeight="false" outlineLevel="0" collapsed="false">
      <c r="A15" s="5" t="s">
        <v>6</v>
      </c>
      <c r="C15" s="16" t="n">
        <f aca="false">Premissas!$C$14/Premissas!$C$7</f>
        <v>21411.1212397448</v>
      </c>
    </row>
    <row r="17" customFormat="false" ht="15" hidden="false" customHeight="false" outlineLevel="0" collapsed="false">
      <c r="A17" s="3" t="s">
        <v>47</v>
      </c>
      <c r="B17" s="4"/>
      <c r="C17" s="4"/>
      <c r="D17" s="4"/>
    </row>
    <row r="18" customFormat="false" ht="15" hidden="false" customHeight="false" outlineLevel="0" collapsed="false">
      <c r="A18" s="5" t="s">
        <v>48</v>
      </c>
      <c r="C18" s="17" t="n">
        <v>46266</v>
      </c>
      <c r="D18" s="14" t="s">
        <v>49</v>
      </c>
    </row>
    <row r="19" customFormat="false" ht="15" hidden="false" customHeight="false" outlineLevel="0" collapsed="false">
      <c r="A19" s="5" t="s">
        <v>50</v>
      </c>
      <c r="C19" s="18" t="n">
        <v>46388</v>
      </c>
      <c r="D19" s="14" t="s">
        <v>51</v>
      </c>
    </row>
    <row r="20" customFormat="false" ht="15" hidden="false" customHeight="false" outlineLevel="0" collapsed="false">
      <c r="A20" s="5" t="s">
        <v>52</v>
      </c>
      <c r="C20" s="17" t="n">
        <v>46388</v>
      </c>
      <c r="D20" s="14" t="s">
        <v>53</v>
      </c>
    </row>
    <row r="21" customFormat="false" ht="15" hidden="false" customHeight="false" outlineLevel="0" collapsed="false">
      <c r="A21" s="5" t="s">
        <v>54</v>
      </c>
      <c r="C21" s="19" t="n">
        <v>19</v>
      </c>
    </row>
    <row r="22" customFormat="false" ht="15" hidden="false" customHeight="false" outlineLevel="0" collapsed="false">
      <c r="A22" s="5" t="s">
        <v>55</v>
      </c>
      <c r="C22" s="17" t="n">
        <v>46539</v>
      </c>
      <c r="D22" s="14" t="s">
        <v>56</v>
      </c>
    </row>
    <row r="23" customFormat="false" ht="15" hidden="false" customHeight="false" outlineLevel="0" collapsed="false">
      <c r="A23" s="5" t="s">
        <v>57</v>
      </c>
      <c r="C23" s="17" t="n">
        <v>46722</v>
      </c>
    </row>
    <row r="24" customFormat="false" ht="15" hidden="false" customHeight="false" outlineLevel="0" collapsed="false">
      <c r="A24" s="5" t="s">
        <v>58</v>
      </c>
      <c r="C24" s="17" t="n">
        <v>46905</v>
      </c>
    </row>
    <row r="25" customFormat="false" ht="15" hidden="false" customHeight="false" outlineLevel="0" collapsed="false">
      <c r="A25" s="5" t="s">
        <v>59</v>
      </c>
      <c r="C25" s="18" t="n">
        <v>46966</v>
      </c>
      <c r="D25" s="14" t="s">
        <v>60</v>
      </c>
    </row>
    <row r="26" customFormat="false" ht="15" hidden="false" customHeight="false" outlineLevel="0" collapsed="false">
      <c r="A26" s="5" t="s">
        <v>61</v>
      </c>
      <c r="C26" s="19" t="n">
        <v>2</v>
      </c>
      <c r="D26" s="14" t="s">
        <v>62</v>
      </c>
    </row>
    <row r="27" customFormat="false" ht="15" hidden="false" customHeight="false" outlineLevel="0" collapsed="false">
      <c r="A27" s="5" t="s">
        <v>63</v>
      </c>
      <c r="C27" s="20" t="n">
        <f aca="false">DATE(YEAR(Premissas!$C$25),MONTH(Premissas!$C$25)+Premissas!$C$26+1,1)</f>
        <v>47058</v>
      </c>
    </row>
    <row r="29" customFormat="false" ht="15" hidden="false" customHeight="false" outlineLevel="0" collapsed="false">
      <c r="A29" s="3" t="s">
        <v>64</v>
      </c>
      <c r="B29" s="4"/>
      <c r="C29" s="4"/>
      <c r="D29" s="4"/>
    </row>
    <row r="30" customFormat="false" ht="15" hidden="false" customHeight="false" outlineLevel="0" collapsed="false">
      <c r="A30" s="5" t="s">
        <v>65</v>
      </c>
      <c r="C30" s="21" t="n">
        <v>0.055</v>
      </c>
      <c r="D30" s="14" t="s">
        <v>66</v>
      </c>
    </row>
    <row r="31" customFormat="false" ht="15" hidden="false" customHeight="false" outlineLevel="0" collapsed="false">
      <c r="A31" s="5" t="s">
        <v>67</v>
      </c>
      <c r="C31" s="21" t="n">
        <v>0.12</v>
      </c>
      <c r="D31" s="14" t="s">
        <v>68</v>
      </c>
    </row>
    <row r="32" customFormat="false" ht="15" hidden="false" customHeight="false" outlineLevel="0" collapsed="false">
      <c r="A32" s="5" t="s">
        <v>69</v>
      </c>
      <c r="C32" s="19" t="n">
        <v>120</v>
      </c>
      <c r="D32" s="14" t="s">
        <v>70</v>
      </c>
    </row>
    <row r="33" customFormat="false" ht="15" hidden="false" customHeight="false" outlineLevel="0" collapsed="false">
      <c r="A33" s="5" t="s">
        <v>71</v>
      </c>
      <c r="C33" s="21" t="n">
        <v>0.04</v>
      </c>
      <c r="D33" s="14" t="s">
        <v>72</v>
      </c>
    </row>
    <row r="34" customFormat="false" ht="15" hidden="false" customHeight="false" outlineLevel="0" collapsed="false">
      <c r="A34" s="5" t="s">
        <v>73</v>
      </c>
      <c r="C34" s="22" t="n">
        <v>0.04</v>
      </c>
      <c r="D34" s="14" t="s">
        <v>74</v>
      </c>
    </row>
    <row r="35" customFormat="false" ht="15" hidden="false" customHeight="false" outlineLevel="0" collapsed="false">
      <c r="A35" s="5" t="s">
        <v>75</v>
      </c>
      <c r="C35" s="23" t="n">
        <v>30000</v>
      </c>
      <c r="D35" s="14" t="s">
        <v>76</v>
      </c>
    </row>
    <row r="37" customFormat="false" ht="15" hidden="false" customHeight="false" outlineLevel="0" collapsed="false">
      <c r="A37" s="3" t="s">
        <v>77</v>
      </c>
      <c r="B37" s="4"/>
      <c r="C37" s="4"/>
      <c r="D37" s="4"/>
    </row>
    <row r="38" customFormat="false" ht="15" hidden="false" customHeight="false" outlineLevel="0" collapsed="false">
      <c r="A38" s="5" t="s">
        <v>78</v>
      </c>
      <c r="C38" s="23" t="n">
        <v>230</v>
      </c>
      <c r="D38" s="14" t="s">
        <v>79</v>
      </c>
    </row>
    <row r="39" customFormat="false" ht="15" hidden="false" customHeight="false" outlineLevel="0" collapsed="false">
      <c r="A39" s="5" t="s">
        <v>80</v>
      </c>
      <c r="C39" s="21" t="n">
        <v>0.62</v>
      </c>
      <c r="D39" s="14" t="s">
        <v>81</v>
      </c>
    </row>
    <row r="40" customFormat="false" ht="15" hidden="false" customHeight="false" outlineLevel="0" collapsed="false">
      <c r="A40" s="5" t="s">
        <v>82</v>
      </c>
      <c r="C40" s="19" t="n">
        <v>30</v>
      </c>
    </row>
    <row r="41" customFormat="false" ht="15" hidden="false" customHeight="false" outlineLevel="0" collapsed="false">
      <c r="A41" s="5" t="s">
        <v>83</v>
      </c>
      <c r="C41" s="19" t="n">
        <v>3</v>
      </c>
      <c r="D41" s="14" t="s">
        <v>84</v>
      </c>
    </row>
    <row r="42" customFormat="false" ht="15" hidden="false" customHeight="false" outlineLevel="0" collapsed="false">
      <c r="A42" s="5" t="s">
        <v>85</v>
      </c>
      <c r="C42" s="22" t="n">
        <v>0.6</v>
      </c>
    </row>
    <row r="43" customFormat="false" ht="15" hidden="false" customHeight="false" outlineLevel="0" collapsed="false">
      <c r="A43" s="5" t="s">
        <v>86</v>
      </c>
      <c r="C43" s="22" t="n">
        <v>0.16</v>
      </c>
      <c r="D43" s="14" t="s">
        <v>87</v>
      </c>
    </row>
    <row r="44" customFormat="false" ht="15" hidden="false" customHeight="false" outlineLevel="0" collapsed="false">
      <c r="A44" s="5" t="s">
        <v>88</v>
      </c>
      <c r="C44" s="22" t="n">
        <v>0.2</v>
      </c>
      <c r="D44" s="14" t="s">
        <v>89</v>
      </c>
    </row>
    <row r="45" customFormat="false" ht="15" hidden="false" customHeight="false" outlineLevel="0" collapsed="false">
      <c r="A45" s="5" t="s">
        <v>90</v>
      </c>
      <c r="C45" s="23" t="n">
        <v>750</v>
      </c>
      <c r="D45" s="14" t="s">
        <v>91</v>
      </c>
    </row>
    <row r="46" customFormat="false" ht="15" hidden="false" customHeight="false" outlineLevel="0" collapsed="false">
      <c r="A46" s="5" t="s">
        <v>92</v>
      </c>
      <c r="C46" s="24" t="n">
        <v>300</v>
      </c>
    </row>
    <row r="47" customFormat="false" ht="15" hidden="false" customHeight="false" outlineLevel="0" collapsed="false">
      <c r="A47" s="5" t="s">
        <v>93</v>
      </c>
      <c r="C47" s="24" t="n">
        <v>150</v>
      </c>
    </row>
    <row r="48" customFormat="false" ht="15" hidden="false" customHeight="false" outlineLevel="0" collapsed="false">
      <c r="A48" s="5" t="s">
        <v>94</v>
      </c>
      <c r="C48" s="22" t="n">
        <v>0.04</v>
      </c>
    </row>
    <row r="49" customFormat="false" ht="15" hidden="false" customHeight="false" outlineLevel="0" collapsed="false">
      <c r="A49" s="5" t="s">
        <v>95</v>
      </c>
      <c r="C49" s="22" t="n">
        <v>0.275</v>
      </c>
      <c r="D49" s="14" t="s">
        <v>96</v>
      </c>
    </row>
    <row r="51" customFormat="false" ht="15" hidden="false" customHeight="false" outlineLevel="0" collapsed="false">
      <c r="A51" s="3" t="s">
        <v>97</v>
      </c>
      <c r="B51" s="4"/>
      <c r="C51" s="4"/>
      <c r="D51" s="4"/>
    </row>
    <row r="52" customFormat="false" ht="15" hidden="false" customHeight="false" outlineLevel="0" collapsed="false">
      <c r="A52" s="5" t="s">
        <v>98</v>
      </c>
      <c r="C52" s="21" t="n">
        <v>0.05</v>
      </c>
      <c r="D52" s="14" t="s">
        <v>99</v>
      </c>
    </row>
    <row r="53" customFormat="false" ht="15" hidden="false" customHeight="false" outlineLevel="0" collapsed="false">
      <c r="A53" s="5" t="s">
        <v>100</v>
      </c>
      <c r="C53" s="22" t="n">
        <v>0.06</v>
      </c>
    </row>
    <row r="54" customFormat="false" ht="15" hidden="false" customHeight="false" outlineLevel="0" collapsed="false">
      <c r="A54" s="5" t="s">
        <v>101</v>
      </c>
      <c r="C54" s="22" t="n">
        <v>0.15</v>
      </c>
      <c r="D54" s="14" t="s">
        <v>102</v>
      </c>
    </row>
    <row r="56" customFormat="false" ht="15" hidden="false" customHeight="false" outlineLevel="0" collapsed="false">
      <c r="A56" s="3" t="s">
        <v>103</v>
      </c>
      <c r="B56" s="4"/>
      <c r="C56" s="4"/>
      <c r="D56" s="4"/>
    </row>
    <row r="57" customFormat="false" ht="15" hidden="false" customHeight="false" outlineLevel="0" collapsed="false">
      <c r="A57" s="5" t="s">
        <v>104</v>
      </c>
      <c r="C57" s="25" t="n">
        <f aca="false">(1+Premissas!$C$30)^(1/12)-1</f>
        <v>0.00447169891704302</v>
      </c>
    </row>
    <row r="58" customFormat="false" ht="15" hidden="false" customHeight="false" outlineLevel="0" collapsed="false">
      <c r="A58" s="5" t="s">
        <v>105</v>
      </c>
      <c r="C58" s="25" t="n">
        <f aca="false">(1+Premissas!$C$31)^(1/12)-1</f>
        <v>0.00948879293458305</v>
      </c>
    </row>
    <row r="59" customFormat="false" ht="15" hidden="false" customHeight="false" outlineLevel="0" collapsed="false">
      <c r="A59" s="5" t="s">
        <v>106</v>
      </c>
      <c r="C59" s="25" t="n">
        <f aca="false">(1+Premissas!$C$33)^(1/12)-1</f>
        <v>0.00327373978219891</v>
      </c>
    </row>
    <row r="60" customFormat="false" ht="15" hidden="false" customHeight="false" outlineLevel="0" collapsed="false">
      <c r="A60" s="5" t="s">
        <v>107</v>
      </c>
      <c r="C60" s="25" t="n">
        <f aca="false">(1+Premissas!$C$48)^(1/12)-1</f>
        <v>0.00327373978219891</v>
      </c>
    </row>
    <row r="61" customFormat="false" ht="15" hidden="false" customHeight="false" outlineLevel="0" collapsed="false">
      <c r="A61" s="5" t="s">
        <v>108</v>
      </c>
      <c r="C61" s="25" t="n">
        <f aca="false">(1+Premissas!$C$52)^(1/12)-1</f>
        <v>0.00407412378364835</v>
      </c>
    </row>
  </sheetData>
  <dataValidations count="1">
    <dataValidation allowBlank="false" errorStyle="stop" operator="between" showDropDown="false" showErrorMessage="false" showInputMessage="false" sqref="C6" type="list">
      <formula1>'Tabela SAMPA 135'!$A$5:$A$14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5" t="s">
        <v>110</v>
      </c>
    </row>
    <row r="4" customFormat="false" ht="42" hidden="false" customHeight="true" outlineLevel="0" collapsed="false">
      <c r="A4" s="26" t="s">
        <v>3</v>
      </c>
      <c r="B4" s="26" t="s">
        <v>111</v>
      </c>
      <c r="C4" s="26" t="s">
        <v>4</v>
      </c>
      <c r="D4" s="26" t="s">
        <v>112</v>
      </c>
      <c r="E4" s="26" t="s">
        <v>113</v>
      </c>
      <c r="F4" s="26" t="s">
        <v>114</v>
      </c>
      <c r="G4" s="26" t="s">
        <v>115</v>
      </c>
      <c r="H4" s="26" t="s">
        <v>116</v>
      </c>
      <c r="I4" s="26" t="s">
        <v>117</v>
      </c>
      <c r="J4" s="26" t="s">
        <v>118</v>
      </c>
      <c r="K4" s="26" t="s">
        <v>119</v>
      </c>
      <c r="L4" s="26" t="s">
        <v>120</v>
      </c>
      <c r="M4" s="26" t="s">
        <v>121</v>
      </c>
      <c r="N4" s="26" t="s">
        <v>122</v>
      </c>
    </row>
    <row r="5" customFormat="false" ht="15" hidden="false" customHeight="false" outlineLevel="0" collapsed="false">
      <c r="A5" s="5" t="s">
        <v>123</v>
      </c>
      <c r="B5" s="5" t="n">
        <v>0</v>
      </c>
      <c r="C5" s="5" t="n">
        <v>31.77</v>
      </c>
      <c r="D5" s="5" t="s">
        <v>124</v>
      </c>
      <c r="E5" s="16" t="n">
        <v>26150</v>
      </c>
      <c r="F5" s="16" t="n">
        <v>26150</v>
      </c>
      <c r="G5" s="16" t="n">
        <v>2130</v>
      </c>
      <c r="H5" s="16" t="n">
        <v>12640</v>
      </c>
      <c r="I5" s="16" t="n">
        <v>32680</v>
      </c>
      <c r="J5" s="16" t="n">
        <v>464100</v>
      </c>
      <c r="K5" s="16" t="n">
        <v>653620</v>
      </c>
      <c r="L5" s="27" t="n">
        <v>8271.25</v>
      </c>
      <c r="M5" s="27" t="n">
        <v>3904.2</v>
      </c>
    </row>
    <row r="6" customFormat="false" ht="15" hidden="false" customHeight="false" outlineLevel="0" collapsed="false">
      <c r="A6" s="5" t="s">
        <v>125</v>
      </c>
      <c r="B6" s="5" t="n">
        <v>0</v>
      </c>
      <c r="C6" s="5" t="n">
        <v>27.14</v>
      </c>
      <c r="D6" s="5" t="s">
        <v>126</v>
      </c>
      <c r="E6" s="16" t="n">
        <v>22340</v>
      </c>
      <c r="F6" s="16" t="n">
        <v>22340</v>
      </c>
      <c r="G6" s="16" t="n">
        <v>1820</v>
      </c>
      <c r="H6" s="16" t="n">
        <v>10800</v>
      </c>
      <c r="I6" s="16" t="n">
        <v>27920</v>
      </c>
      <c r="J6" s="16" t="n">
        <v>396470</v>
      </c>
      <c r="K6" s="16" t="n">
        <v>558390</v>
      </c>
      <c r="L6" s="27" t="n">
        <v>7065.94</v>
      </c>
      <c r="M6" s="27" t="n">
        <v>3335.27</v>
      </c>
    </row>
    <row r="7" customFormat="false" ht="15" hidden="false" customHeight="false" outlineLevel="0" collapsed="false">
      <c r="A7" s="5" t="s">
        <v>127</v>
      </c>
      <c r="B7" s="5" t="n">
        <v>0</v>
      </c>
      <c r="C7" s="5" t="n">
        <v>27.1</v>
      </c>
      <c r="D7" s="5" t="s">
        <v>128</v>
      </c>
      <c r="E7" s="16" t="n">
        <v>22300</v>
      </c>
      <c r="F7" s="16" t="n">
        <v>22300</v>
      </c>
      <c r="G7" s="16" t="n">
        <v>1820</v>
      </c>
      <c r="H7" s="16" t="n">
        <v>10780</v>
      </c>
      <c r="I7" s="16" t="n">
        <v>27880</v>
      </c>
      <c r="J7" s="16" t="n">
        <v>395880</v>
      </c>
      <c r="K7" s="16" t="n">
        <v>557580</v>
      </c>
      <c r="L7" s="27" t="n">
        <v>7055.42</v>
      </c>
      <c r="M7" s="27" t="n">
        <v>3330.3</v>
      </c>
    </row>
    <row r="8" customFormat="false" ht="15" hidden="false" customHeight="false" outlineLevel="0" collapsed="false">
      <c r="A8" s="5" t="s">
        <v>129</v>
      </c>
      <c r="B8" s="5" t="n">
        <v>0</v>
      </c>
      <c r="C8" s="5" t="n">
        <v>27.56</v>
      </c>
      <c r="D8" s="5" t="s">
        <v>130</v>
      </c>
      <c r="E8" s="16" t="n">
        <v>22680</v>
      </c>
      <c r="F8" s="16" t="n">
        <v>22680</v>
      </c>
      <c r="G8" s="16" t="n">
        <v>1850</v>
      </c>
      <c r="H8" s="16" t="n">
        <v>10960</v>
      </c>
      <c r="I8" s="16" t="n">
        <v>28350</v>
      </c>
      <c r="J8" s="16" t="n">
        <v>402600</v>
      </c>
      <c r="K8" s="16" t="n">
        <v>567020</v>
      </c>
      <c r="L8" s="27" t="n">
        <v>7175.19</v>
      </c>
      <c r="M8" s="27" t="n">
        <v>3386.83</v>
      </c>
    </row>
    <row r="9" customFormat="false" ht="15" hidden="false" customHeight="false" outlineLevel="0" collapsed="false">
      <c r="A9" s="5" t="s">
        <v>131</v>
      </c>
      <c r="B9" s="5" t="n">
        <v>0</v>
      </c>
      <c r="C9" s="5" t="n">
        <v>22.34</v>
      </c>
      <c r="D9" s="5" t="s">
        <v>132</v>
      </c>
      <c r="E9" s="16" t="n">
        <v>19140</v>
      </c>
      <c r="F9" s="16" t="n">
        <v>19140</v>
      </c>
      <c r="G9" s="16" t="n">
        <v>1560</v>
      </c>
      <c r="H9" s="16" t="n">
        <v>9250</v>
      </c>
      <c r="I9" s="16" t="n">
        <v>23920</v>
      </c>
      <c r="J9" s="16" t="n">
        <v>339670</v>
      </c>
      <c r="K9" s="16" t="n">
        <v>478400</v>
      </c>
      <c r="L9" s="27" t="n">
        <v>6053.64</v>
      </c>
      <c r="M9" s="27" t="n">
        <v>2857.44</v>
      </c>
      <c r="N9" s="5" t="s">
        <v>133</v>
      </c>
    </row>
    <row r="10" customFormat="false" ht="15" hidden="false" customHeight="false" outlineLevel="0" collapsed="false">
      <c r="A10" s="5" t="s">
        <v>37</v>
      </c>
      <c r="B10" s="5" t="n">
        <v>0</v>
      </c>
      <c r="C10" s="5" t="n">
        <v>21.94</v>
      </c>
      <c r="D10" s="5" t="s">
        <v>134</v>
      </c>
      <c r="E10" s="16" t="n">
        <v>18790</v>
      </c>
      <c r="F10" s="16" t="n">
        <v>18790</v>
      </c>
      <c r="G10" s="16" t="n">
        <v>1530</v>
      </c>
      <c r="H10" s="16" t="n">
        <v>9080</v>
      </c>
      <c r="I10" s="16" t="n">
        <v>23490</v>
      </c>
      <c r="J10" s="16" t="n">
        <v>333590</v>
      </c>
      <c r="K10" s="16" t="n">
        <v>469760</v>
      </c>
      <c r="L10" s="27" t="n">
        <v>5945.28</v>
      </c>
      <c r="M10" s="27" t="n">
        <v>2806.29</v>
      </c>
      <c r="N10" s="5" t="s">
        <v>133</v>
      </c>
    </row>
    <row r="11" customFormat="false" ht="15" hidden="false" customHeight="false" outlineLevel="0" collapsed="false">
      <c r="A11" s="5" t="s">
        <v>135</v>
      </c>
      <c r="B11" s="5" t="n">
        <v>0</v>
      </c>
      <c r="C11" s="5" t="n">
        <v>22.09</v>
      </c>
      <c r="D11" s="5" t="s">
        <v>136</v>
      </c>
      <c r="E11" s="16" t="n">
        <v>18920</v>
      </c>
      <c r="F11" s="16" t="n">
        <v>18920</v>
      </c>
      <c r="G11" s="16" t="n">
        <v>1540</v>
      </c>
      <c r="H11" s="16" t="n">
        <v>9150</v>
      </c>
      <c r="I11" s="16" t="n">
        <v>23650</v>
      </c>
      <c r="J11" s="16" t="n">
        <v>335870</v>
      </c>
      <c r="K11" s="16" t="n">
        <v>472990</v>
      </c>
      <c r="L11" s="27" t="n">
        <v>5985.92</v>
      </c>
      <c r="M11" s="27" t="n">
        <v>2825.48</v>
      </c>
      <c r="N11" s="5" t="s">
        <v>133</v>
      </c>
    </row>
    <row r="12" customFormat="false" ht="15" hidden="false" customHeight="false" outlineLevel="0" collapsed="false">
      <c r="A12" s="5" t="s">
        <v>137</v>
      </c>
      <c r="B12" s="5" t="n">
        <v>0</v>
      </c>
      <c r="C12" s="5" t="n">
        <v>25.05</v>
      </c>
      <c r="D12" s="5" t="s">
        <v>138</v>
      </c>
      <c r="E12" s="16" t="n">
        <v>19980</v>
      </c>
      <c r="F12" s="16" t="n">
        <v>19980</v>
      </c>
      <c r="G12" s="16" t="n">
        <v>1630</v>
      </c>
      <c r="H12" s="16" t="n">
        <v>9660</v>
      </c>
      <c r="I12" s="16" t="n">
        <v>24980</v>
      </c>
      <c r="J12" s="16" t="n">
        <v>354730</v>
      </c>
      <c r="K12" s="16" t="n">
        <v>499600</v>
      </c>
      <c r="L12" s="27" t="n">
        <v>6322.04</v>
      </c>
      <c r="M12" s="27" t="n">
        <v>2984.13</v>
      </c>
      <c r="N12" s="5" t="s">
        <v>133</v>
      </c>
    </row>
    <row r="13" customFormat="false" ht="15" hidden="false" customHeight="false" outlineLevel="0" collapsed="false">
      <c r="A13" s="5" t="s">
        <v>139</v>
      </c>
      <c r="B13" s="5" t="n">
        <v>0</v>
      </c>
      <c r="C13" s="5" t="n">
        <v>27.6</v>
      </c>
      <c r="D13" s="5" t="s">
        <v>140</v>
      </c>
      <c r="E13" s="16" t="n">
        <v>22710</v>
      </c>
      <c r="F13" s="16" t="n">
        <v>22710</v>
      </c>
      <c r="G13" s="16" t="n">
        <v>1850</v>
      </c>
      <c r="H13" s="16" t="n">
        <v>10980</v>
      </c>
      <c r="I13" s="16" t="n">
        <v>28390</v>
      </c>
      <c r="J13" s="16" t="n">
        <v>403190</v>
      </c>
      <c r="K13" s="16" t="n">
        <v>567800</v>
      </c>
      <c r="L13" s="27" t="n">
        <v>7185.7</v>
      </c>
      <c r="M13" s="27" t="n">
        <v>3391.8</v>
      </c>
    </row>
    <row r="14" customFormat="false" ht="15" hidden="false" customHeight="false" outlineLevel="0" collapsed="false">
      <c r="A14" s="5" t="s">
        <v>141</v>
      </c>
      <c r="B14" s="5" t="n">
        <v>0</v>
      </c>
      <c r="C14" s="5" t="n">
        <v>28.97</v>
      </c>
      <c r="D14" s="5" t="s">
        <v>142</v>
      </c>
      <c r="E14" s="16" t="n">
        <v>23840</v>
      </c>
      <c r="F14" s="16" t="n">
        <v>23840</v>
      </c>
      <c r="G14" s="16" t="n">
        <v>1950</v>
      </c>
      <c r="H14" s="16" t="n">
        <v>11520</v>
      </c>
      <c r="I14" s="16" t="n">
        <v>29800</v>
      </c>
      <c r="J14" s="16" t="n">
        <v>423200</v>
      </c>
      <c r="K14" s="16" t="n">
        <v>596130</v>
      </c>
      <c r="L14" s="27" t="n">
        <v>7542.32</v>
      </c>
      <c r="M14" s="27" t="n">
        <v>3560.13</v>
      </c>
    </row>
    <row r="16" customFormat="false" ht="15" hidden="false" customHeight="false" outlineLevel="0" collapsed="false">
      <c r="A16" s="5" t="s">
        <v>143</v>
      </c>
    </row>
    <row r="17" customFormat="false" ht="15" hidden="false" customHeight="false" outlineLevel="0" collapsed="false">
      <c r="A17" s="5" t="s">
        <v>144</v>
      </c>
    </row>
    <row r="18" customFormat="false" ht="15" hidden="false" customHeight="false" outlineLevel="0" collapsed="false">
      <c r="A18" s="5" t="s">
        <v>145</v>
      </c>
    </row>
    <row r="19" customFormat="false" ht="15" hidden="false" customHeight="false" outlineLevel="0" collapsed="false">
      <c r="A19" s="5" t="s">
        <v>146</v>
      </c>
    </row>
    <row r="20" customFormat="false" ht="15" hidden="false" customHeight="false" outlineLevel="0" collapsed="false">
      <c r="A20" s="5" t="s">
        <v>147</v>
      </c>
    </row>
    <row r="21" customFormat="false" ht="15" hidden="false" customHeight="false" outlineLevel="0" collapsed="false">
      <c r="A21" s="5" t="s">
        <v>148</v>
      </c>
    </row>
    <row r="22" customFormat="false" ht="15" hidden="false" customHeight="false" outlineLevel="0" collapsed="false">
      <c r="A22" s="5" t="s">
        <v>149</v>
      </c>
    </row>
    <row r="24" customFormat="false" ht="15" hidden="false" customHeight="false" outlineLevel="0" collapsed="false">
      <c r="A24" s="2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4" min="13" style="0" width="13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9" min="17" style="0" width="11"/>
    <col collapsed="false" customWidth="true" hidden="false" outlineLevel="0" max="22" min="20" style="0" width="10"/>
    <col collapsed="false" customWidth="true" hidden="false" outlineLevel="0" max="24" min="23" style="0" width="13"/>
    <col collapsed="false" customWidth="true" hidden="false" outlineLevel="0" max="25" min="25" style="0" width="14"/>
    <col collapsed="false" customWidth="true" hidden="false" outlineLevel="0" max="26" min="26" style="0" width="13"/>
    <col collapsed="false" customWidth="true" hidden="false" outlineLevel="0" max="27" min="27" style="0" width="14"/>
    <col collapsed="false" customWidth="true" hidden="false" outlineLevel="0" max="28" min="28" style="0" width="15"/>
    <col collapsed="false" customWidth="true" hidden="false" outlineLevel="0" max="31" min="29" style="0" width="11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54" hidden="false" customHeight="true" outlineLevel="0" collapsed="false">
      <c r="A4" s="28" t="s">
        <v>153</v>
      </c>
      <c r="B4" s="28" t="s">
        <v>154</v>
      </c>
      <c r="C4" s="28" t="s">
        <v>155</v>
      </c>
      <c r="D4" s="28" t="s">
        <v>156</v>
      </c>
      <c r="E4" s="28" t="s">
        <v>157</v>
      </c>
      <c r="F4" s="28" t="s">
        <v>158</v>
      </c>
      <c r="G4" s="28" t="s">
        <v>9</v>
      </c>
      <c r="H4" s="28" t="s">
        <v>10</v>
      </c>
      <c r="I4" s="28" t="s">
        <v>159</v>
      </c>
      <c r="J4" s="28" t="s">
        <v>160</v>
      </c>
      <c r="K4" s="28" t="s">
        <v>161</v>
      </c>
      <c r="L4" s="28" t="s">
        <v>162</v>
      </c>
      <c r="M4" s="28" t="s">
        <v>163</v>
      </c>
      <c r="N4" s="28" t="s">
        <v>164</v>
      </c>
      <c r="O4" s="28" t="s">
        <v>165</v>
      </c>
      <c r="P4" s="28" t="s">
        <v>166</v>
      </c>
      <c r="Q4" s="28" t="s">
        <v>167</v>
      </c>
      <c r="R4" s="28" t="s">
        <v>168</v>
      </c>
      <c r="S4" s="28" t="s">
        <v>169</v>
      </c>
      <c r="T4" s="28" t="s">
        <v>170</v>
      </c>
      <c r="U4" s="28" t="s">
        <v>171</v>
      </c>
      <c r="V4" s="28" t="s">
        <v>172</v>
      </c>
      <c r="W4" s="28" t="s">
        <v>173</v>
      </c>
      <c r="X4" s="28" t="s">
        <v>174</v>
      </c>
      <c r="Y4" s="28" t="s">
        <v>175</v>
      </c>
      <c r="Z4" s="28" t="s">
        <v>176</v>
      </c>
      <c r="AA4" s="28" t="s">
        <v>177</v>
      </c>
      <c r="AB4" s="28" t="s">
        <v>178</v>
      </c>
      <c r="AC4" s="28" t="s">
        <v>179</v>
      </c>
      <c r="AD4" s="28" t="s">
        <v>180</v>
      </c>
      <c r="AE4" s="28" t="s">
        <v>181</v>
      </c>
    </row>
    <row r="5" customFormat="false" ht="15" hidden="false" customHeight="false" outlineLevel="0" collapsed="false">
      <c r="A5" s="29" t="n">
        <f aca="false">Premissas!$C$19</f>
        <v>46388</v>
      </c>
      <c r="B5" s="30" t="str">
        <f aca="false">IF($A5&lt;Premissas!$C$25,"Obra",IF($A5=Premissas!$C$25,"Chaves",IF($A5&lt;Premissas!$C$27,"Mobiliando","Airbnb")))</f>
        <v>Obra</v>
      </c>
      <c r="C5" s="31" t="n">
        <f aca="false">(YEAR($A5)-YEAR(Premissas!$C$18))*12+MONTH($A5)-MONTH(Premissas!$C$18)</f>
        <v>4</v>
      </c>
      <c r="D5" s="32" t="n">
        <f aca="false">($A5=Premissas!$C$19)*Premissas!$C$8+(($A5=EDATE(Premissas!$C$19,1))+($A5=EDATE(Premissas!$C$19,2)))*Premissas!$C$9+AND($A5&gt;=Premissas!$C$20,$A5&lt;EDATE(Premissas!$C$20,Premissas!$C$21))*Premissas!$C$10+(($A5=Premissas!$C$22)+($A5=Premissas!$C$23)+($A5=Premissas!$C$24))*Premissas!$C$11+($A5=Premissas!$C$25)*Premissas!$C$12</f>
        <v>20320</v>
      </c>
      <c r="E5" s="33" t="n">
        <f aca="false">(1+Premissas!$C$57)^C5</f>
        <v>1.01800713028124</v>
      </c>
      <c r="F5" s="32" t="n">
        <f aca="false">D5*E5</f>
        <v>20685.9048873148</v>
      </c>
      <c r="G5" s="32" t="n">
        <f aca="false">($A5=Premissas!$C$25)*Premissas!$C$34*Premissas!$C$14*(1+Premissas!$C$57)^C5</f>
        <v>0</v>
      </c>
      <c r="H5" s="32" t="n">
        <f aca="false">IF(AND($A5&gt;Premissas!$C$25,$A5&lt;Premissas!$C$27),Premissas!$C$35/MAX(1,Premissas!$C$26),0)</f>
        <v>0</v>
      </c>
      <c r="I5" s="31" t="n">
        <f aca="false">IF(AND($A5&gt;Premissas!$C$25,((YEAR($A5)-YEAR(Premissas!$C$25))*12+MONTH($A5)-MONTH(Premissas!$C$25))&lt;=Premissas!$C$32),((YEAR($A5)-YEAR(Premissas!$C$25))*12+MONTH($A5)-MONTH(Premissas!$C$25)),0)</f>
        <v>0</v>
      </c>
      <c r="J5" s="32" t="n">
        <f aca="false">IF(I5&gt;0,0*(1+Premissas!$C$59),0)</f>
        <v>0</v>
      </c>
      <c r="K5" s="32" t="n">
        <f aca="false">J5*Premissas!$C$58</f>
        <v>0</v>
      </c>
      <c r="L5" s="32" t="n">
        <f aca="false">IF(I5&gt;0,J5/(Premissas!$C$32-I5+1),0)</f>
        <v>0</v>
      </c>
      <c r="M5" s="32" t="n">
        <f aca="false">K5+L5</f>
        <v>0</v>
      </c>
      <c r="N5" s="32" t="n">
        <f aca="false">IF($A5=Premissas!$C$25,Premissas!$C$13*E5,IF(I5&gt;0,J5-L5,0))</f>
        <v>0</v>
      </c>
      <c r="O5" s="34" t="n">
        <f aca="false">IF($A5&gt;=Premissas!$C$27,Premissas!$C$39*IF(((YEAR($A5)-YEAR(Premissas!$C$27))*12+MONTH($A5)-MONTH(Premissas!$C$27))&lt;Premissas!$C$41,Premissas!$C$42,1),0)</f>
        <v>0</v>
      </c>
      <c r="P5" s="32" t="n">
        <f aca="false">O5*Premissas!$C$38*Premissas!$C$40*(1+Premissas!$C$60)^((YEAR($A5)-YEAR(Premissas!$C$19))*12+MONTH($A5)-MONTH(Premissas!$C$19))</f>
        <v>0</v>
      </c>
      <c r="Q5" s="32" t="n">
        <f aca="false">P5*Premissas!$C$43</f>
        <v>0</v>
      </c>
      <c r="R5" s="32" t="n">
        <f aca="false">P5*Premissas!$C$44</f>
        <v>0</v>
      </c>
      <c r="S5" s="32" t="n">
        <f aca="false">IF($A5&gt;=Premissas!$C$25,Premissas!$C$45*(1+Premissas!$C$60)^((YEAR($A5)-YEAR(Premissas!$C$19))*12+MONTH($A5)-MONTH(Premissas!$C$19)),0)</f>
        <v>0</v>
      </c>
      <c r="T5" s="32" t="n">
        <f aca="false">IF($A5&gt;=Premissas!$C$27,Premissas!$C$46*(1+Premissas!$C$60)^((YEAR($A5)-YEAR(Premissas!$C$19))*12+MONTH($A5)-MONTH(Premissas!$C$19)),0)</f>
        <v>0</v>
      </c>
      <c r="U5" s="32" t="n">
        <f aca="false">IF($A5&gt;=Premissas!$C$27,Premissas!$C$47*(1+Premissas!$C$60)^((YEAR($A5)-YEAR(Premissas!$C$19))*12+MONTH($A5)-MONTH(Premissas!$C$19)),0)</f>
        <v>0</v>
      </c>
      <c r="V5" s="32" t="n">
        <f aca="false">IF($A5&gt;=Premissas!$C$27,MAX(0,P5-Q5-R5-S5)*Premissas!$C$49,0)</f>
        <v>0</v>
      </c>
      <c r="W5" s="32" t="n">
        <f aca="false">P5-Q5-R5-S5-T5-U5-V5</f>
        <v>0</v>
      </c>
      <c r="X5" s="32" t="n">
        <f aca="false">W5-F5-G5-H5-M5</f>
        <v>-20685.9048873148</v>
      </c>
      <c r="Y5" s="32" t="n">
        <f aca="false">X5</f>
        <v>-20685.9048873148</v>
      </c>
      <c r="Z5" s="32" t="n">
        <f aca="false">Premissas!$C$14*(1+Premissas!$C$57)^((YEAR(Premissas!$C$19)-YEAR(Premissas!$C$18))*12+MONTH(Premissas!$C$19)-MONTH(Premissas!$C$18))*(1+Premissas!$C$61)^((YEAR($A5)-YEAR(Premissas!$C$19))*12+MONTH($A5)-MONTH(Premissas!$C$19))</f>
        <v>478219.029520916</v>
      </c>
      <c r="AA5" s="32" t="str">
        <f aca="false">IF($A5&gt;=Premissas!$C$25,Z5*(1-Premissas!$C$53)-N5-Premissas!$C$54*MAX(0,Z5*(1-Premissas!$C$53)-(Premissas!$C$14*(1+Premissas!$C$57)^((YEAR(Premissas!$C$25)-YEAR(Premissas!$C$18))*12+MONTH(Premissas!$C$25)-MONTH(Premissas!$C$18))*(1+Premissas!$C$34))),"")</f>
        <v/>
      </c>
      <c r="AB5" s="32" t="str">
        <f aca="false">IF($A5&gt;=Premissas!$C$25,Y5+AA5,"")</f>
        <v/>
      </c>
      <c r="AC5" s="29" t="str">
        <f aca="false">IF(AND($A5&gt;=Premissas!$C$27,W5&gt;=M5),$A5,"")</f>
        <v/>
      </c>
      <c r="AD5" s="29" t="str">
        <f aca="false">IF(AND($A5&gt;=Premissas!$C$27,Y5&gt;=0),$A5,"")</f>
        <v/>
      </c>
      <c r="AE5" s="29" t="str">
        <f aca="false">IF(AND($A5&gt;=Premissas!$C$25,N(AB5)&gt;=0),$A5,"")</f>
        <v/>
      </c>
    </row>
    <row r="6" customFormat="false" ht="15" hidden="false" customHeight="false" outlineLevel="0" collapsed="false">
      <c r="A6" s="20" t="n">
        <f aca="false">DATE(YEAR(A5),MONTH(A5)+1,1)</f>
        <v>46419</v>
      </c>
      <c r="B6" s="5" t="str">
        <f aca="false">IF($A6&lt;Premissas!$C$25,"Obra",IF($A6=Premissas!$C$25,"Chaves",IF($A6&lt;Premissas!$C$27,"Mobiliando","Airbnb")))</f>
        <v>Obra</v>
      </c>
      <c r="C6" s="35" t="n">
        <f aca="false">(YEAR($A6)-YEAR(Premissas!$C$18))*12+MONTH($A6)-MONTH(Premissas!$C$18)</f>
        <v>5</v>
      </c>
      <c r="D6" s="16" t="n">
        <f aca="false">($A6=Premissas!$C$19)*Premissas!$C$8+(($A6=EDATE(Premissas!$C$19,1))+($A6=EDATE(Premissas!$C$19,2)))*Premissas!$C$9+AND($A6&gt;=Premissas!$C$20,$A6&lt;EDATE(Premissas!$C$20,Premissas!$C$21))*Premissas!$C$10+(($A6=Premissas!$C$22)+($A6=Premissas!$C$23)+($A6=Premissas!$C$24))*Premissas!$C$11+($A6=Premissas!$C$25)*Premissas!$C$12</f>
        <v>20320</v>
      </c>
      <c r="E6" s="36" t="n">
        <f aca="false">(1+Premissas!$C$57)^C6</f>
        <v>1.02255935166326</v>
      </c>
      <c r="F6" s="16" t="n">
        <f aca="false">D6*E6</f>
        <v>20778.4060257975</v>
      </c>
      <c r="G6" s="16" t="n">
        <f aca="false">($A6=Premissas!$C$25)*Premissas!$C$34*Premissas!$C$14*(1+Premissas!$C$57)^C6</f>
        <v>0</v>
      </c>
      <c r="H6" s="16" t="n">
        <f aca="false">IF(AND($A6&gt;Premissas!$C$25,$A6&lt;Premissas!$C$27),Premissas!$C$35/MAX(1,Premissas!$C$26),0)</f>
        <v>0</v>
      </c>
      <c r="I6" s="35" t="n">
        <f aca="false">IF(AND($A6&gt;Premissas!$C$25,((YEAR($A6)-YEAR(Premissas!$C$25))*12+MONTH($A6)-MONTH(Premissas!$C$25))&lt;=Premissas!$C$32),((YEAR($A6)-YEAR(Premissas!$C$25))*12+MONTH($A6)-MONTH(Premissas!$C$25)),0)</f>
        <v>0</v>
      </c>
      <c r="J6" s="16" t="n">
        <f aca="false">IF(I6&gt;0,N5*(1+Premissas!$C$59),0)</f>
        <v>0</v>
      </c>
      <c r="K6" s="16" t="n">
        <f aca="false">J6*Premissas!$C$58</f>
        <v>0</v>
      </c>
      <c r="L6" s="16" t="n">
        <f aca="false">IF(I6&gt;0,J6/(Premissas!$C$32-I6+1),0)</f>
        <v>0</v>
      </c>
      <c r="M6" s="16" t="n">
        <f aca="false">K6+L6</f>
        <v>0</v>
      </c>
      <c r="N6" s="16" t="n">
        <f aca="false">IF($A6=Premissas!$C$25,Premissas!$C$13*E6,IF(I6&gt;0,J6-L6,0))</f>
        <v>0</v>
      </c>
      <c r="O6" s="37" t="n">
        <f aca="false">IF($A6&gt;=Premissas!$C$27,Premissas!$C$39*IF(((YEAR($A6)-YEAR(Premissas!$C$27))*12+MONTH($A6)-MONTH(Premissas!$C$27))&lt;Premissas!$C$41,Premissas!$C$42,1),0)</f>
        <v>0</v>
      </c>
      <c r="P6" s="16" t="n">
        <f aca="false">O6*Premissas!$C$38*Premissas!$C$40*(1+Premissas!$C$60)^((YEAR($A6)-YEAR(Premissas!$C$19))*12+MONTH($A6)-MONTH(Premissas!$C$19))</f>
        <v>0</v>
      </c>
      <c r="Q6" s="16" t="n">
        <f aca="false">P6*Premissas!$C$43</f>
        <v>0</v>
      </c>
      <c r="R6" s="16" t="n">
        <f aca="false">P6*Premissas!$C$44</f>
        <v>0</v>
      </c>
      <c r="S6" s="16" t="n">
        <f aca="false">IF($A6&gt;=Premissas!$C$25,Premissas!$C$45*(1+Premissas!$C$60)^((YEAR($A6)-YEAR(Premissas!$C$19))*12+MONTH($A6)-MONTH(Premissas!$C$19)),0)</f>
        <v>0</v>
      </c>
      <c r="T6" s="16" t="n">
        <f aca="false">IF($A6&gt;=Premissas!$C$27,Premissas!$C$46*(1+Premissas!$C$60)^((YEAR($A6)-YEAR(Premissas!$C$19))*12+MONTH($A6)-MONTH(Premissas!$C$19)),0)</f>
        <v>0</v>
      </c>
      <c r="U6" s="16" t="n">
        <f aca="false">IF($A6&gt;=Premissas!$C$27,Premissas!$C$47*(1+Premissas!$C$60)^((YEAR($A6)-YEAR(Premissas!$C$19))*12+MONTH($A6)-MONTH(Premissas!$C$19)),0)</f>
        <v>0</v>
      </c>
      <c r="V6" s="16" t="n">
        <f aca="false">IF($A6&gt;=Premissas!$C$27,MAX(0,P6-Q6-R6-S6)*Premissas!$C$49,0)</f>
        <v>0</v>
      </c>
      <c r="W6" s="16" t="n">
        <f aca="false">P6-Q6-R6-S6-T6-U6-V6</f>
        <v>0</v>
      </c>
      <c r="X6" s="16" t="n">
        <f aca="false">W6-F6-G6-H6-M6</f>
        <v>-20778.4060257975</v>
      </c>
      <c r="Y6" s="16" t="n">
        <f aca="false">Y5+X6</f>
        <v>-41464.3109131123</v>
      </c>
      <c r="Z6" s="16" t="n">
        <f aca="false">Premissas!$C$14*(1+Premissas!$C$57)^((YEAR(Premissas!$C$19)-YEAR(Premissas!$C$18))*12+MONTH(Premissas!$C$19)-MONTH(Premissas!$C$18))*(1+Premissas!$C$61)^((YEAR($A6)-YEAR(Premissas!$C$19))*12+MONTH($A6)-MONTH(Premissas!$C$19))</f>
        <v>480167.35304288</v>
      </c>
      <c r="AA6" s="16" t="str">
        <f aca="false">IF($A6&gt;=Premissas!$C$25,Z6*(1-Premissas!$C$53)-N6-Premissas!$C$54*MAX(0,Z6*(1-Premissas!$C$53)-(Premissas!$C$14*(1+Premissas!$C$57)^((YEAR(Premissas!$C$25)-YEAR(Premissas!$C$18))*12+MONTH(Premissas!$C$25)-MONTH(Premissas!$C$18))*(1+Premissas!$C$34))),"")</f>
        <v/>
      </c>
      <c r="AB6" s="16" t="str">
        <f aca="false">IF($A6&gt;=Premissas!$C$25,Y6+AA6,"")</f>
        <v/>
      </c>
      <c r="AC6" s="20" t="str">
        <f aca="false">IF(AND($A6&gt;=Premissas!$C$27,W6&gt;=M6),$A6,"")</f>
        <v/>
      </c>
      <c r="AD6" s="20" t="str">
        <f aca="false">IF(AND($A6&gt;=Premissas!$C$27,Y6&gt;=0),$A6,"")</f>
        <v/>
      </c>
      <c r="AE6" s="20" t="str">
        <f aca="false">IF(AND($A6&gt;=Premissas!$C$25,N(AB6)&gt;=0),$A6,"")</f>
        <v/>
      </c>
    </row>
    <row r="7" customFormat="false" ht="15" hidden="false" customHeight="false" outlineLevel="0" collapsed="false">
      <c r="A7" s="20" t="n">
        <f aca="false">DATE(YEAR(A6),MONTH(A6)+1,1)</f>
        <v>46447</v>
      </c>
      <c r="B7" s="5" t="str">
        <f aca="false">IF($A7&lt;Premissas!$C$25,"Obra",IF($A7=Premissas!$C$25,"Chaves",IF($A7&lt;Premissas!$C$27,"Mobiliando","Airbnb")))</f>
        <v>Obra</v>
      </c>
      <c r="C7" s="35" t="n">
        <f aca="false">(YEAR($A7)-YEAR(Premissas!$C$18))*12+MONTH($A7)-MONTH(Premissas!$C$18)</f>
        <v>6</v>
      </c>
      <c r="D7" s="16" t="n">
        <f aca="false">($A7=Premissas!$C$19)*Premissas!$C$8+(($A7=EDATE(Premissas!$C$19,1))+($A7=EDATE(Premissas!$C$19,2)))*Premissas!$C$9+AND($A7&gt;=Premissas!$C$20,$A7&lt;EDATE(Premissas!$C$20,Premissas!$C$21))*Premissas!$C$10+(($A7=Premissas!$C$22)+($A7=Premissas!$C$23)+($A7=Premissas!$C$24))*Premissas!$C$11+($A7=Premissas!$C$25)*Premissas!$C$12</f>
        <v>20320</v>
      </c>
      <c r="E7" s="36" t="n">
        <f aca="false">(1+Premissas!$C$57)^C7</f>
        <v>1.02713192920871</v>
      </c>
      <c r="F7" s="16" t="n">
        <f aca="false">D7*E7</f>
        <v>20871.3208015209</v>
      </c>
      <c r="G7" s="16" t="n">
        <f aca="false">($A7=Premissas!$C$25)*Premissas!$C$34*Premissas!$C$14*(1+Premissas!$C$57)^C7</f>
        <v>0</v>
      </c>
      <c r="H7" s="16" t="n">
        <f aca="false">IF(AND($A7&gt;Premissas!$C$25,$A7&lt;Premissas!$C$27),Premissas!$C$35/MAX(1,Premissas!$C$26),0)</f>
        <v>0</v>
      </c>
      <c r="I7" s="35" t="n">
        <f aca="false">IF(AND($A7&gt;Premissas!$C$25,((YEAR($A7)-YEAR(Premissas!$C$25))*12+MONTH($A7)-MONTH(Premissas!$C$25))&lt;=Premissas!$C$32),((YEAR($A7)-YEAR(Premissas!$C$25))*12+MONTH($A7)-MONTH(Premissas!$C$25)),0)</f>
        <v>0</v>
      </c>
      <c r="J7" s="16" t="n">
        <f aca="false">IF(I7&gt;0,N6*(1+Premissas!$C$59),0)</f>
        <v>0</v>
      </c>
      <c r="K7" s="16" t="n">
        <f aca="false">J7*Premissas!$C$58</f>
        <v>0</v>
      </c>
      <c r="L7" s="16" t="n">
        <f aca="false">IF(I7&gt;0,J7/(Premissas!$C$32-I7+1),0)</f>
        <v>0</v>
      </c>
      <c r="M7" s="16" t="n">
        <f aca="false">K7+L7</f>
        <v>0</v>
      </c>
      <c r="N7" s="16" t="n">
        <f aca="false">IF($A7=Premissas!$C$25,Premissas!$C$13*E7,IF(I7&gt;0,J7-L7,0))</f>
        <v>0</v>
      </c>
      <c r="O7" s="37" t="n">
        <f aca="false">IF($A7&gt;=Premissas!$C$27,Premissas!$C$39*IF(((YEAR($A7)-YEAR(Premissas!$C$27))*12+MONTH($A7)-MONTH(Premissas!$C$27))&lt;Premissas!$C$41,Premissas!$C$42,1),0)</f>
        <v>0</v>
      </c>
      <c r="P7" s="16" t="n">
        <f aca="false">O7*Premissas!$C$38*Premissas!$C$40*(1+Premissas!$C$60)^((YEAR($A7)-YEAR(Premissas!$C$19))*12+MONTH($A7)-MONTH(Premissas!$C$19))</f>
        <v>0</v>
      </c>
      <c r="Q7" s="16" t="n">
        <f aca="false">P7*Premissas!$C$43</f>
        <v>0</v>
      </c>
      <c r="R7" s="16" t="n">
        <f aca="false">P7*Premissas!$C$44</f>
        <v>0</v>
      </c>
      <c r="S7" s="16" t="n">
        <f aca="false">IF($A7&gt;=Premissas!$C$25,Premissas!$C$45*(1+Premissas!$C$60)^((YEAR($A7)-YEAR(Premissas!$C$19))*12+MONTH($A7)-MONTH(Premissas!$C$19)),0)</f>
        <v>0</v>
      </c>
      <c r="T7" s="16" t="n">
        <f aca="false">IF($A7&gt;=Premissas!$C$27,Premissas!$C$46*(1+Premissas!$C$60)^((YEAR($A7)-YEAR(Premissas!$C$19))*12+MONTH($A7)-MONTH(Premissas!$C$19)),0)</f>
        <v>0</v>
      </c>
      <c r="U7" s="16" t="n">
        <f aca="false">IF($A7&gt;=Premissas!$C$27,Premissas!$C$47*(1+Premissas!$C$60)^((YEAR($A7)-YEAR(Premissas!$C$19))*12+MONTH($A7)-MONTH(Premissas!$C$19)),0)</f>
        <v>0</v>
      </c>
      <c r="V7" s="16" t="n">
        <f aca="false">IF($A7&gt;=Premissas!$C$27,MAX(0,P7-Q7-R7-S7)*Premissas!$C$49,0)</f>
        <v>0</v>
      </c>
      <c r="W7" s="16" t="n">
        <f aca="false">P7-Q7-R7-S7-T7-U7-V7</f>
        <v>0</v>
      </c>
      <c r="X7" s="16" t="n">
        <f aca="false">W7-F7-G7-H7-M7</f>
        <v>-20871.3208015209</v>
      </c>
      <c r="Y7" s="16" t="n">
        <f aca="false">Y6+X7</f>
        <v>-62335.6317146332</v>
      </c>
      <c r="Z7" s="16" t="n">
        <f aca="false">Premissas!$C$14*(1+Premissas!$C$57)^((YEAR(Premissas!$C$19)-YEAR(Premissas!$C$18))*12+MONTH(Premissas!$C$19)-MONTH(Premissas!$C$18))*(1+Premissas!$C$61)^((YEAR($A7)-YEAR(Premissas!$C$19))*12+MONTH($A7)-MONTH(Premissas!$C$19))</f>
        <v>482123.614276044</v>
      </c>
      <c r="AA7" s="16" t="str">
        <f aca="false">IF($A7&gt;=Premissas!$C$25,Z7*(1-Premissas!$C$53)-N7-Premissas!$C$54*MAX(0,Z7*(1-Premissas!$C$53)-(Premissas!$C$14*(1+Premissas!$C$57)^((YEAR(Premissas!$C$25)-YEAR(Premissas!$C$18))*12+MONTH(Premissas!$C$25)-MONTH(Premissas!$C$18))*(1+Premissas!$C$34))),"")</f>
        <v/>
      </c>
      <c r="AB7" s="16" t="str">
        <f aca="false">IF($A7&gt;=Premissas!$C$25,Y7+AA7,"")</f>
        <v/>
      </c>
      <c r="AC7" s="20" t="str">
        <f aca="false">IF(AND($A7&gt;=Premissas!$C$27,W7&gt;=M7),$A7,"")</f>
        <v/>
      </c>
      <c r="AD7" s="20" t="str">
        <f aca="false">IF(AND($A7&gt;=Premissas!$C$27,Y7&gt;=0),$A7,"")</f>
        <v/>
      </c>
      <c r="AE7" s="20" t="str">
        <f aca="false">IF(AND($A7&gt;=Premissas!$C$25,N(AB7)&gt;=0),$A7,"")</f>
        <v/>
      </c>
    </row>
    <row r="8" customFormat="false" ht="15" hidden="false" customHeight="false" outlineLevel="0" collapsed="false">
      <c r="A8" s="20" t="n">
        <f aca="false">DATE(YEAR(A7),MONTH(A7)+1,1)</f>
        <v>46478</v>
      </c>
      <c r="B8" s="5" t="str">
        <f aca="false">IF($A8&lt;Premissas!$C$25,"Obra",IF($A8=Premissas!$C$25,"Chaves",IF($A8&lt;Premissas!$C$27,"Mobiliando","Airbnb")))</f>
        <v>Obra</v>
      </c>
      <c r="C8" s="35" t="n">
        <f aca="false">(YEAR($A8)-YEAR(Premissas!$C$18))*12+MONTH($A8)-MONTH(Premissas!$C$18)</f>
        <v>7</v>
      </c>
      <c r="D8" s="16" t="n">
        <f aca="false">($A8=Premissas!$C$19)*Premissas!$C$8+(($A8=EDATE(Premissas!$C$19,1))+($A8=EDATE(Premissas!$C$19,2)))*Premissas!$C$9+AND($A8&gt;=Premissas!$C$20,$A8&lt;EDATE(Premissas!$C$20,Premissas!$C$21))*Premissas!$C$10+(($A8=Premissas!$C$22)+($A8=Premissas!$C$23)+($A8=Premissas!$C$24))*Premissas!$C$11+($A8=Premissas!$C$25)*Premissas!$C$12</f>
        <v>1530</v>
      </c>
      <c r="E8" s="36" t="n">
        <f aca="false">(1+Premissas!$C$57)^C8</f>
        <v>1.03172495394421</v>
      </c>
      <c r="F8" s="16" t="n">
        <f aca="false">D8*E8</f>
        <v>1578.53917953464</v>
      </c>
      <c r="G8" s="16" t="n">
        <f aca="false">($A8=Premissas!$C$25)*Premissas!$C$34*Premissas!$C$14*(1+Premissas!$C$57)^C8</f>
        <v>0</v>
      </c>
      <c r="H8" s="16" t="n">
        <f aca="false">IF(AND($A8&gt;Premissas!$C$25,$A8&lt;Premissas!$C$27),Premissas!$C$35/MAX(1,Premissas!$C$26),0)</f>
        <v>0</v>
      </c>
      <c r="I8" s="35" t="n">
        <f aca="false">IF(AND($A8&gt;Premissas!$C$25,((YEAR($A8)-YEAR(Premissas!$C$25))*12+MONTH($A8)-MONTH(Premissas!$C$25))&lt;=Premissas!$C$32),((YEAR($A8)-YEAR(Premissas!$C$25))*12+MONTH($A8)-MONTH(Premissas!$C$25)),0)</f>
        <v>0</v>
      </c>
      <c r="J8" s="16" t="n">
        <f aca="false">IF(I8&gt;0,N7*(1+Premissas!$C$59),0)</f>
        <v>0</v>
      </c>
      <c r="K8" s="16" t="n">
        <f aca="false">J8*Premissas!$C$58</f>
        <v>0</v>
      </c>
      <c r="L8" s="16" t="n">
        <f aca="false">IF(I8&gt;0,J8/(Premissas!$C$32-I8+1),0)</f>
        <v>0</v>
      </c>
      <c r="M8" s="16" t="n">
        <f aca="false">K8+L8</f>
        <v>0</v>
      </c>
      <c r="N8" s="16" t="n">
        <f aca="false">IF($A8=Premissas!$C$25,Premissas!$C$13*E8,IF(I8&gt;0,J8-L8,0))</f>
        <v>0</v>
      </c>
      <c r="O8" s="37" t="n">
        <f aca="false">IF($A8&gt;=Premissas!$C$27,Premissas!$C$39*IF(((YEAR($A8)-YEAR(Premissas!$C$27))*12+MONTH($A8)-MONTH(Premissas!$C$27))&lt;Premissas!$C$41,Premissas!$C$42,1),0)</f>
        <v>0</v>
      </c>
      <c r="P8" s="16" t="n">
        <f aca="false">O8*Premissas!$C$38*Premissas!$C$40*(1+Premissas!$C$60)^((YEAR($A8)-YEAR(Premissas!$C$19))*12+MONTH($A8)-MONTH(Premissas!$C$19))</f>
        <v>0</v>
      </c>
      <c r="Q8" s="16" t="n">
        <f aca="false">P8*Premissas!$C$43</f>
        <v>0</v>
      </c>
      <c r="R8" s="16" t="n">
        <f aca="false">P8*Premissas!$C$44</f>
        <v>0</v>
      </c>
      <c r="S8" s="16" t="n">
        <f aca="false">IF($A8&gt;=Premissas!$C$25,Premissas!$C$45*(1+Premissas!$C$60)^((YEAR($A8)-YEAR(Premissas!$C$19))*12+MONTH($A8)-MONTH(Premissas!$C$19)),0)</f>
        <v>0</v>
      </c>
      <c r="T8" s="16" t="n">
        <f aca="false">IF($A8&gt;=Premissas!$C$27,Premissas!$C$46*(1+Premissas!$C$60)^((YEAR($A8)-YEAR(Premissas!$C$19))*12+MONTH($A8)-MONTH(Premissas!$C$19)),0)</f>
        <v>0</v>
      </c>
      <c r="U8" s="16" t="n">
        <f aca="false">IF($A8&gt;=Premissas!$C$27,Premissas!$C$47*(1+Premissas!$C$60)^((YEAR($A8)-YEAR(Premissas!$C$19))*12+MONTH($A8)-MONTH(Premissas!$C$19)),0)</f>
        <v>0</v>
      </c>
      <c r="V8" s="16" t="n">
        <f aca="false">IF($A8&gt;=Premissas!$C$27,MAX(0,P8-Q8-R8-S8)*Premissas!$C$49,0)</f>
        <v>0</v>
      </c>
      <c r="W8" s="16" t="n">
        <f aca="false">P8-Q8-R8-S8-T8-U8-V8</f>
        <v>0</v>
      </c>
      <c r="X8" s="16" t="n">
        <f aca="false">W8-F8-G8-H8-M8</f>
        <v>-1578.53917953464</v>
      </c>
      <c r="Y8" s="16" t="n">
        <f aca="false">Y7+X8</f>
        <v>-63914.1708941679</v>
      </c>
      <c r="Z8" s="16" t="n">
        <f aca="false">Premissas!$C$14*(1+Premissas!$C$57)^((YEAR(Premissas!$C$19)-YEAR(Premissas!$C$18))*12+MONTH(Premissas!$C$19)-MONTH(Premissas!$C$18))*(1+Premissas!$C$61)^((YEAR($A8)-YEAR(Premissas!$C$19))*12+MONTH($A8)-MONTH(Premissas!$C$19))</f>
        <v>484087.845559624</v>
      </c>
      <c r="AA8" s="16" t="str">
        <f aca="false">IF($A8&gt;=Premissas!$C$25,Z8*(1-Premissas!$C$53)-N8-Premissas!$C$54*MAX(0,Z8*(1-Premissas!$C$53)-(Premissas!$C$14*(1+Premissas!$C$57)^((YEAR(Premissas!$C$25)-YEAR(Premissas!$C$18))*12+MONTH(Premissas!$C$25)-MONTH(Premissas!$C$18))*(1+Premissas!$C$34))),"")</f>
        <v/>
      </c>
      <c r="AB8" s="16" t="str">
        <f aca="false">IF($A8&gt;=Premissas!$C$25,Y8+AA8,"")</f>
        <v/>
      </c>
      <c r="AC8" s="20" t="str">
        <f aca="false">IF(AND($A8&gt;=Premissas!$C$27,W8&gt;=M8),$A8,"")</f>
        <v/>
      </c>
      <c r="AD8" s="20" t="str">
        <f aca="false">IF(AND($A8&gt;=Premissas!$C$27,Y8&gt;=0),$A8,"")</f>
        <v/>
      </c>
      <c r="AE8" s="20" t="str">
        <f aca="false">IF(AND($A8&gt;=Premissas!$C$25,N(AB8)&gt;=0),$A8,"")</f>
        <v/>
      </c>
    </row>
    <row r="9" customFormat="false" ht="15" hidden="false" customHeight="false" outlineLevel="0" collapsed="false">
      <c r="A9" s="20" t="n">
        <f aca="false">DATE(YEAR(A8),MONTH(A8)+1,1)</f>
        <v>46508</v>
      </c>
      <c r="B9" s="5" t="str">
        <f aca="false">IF($A9&lt;Premissas!$C$25,"Obra",IF($A9=Premissas!$C$25,"Chaves",IF($A9&lt;Premissas!$C$27,"Mobiliando","Airbnb")))</f>
        <v>Obra</v>
      </c>
      <c r="C9" s="35" t="n">
        <f aca="false">(YEAR($A9)-YEAR(Premissas!$C$18))*12+MONTH($A9)-MONTH(Premissas!$C$18)</f>
        <v>8</v>
      </c>
      <c r="D9" s="16" t="n">
        <f aca="false">($A9=Premissas!$C$19)*Premissas!$C$8+(($A9=EDATE(Premissas!$C$19,1))+($A9=EDATE(Premissas!$C$19,2)))*Premissas!$C$9+AND($A9&gt;=Premissas!$C$20,$A9&lt;EDATE(Premissas!$C$20,Premissas!$C$21))*Premissas!$C$10+(($A9=Premissas!$C$22)+($A9=Premissas!$C$23)+($A9=Premissas!$C$24))*Premissas!$C$11+($A9=Premissas!$C$25)*Premissas!$C$12</f>
        <v>1530</v>
      </c>
      <c r="E9" s="36" t="n">
        <f aca="false">(1+Premissas!$C$57)^C9</f>
        <v>1.03633851730345</v>
      </c>
      <c r="F9" s="16" t="n">
        <f aca="false">D9*E9</f>
        <v>1585.59793147428</v>
      </c>
      <c r="G9" s="16" t="n">
        <f aca="false">($A9=Premissas!$C$25)*Premissas!$C$34*Premissas!$C$14*(1+Premissas!$C$57)^C9</f>
        <v>0</v>
      </c>
      <c r="H9" s="16" t="n">
        <f aca="false">IF(AND($A9&gt;Premissas!$C$25,$A9&lt;Premissas!$C$27),Premissas!$C$35/MAX(1,Premissas!$C$26),0)</f>
        <v>0</v>
      </c>
      <c r="I9" s="35" t="n">
        <f aca="false">IF(AND($A9&gt;Premissas!$C$25,((YEAR($A9)-YEAR(Premissas!$C$25))*12+MONTH($A9)-MONTH(Premissas!$C$25))&lt;=Premissas!$C$32),((YEAR($A9)-YEAR(Premissas!$C$25))*12+MONTH($A9)-MONTH(Premissas!$C$25)),0)</f>
        <v>0</v>
      </c>
      <c r="J9" s="16" t="n">
        <f aca="false">IF(I9&gt;0,N8*(1+Premissas!$C$59),0)</f>
        <v>0</v>
      </c>
      <c r="K9" s="16" t="n">
        <f aca="false">J9*Premissas!$C$58</f>
        <v>0</v>
      </c>
      <c r="L9" s="16" t="n">
        <f aca="false">IF(I9&gt;0,J9/(Premissas!$C$32-I9+1),0)</f>
        <v>0</v>
      </c>
      <c r="M9" s="16" t="n">
        <f aca="false">K9+L9</f>
        <v>0</v>
      </c>
      <c r="N9" s="16" t="n">
        <f aca="false">IF($A9=Premissas!$C$25,Premissas!$C$13*E9,IF(I9&gt;0,J9-L9,0))</f>
        <v>0</v>
      </c>
      <c r="O9" s="37" t="n">
        <f aca="false">IF($A9&gt;=Premissas!$C$27,Premissas!$C$39*IF(((YEAR($A9)-YEAR(Premissas!$C$27))*12+MONTH($A9)-MONTH(Premissas!$C$27))&lt;Premissas!$C$41,Premissas!$C$42,1),0)</f>
        <v>0</v>
      </c>
      <c r="P9" s="16" t="n">
        <f aca="false">O9*Premissas!$C$38*Premissas!$C$40*(1+Premissas!$C$60)^((YEAR($A9)-YEAR(Premissas!$C$19))*12+MONTH($A9)-MONTH(Premissas!$C$19))</f>
        <v>0</v>
      </c>
      <c r="Q9" s="16" t="n">
        <f aca="false">P9*Premissas!$C$43</f>
        <v>0</v>
      </c>
      <c r="R9" s="16" t="n">
        <f aca="false">P9*Premissas!$C$44</f>
        <v>0</v>
      </c>
      <c r="S9" s="16" t="n">
        <f aca="false">IF($A9&gt;=Premissas!$C$25,Premissas!$C$45*(1+Premissas!$C$60)^((YEAR($A9)-YEAR(Premissas!$C$19))*12+MONTH($A9)-MONTH(Premissas!$C$19)),0)</f>
        <v>0</v>
      </c>
      <c r="T9" s="16" t="n">
        <f aca="false">IF($A9&gt;=Premissas!$C$27,Premissas!$C$46*(1+Premissas!$C$60)^((YEAR($A9)-YEAR(Premissas!$C$19))*12+MONTH($A9)-MONTH(Premissas!$C$19)),0)</f>
        <v>0</v>
      </c>
      <c r="U9" s="16" t="n">
        <f aca="false">IF($A9&gt;=Premissas!$C$27,Premissas!$C$47*(1+Premissas!$C$60)^((YEAR($A9)-YEAR(Premissas!$C$19))*12+MONTH($A9)-MONTH(Premissas!$C$19)),0)</f>
        <v>0</v>
      </c>
      <c r="V9" s="16" t="n">
        <f aca="false">IF($A9&gt;=Premissas!$C$27,MAX(0,P9-Q9-R9-S9)*Premissas!$C$49,0)</f>
        <v>0</v>
      </c>
      <c r="W9" s="16" t="n">
        <f aca="false">P9-Q9-R9-S9-T9-U9-V9</f>
        <v>0</v>
      </c>
      <c r="X9" s="16" t="n">
        <f aca="false">W9-F9-G9-H9-M9</f>
        <v>-1585.59793147428</v>
      </c>
      <c r="Y9" s="16" t="n">
        <f aca="false">Y8+X9</f>
        <v>-65499.7688256422</v>
      </c>
      <c r="Z9" s="16" t="n">
        <f aca="false">Premissas!$C$14*(1+Premissas!$C$57)^((YEAR(Premissas!$C$19)-YEAR(Premissas!$C$18))*12+MONTH(Premissas!$C$19)-MONTH(Premissas!$C$18))*(1+Premissas!$C$61)^((YEAR($A9)-YEAR(Premissas!$C$19))*12+MONTH($A9)-MONTH(Premissas!$C$19))</f>
        <v>486060.079364594</v>
      </c>
      <c r="AA9" s="16" t="str">
        <f aca="false">IF($A9&gt;=Premissas!$C$25,Z9*(1-Premissas!$C$53)-N9-Premissas!$C$54*MAX(0,Z9*(1-Premissas!$C$53)-(Premissas!$C$14*(1+Premissas!$C$57)^((YEAR(Premissas!$C$25)-YEAR(Premissas!$C$18))*12+MONTH(Premissas!$C$25)-MONTH(Premissas!$C$18))*(1+Premissas!$C$34))),"")</f>
        <v/>
      </c>
      <c r="AB9" s="16" t="str">
        <f aca="false">IF($A9&gt;=Premissas!$C$25,Y9+AA9,"")</f>
        <v/>
      </c>
      <c r="AC9" s="20" t="str">
        <f aca="false">IF(AND($A9&gt;=Premissas!$C$27,W9&gt;=M9),$A9,"")</f>
        <v/>
      </c>
      <c r="AD9" s="20" t="str">
        <f aca="false">IF(AND($A9&gt;=Premissas!$C$27,Y9&gt;=0),$A9,"")</f>
        <v/>
      </c>
      <c r="AE9" s="20" t="str">
        <f aca="false">IF(AND($A9&gt;=Premissas!$C$25,N(AB9)&gt;=0),$A9,"")</f>
        <v/>
      </c>
    </row>
    <row r="10" customFormat="false" ht="15" hidden="false" customHeight="false" outlineLevel="0" collapsed="false">
      <c r="A10" s="20" t="n">
        <f aca="false">DATE(YEAR(A9),MONTH(A9)+1,1)</f>
        <v>46539</v>
      </c>
      <c r="B10" s="5" t="str">
        <f aca="false">IF($A10&lt;Premissas!$C$25,"Obra",IF($A10=Premissas!$C$25,"Chaves",IF($A10&lt;Premissas!$C$27,"Mobiliando","Airbnb")))</f>
        <v>Obra</v>
      </c>
      <c r="C10" s="35" t="n">
        <f aca="false">(YEAR($A10)-YEAR(Premissas!$C$18))*12+MONTH($A10)-MONTH(Premissas!$C$18)</f>
        <v>9</v>
      </c>
      <c r="D10" s="16" t="n">
        <f aca="false">($A10=Premissas!$C$19)*Premissas!$C$8+(($A10=EDATE(Premissas!$C$19,1))+($A10=EDATE(Premissas!$C$19,2)))*Premissas!$C$9+AND($A10&gt;=Premissas!$C$20,$A10&lt;EDATE(Premissas!$C$20,Premissas!$C$21))*Premissas!$C$10+(($A10=Premissas!$C$22)+($A10=Premissas!$C$23)+($A10=Premissas!$C$24))*Premissas!$C$11+($A10=Premissas!$C$25)*Premissas!$C$12</f>
        <v>10610</v>
      </c>
      <c r="E10" s="36" t="n">
        <f aca="false">(1+Premissas!$C$57)^C10</f>
        <v>1.04097271112896</v>
      </c>
      <c r="F10" s="16" t="n">
        <f aca="false">D10*E10</f>
        <v>11044.7204650783</v>
      </c>
      <c r="G10" s="16" t="n">
        <f aca="false">($A10=Premissas!$C$25)*Premissas!$C$34*Premissas!$C$14*(1+Premissas!$C$57)^C10</f>
        <v>0</v>
      </c>
      <c r="H10" s="16" t="n">
        <f aca="false">IF(AND($A10&gt;Premissas!$C$25,$A10&lt;Premissas!$C$27),Premissas!$C$35/MAX(1,Premissas!$C$26),0)</f>
        <v>0</v>
      </c>
      <c r="I10" s="35" t="n">
        <f aca="false">IF(AND($A10&gt;Premissas!$C$25,((YEAR($A10)-YEAR(Premissas!$C$25))*12+MONTH($A10)-MONTH(Premissas!$C$25))&lt;=Premissas!$C$32),((YEAR($A10)-YEAR(Premissas!$C$25))*12+MONTH($A10)-MONTH(Premissas!$C$25)),0)</f>
        <v>0</v>
      </c>
      <c r="J10" s="16" t="n">
        <f aca="false">IF(I10&gt;0,N9*(1+Premissas!$C$59),0)</f>
        <v>0</v>
      </c>
      <c r="K10" s="16" t="n">
        <f aca="false">J10*Premissas!$C$58</f>
        <v>0</v>
      </c>
      <c r="L10" s="16" t="n">
        <f aca="false">IF(I10&gt;0,J10/(Premissas!$C$32-I10+1),0)</f>
        <v>0</v>
      </c>
      <c r="M10" s="16" t="n">
        <f aca="false">K10+L10</f>
        <v>0</v>
      </c>
      <c r="N10" s="16" t="n">
        <f aca="false">IF($A10=Premissas!$C$25,Premissas!$C$13*E10,IF(I10&gt;0,J10-L10,0))</f>
        <v>0</v>
      </c>
      <c r="O10" s="37" t="n">
        <f aca="false">IF($A10&gt;=Premissas!$C$27,Premissas!$C$39*IF(((YEAR($A10)-YEAR(Premissas!$C$27))*12+MONTH($A10)-MONTH(Premissas!$C$27))&lt;Premissas!$C$41,Premissas!$C$42,1),0)</f>
        <v>0</v>
      </c>
      <c r="P10" s="16" t="n">
        <f aca="false">O10*Premissas!$C$38*Premissas!$C$40*(1+Premissas!$C$60)^((YEAR($A10)-YEAR(Premissas!$C$19))*12+MONTH($A10)-MONTH(Premissas!$C$19))</f>
        <v>0</v>
      </c>
      <c r="Q10" s="16" t="n">
        <f aca="false">P10*Premissas!$C$43</f>
        <v>0</v>
      </c>
      <c r="R10" s="16" t="n">
        <f aca="false">P10*Premissas!$C$44</f>
        <v>0</v>
      </c>
      <c r="S10" s="16" t="n">
        <f aca="false">IF($A10&gt;=Premissas!$C$25,Premissas!$C$45*(1+Premissas!$C$60)^((YEAR($A10)-YEAR(Premissas!$C$19))*12+MONTH($A10)-MONTH(Premissas!$C$19)),0)</f>
        <v>0</v>
      </c>
      <c r="T10" s="16" t="n">
        <f aca="false">IF($A10&gt;=Premissas!$C$27,Premissas!$C$46*(1+Premissas!$C$60)^((YEAR($A10)-YEAR(Premissas!$C$19))*12+MONTH($A10)-MONTH(Premissas!$C$19)),0)</f>
        <v>0</v>
      </c>
      <c r="U10" s="16" t="n">
        <f aca="false">IF($A10&gt;=Premissas!$C$27,Premissas!$C$47*(1+Premissas!$C$60)^((YEAR($A10)-YEAR(Premissas!$C$19))*12+MONTH($A10)-MONTH(Premissas!$C$19)),0)</f>
        <v>0</v>
      </c>
      <c r="V10" s="16" t="n">
        <f aca="false">IF($A10&gt;=Premissas!$C$27,MAX(0,P10-Q10-R10-S10)*Premissas!$C$49,0)</f>
        <v>0</v>
      </c>
      <c r="W10" s="16" t="n">
        <f aca="false">P10-Q10-R10-S10-T10-U10-V10</f>
        <v>0</v>
      </c>
      <c r="X10" s="16" t="n">
        <f aca="false">W10-F10-G10-H10-M10</f>
        <v>-11044.7204650783</v>
      </c>
      <c r="Y10" s="16" t="n">
        <f aca="false">Y9+X10</f>
        <v>-76544.4892907205</v>
      </c>
      <c r="Z10" s="16" t="n">
        <f aca="false">Premissas!$C$14*(1+Premissas!$C$57)^((YEAR(Premissas!$C$19)-YEAR(Premissas!$C$18))*12+MONTH(Premissas!$C$19)-MONTH(Premissas!$C$18))*(1+Premissas!$C$61)^((YEAR($A10)-YEAR(Premissas!$C$19))*12+MONTH($A10)-MONTH(Premissas!$C$19))</f>
        <v>488040.348294215</v>
      </c>
      <c r="AA10" s="16" t="str">
        <f aca="false">IF($A10&gt;=Premissas!$C$25,Z10*(1-Premissas!$C$53)-N10-Premissas!$C$54*MAX(0,Z10*(1-Premissas!$C$53)-(Premissas!$C$14*(1+Premissas!$C$57)^((YEAR(Premissas!$C$25)-YEAR(Premissas!$C$18))*12+MONTH(Premissas!$C$25)-MONTH(Premissas!$C$18))*(1+Premissas!$C$34))),"")</f>
        <v/>
      </c>
      <c r="AB10" s="16" t="str">
        <f aca="false">IF($A10&gt;=Premissas!$C$25,Y10+AA10,"")</f>
        <v/>
      </c>
      <c r="AC10" s="20" t="str">
        <f aca="false">IF(AND($A10&gt;=Premissas!$C$27,W10&gt;=M10),$A10,"")</f>
        <v/>
      </c>
      <c r="AD10" s="20" t="str">
        <f aca="false">IF(AND($A10&gt;=Premissas!$C$27,Y10&gt;=0),$A10,"")</f>
        <v/>
      </c>
      <c r="AE10" s="20" t="str">
        <f aca="false">IF(AND($A10&gt;=Premissas!$C$25,N(AB10)&gt;=0),$A10,"")</f>
        <v/>
      </c>
    </row>
    <row r="11" customFormat="false" ht="15" hidden="false" customHeight="false" outlineLevel="0" collapsed="false">
      <c r="A11" s="20" t="n">
        <f aca="false">DATE(YEAR(A10),MONTH(A10)+1,1)</f>
        <v>46569</v>
      </c>
      <c r="B11" s="5" t="str">
        <f aca="false">IF($A11&lt;Premissas!$C$25,"Obra",IF($A11=Premissas!$C$25,"Chaves",IF($A11&lt;Premissas!$C$27,"Mobiliando","Airbnb")))</f>
        <v>Obra</v>
      </c>
      <c r="C11" s="35" t="n">
        <f aca="false">(YEAR($A11)-YEAR(Premissas!$C$18))*12+MONTH($A11)-MONTH(Premissas!$C$18)</f>
        <v>10</v>
      </c>
      <c r="D11" s="16" t="n">
        <f aca="false">($A11=Premissas!$C$19)*Premissas!$C$8+(($A11=EDATE(Premissas!$C$19,1))+($A11=EDATE(Premissas!$C$19,2)))*Premissas!$C$9+AND($A11&gt;=Premissas!$C$20,$A11&lt;EDATE(Premissas!$C$20,Premissas!$C$21))*Premissas!$C$10+(($A11=Premissas!$C$22)+($A11=Premissas!$C$23)+($A11=Premissas!$C$24))*Premissas!$C$11+($A11=Premissas!$C$25)*Premissas!$C$12</f>
        <v>1530</v>
      </c>
      <c r="E11" s="36" t="n">
        <f aca="false">(1+Premissas!$C$57)^C11</f>
        <v>1.04562762767399</v>
      </c>
      <c r="F11" s="16" t="n">
        <f aca="false">D11*E11</f>
        <v>1599.81027034121</v>
      </c>
      <c r="G11" s="16" t="n">
        <f aca="false">($A11=Premissas!$C$25)*Premissas!$C$34*Premissas!$C$14*(1+Premissas!$C$57)^C11</f>
        <v>0</v>
      </c>
      <c r="H11" s="16" t="n">
        <f aca="false">IF(AND($A11&gt;Premissas!$C$25,$A11&lt;Premissas!$C$27),Premissas!$C$35/MAX(1,Premissas!$C$26),0)</f>
        <v>0</v>
      </c>
      <c r="I11" s="35" t="n">
        <f aca="false">IF(AND($A11&gt;Premissas!$C$25,((YEAR($A11)-YEAR(Premissas!$C$25))*12+MONTH($A11)-MONTH(Premissas!$C$25))&lt;=Premissas!$C$32),((YEAR($A11)-YEAR(Premissas!$C$25))*12+MONTH($A11)-MONTH(Premissas!$C$25)),0)</f>
        <v>0</v>
      </c>
      <c r="J11" s="16" t="n">
        <f aca="false">IF(I11&gt;0,N10*(1+Premissas!$C$59),0)</f>
        <v>0</v>
      </c>
      <c r="K11" s="16" t="n">
        <f aca="false">J11*Premissas!$C$58</f>
        <v>0</v>
      </c>
      <c r="L11" s="16" t="n">
        <f aca="false">IF(I11&gt;0,J11/(Premissas!$C$32-I11+1),0)</f>
        <v>0</v>
      </c>
      <c r="M11" s="16" t="n">
        <f aca="false">K11+L11</f>
        <v>0</v>
      </c>
      <c r="N11" s="16" t="n">
        <f aca="false">IF($A11=Premissas!$C$25,Premissas!$C$13*E11,IF(I11&gt;0,J11-L11,0))</f>
        <v>0</v>
      </c>
      <c r="O11" s="37" t="n">
        <f aca="false">IF($A11&gt;=Premissas!$C$27,Premissas!$C$39*IF(((YEAR($A11)-YEAR(Premissas!$C$27))*12+MONTH($A11)-MONTH(Premissas!$C$27))&lt;Premissas!$C$41,Premissas!$C$42,1),0)</f>
        <v>0</v>
      </c>
      <c r="P11" s="16" t="n">
        <f aca="false">O11*Premissas!$C$38*Premissas!$C$40*(1+Premissas!$C$60)^((YEAR($A11)-YEAR(Premissas!$C$19))*12+MONTH($A11)-MONTH(Premissas!$C$19))</f>
        <v>0</v>
      </c>
      <c r="Q11" s="16" t="n">
        <f aca="false">P11*Premissas!$C$43</f>
        <v>0</v>
      </c>
      <c r="R11" s="16" t="n">
        <f aca="false">P11*Premissas!$C$44</f>
        <v>0</v>
      </c>
      <c r="S11" s="16" t="n">
        <f aca="false">IF($A11&gt;=Premissas!$C$25,Premissas!$C$45*(1+Premissas!$C$60)^((YEAR($A11)-YEAR(Premissas!$C$19))*12+MONTH($A11)-MONTH(Premissas!$C$19)),0)</f>
        <v>0</v>
      </c>
      <c r="T11" s="16" t="n">
        <f aca="false">IF($A11&gt;=Premissas!$C$27,Premissas!$C$46*(1+Premissas!$C$60)^((YEAR($A11)-YEAR(Premissas!$C$19))*12+MONTH($A11)-MONTH(Premissas!$C$19)),0)</f>
        <v>0</v>
      </c>
      <c r="U11" s="16" t="n">
        <f aca="false">IF($A11&gt;=Premissas!$C$27,Premissas!$C$47*(1+Premissas!$C$60)^((YEAR($A11)-YEAR(Premissas!$C$19))*12+MONTH($A11)-MONTH(Premissas!$C$19)),0)</f>
        <v>0</v>
      </c>
      <c r="V11" s="16" t="n">
        <f aca="false">IF($A11&gt;=Premissas!$C$27,MAX(0,P11-Q11-R11-S11)*Premissas!$C$49,0)</f>
        <v>0</v>
      </c>
      <c r="W11" s="16" t="n">
        <f aca="false">P11-Q11-R11-S11-T11-U11-V11</f>
        <v>0</v>
      </c>
      <c r="X11" s="16" t="n">
        <f aca="false">W11-F11-G11-H11-M11</f>
        <v>-1599.81027034121</v>
      </c>
      <c r="Y11" s="16" t="n">
        <f aca="false">Y10+X11</f>
        <v>-78144.2995610617</v>
      </c>
      <c r="Z11" s="16" t="n">
        <f aca="false">Premissas!$C$14*(1+Premissas!$C$57)^((YEAR(Premissas!$C$19)-YEAR(Premissas!$C$18))*12+MONTH(Premissas!$C$19)-MONTH(Premissas!$C$18))*(1+Premissas!$C$61)^((YEAR($A11)-YEAR(Premissas!$C$19))*12+MONTH($A11)-MONTH(Premissas!$C$19))</f>
        <v>490028.685084581</v>
      </c>
      <c r="AA11" s="16" t="str">
        <f aca="false">IF($A11&gt;=Premissas!$C$25,Z11*(1-Premissas!$C$53)-N11-Premissas!$C$54*MAX(0,Z11*(1-Premissas!$C$53)-(Premissas!$C$14*(1+Premissas!$C$57)^((YEAR(Premissas!$C$25)-YEAR(Premissas!$C$18))*12+MONTH(Premissas!$C$25)-MONTH(Premissas!$C$18))*(1+Premissas!$C$34))),"")</f>
        <v/>
      </c>
      <c r="AB11" s="16" t="str">
        <f aca="false">IF($A11&gt;=Premissas!$C$25,Y11+AA11,"")</f>
        <v/>
      </c>
      <c r="AC11" s="20" t="str">
        <f aca="false">IF(AND($A11&gt;=Premissas!$C$27,W11&gt;=M11),$A11,"")</f>
        <v/>
      </c>
      <c r="AD11" s="20" t="str">
        <f aca="false">IF(AND($A11&gt;=Premissas!$C$27,Y11&gt;=0),$A11,"")</f>
        <v/>
      </c>
      <c r="AE11" s="20" t="str">
        <f aca="false">IF(AND($A11&gt;=Premissas!$C$25,N(AB11)&gt;=0),$A11,"")</f>
        <v/>
      </c>
    </row>
    <row r="12" customFormat="false" ht="15" hidden="false" customHeight="false" outlineLevel="0" collapsed="false">
      <c r="A12" s="20" t="n">
        <f aca="false">DATE(YEAR(A11),MONTH(A11)+1,1)</f>
        <v>46600</v>
      </c>
      <c r="B12" s="5" t="str">
        <f aca="false">IF($A12&lt;Premissas!$C$25,"Obra",IF($A12=Premissas!$C$25,"Chaves",IF($A12&lt;Premissas!$C$27,"Mobiliando","Airbnb")))</f>
        <v>Obra</v>
      </c>
      <c r="C12" s="35" t="n">
        <f aca="false">(YEAR($A12)-YEAR(Premissas!$C$18))*12+MONTH($A12)-MONTH(Premissas!$C$18)</f>
        <v>11</v>
      </c>
      <c r="D12" s="16" t="n">
        <f aca="false">($A12=Premissas!$C$19)*Premissas!$C$8+(($A12=EDATE(Premissas!$C$19,1))+($A12=EDATE(Premissas!$C$19,2)))*Premissas!$C$9+AND($A12&gt;=Premissas!$C$20,$A12&lt;EDATE(Premissas!$C$20,Premissas!$C$21))*Premissas!$C$10+(($A12=Premissas!$C$22)+($A12=Premissas!$C$23)+($A12=Premissas!$C$24))*Premissas!$C$11+($A12=Premissas!$C$25)*Premissas!$C$12</f>
        <v>1530</v>
      </c>
      <c r="E12" s="36" t="n">
        <f aca="false">(1+Premissas!$C$57)^C12</f>
        <v>1.05030335960429</v>
      </c>
      <c r="F12" s="16" t="n">
        <f aca="false">D12*E12</f>
        <v>1606.96414019457</v>
      </c>
      <c r="G12" s="16" t="n">
        <f aca="false">($A12=Premissas!$C$25)*Premissas!$C$34*Premissas!$C$14*(1+Premissas!$C$57)^C12</f>
        <v>0</v>
      </c>
      <c r="H12" s="16" t="n">
        <f aca="false">IF(AND($A12&gt;Premissas!$C$25,$A12&lt;Premissas!$C$27),Premissas!$C$35/MAX(1,Premissas!$C$26),0)</f>
        <v>0</v>
      </c>
      <c r="I12" s="35" t="n">
        <f aca="false">IF(AND($A12&gt;Premissas!$C$25,((YEAR($A12)-YEAR(Premissas!$C$25))*12+MONTH($A12)-MONTH(Premissas!$C$25))&lt;=Premissas!$C$32),((YEAR($A12)-YEAR(Premissas!$C$25))*12+MONTH($A12)-MONTH(Premissas!$C$25)),0)</f>
        <v>0</v>
      </c>
      <c r="J12" s="16" t="n">
        <f aca="false">IF(I12&gt;0,N11*(1+Premissas!$C$59),0)</f>
        <v>0</v>
      </c>
      <c r="K12" s="16" t="n">
        <f aca="false">J12*Premissas!$C$58</f>
        <v>0</v>
      </c>
      <c r="L12" s="16" t="n">
        <f aca="false">IF(I12&gt;0,J12/(Premissas!$C$32-I12+1),0)</f>
        <v>0</v>
      </c>
      <c r="M12" s="16" t="n">
        <f aca="false">K12+L12</f>
        <v>0</v>
      </c>
      <c r="N12" s="16" t="n">
        <f aca="false">IF($A12=Premissas!$C$25,Premissas!$C$13*E12,IF(I12&gt;0,J12-L12,0))</f>
        <v>0</v>
      </c>
      <c r="O12" s="37" t="n">
        <f aca="false">IF($A12&gt;=Premissas!$C$27,Premissas!$C$39*IF(((YEAR($A12)-YEAR(Premissas!$C$27))*12+MONTH($A12)-MONTH(Premissas!$C$27))&lt;Premissas!$C$41,Premissas!$C$42,1),0)</f>
        <v>0</v>
      </c>
      <c r="P12" s="16" t="n">
        <f aca="false">O12*Premissas!$C$38*Premissas!$C$40*(1+Premissas!$C$60)^((YEAR($A12)-YEAR(Premissas!$C$19))*12+MONTH($A12)-MONTH(Premissas!$C$19))</f>
        <v>0</v>
      </c>
      <c r="Q12" s="16" t="n">
        <f aca="false">P12*Premissas!$C$43</f>
        <v>0</v>
      </c>
      <c r="R12" s="16" t="n">
        <f aca="false">P12*Premissas!$C$44</f>
        <v>0</v>
      </c>
      <c r="S12" s="16" t="n">
        <f aca="false">IF($A12&gt;=Premissas!$C$25,Premissas!$C$45*(1+Premissas!$C$60)^((YEAR($A12)-YEAR(Premissas!$C$19))*12+MONTH($A12)-MONTH(Premissas!$C$19)),0)</f>
        <v>0</v>
      </c>
      <c r="T12" s="16" t="n">
        <f aca="false">IF($A12&gt;=Premissas!$C$27,Premissas!$C$46*(1+Premissas!$C$60)^((YEAR($A12)-YEAR(Premissas!$C$19))*12+MONTH($A12)-MONTH(Premissas!$C$19)),0)</f>
        <v>0</v>
      </c>
      <c r="U12" s="16" t="n">
        <f aca="false">IF($A12&gt;=Premissas!$C$27,Premissas!$C$47*(1+Premissas!$C$60)^((YEAR($A12)-YEAR(Premissas!$C$19))*12+MONTH($A12)-MONTH(Premissas!$C$19)),0)</f>
        <v>0</v>
      </c>
      <c r="V12" s="16" t="n">
        <f aca="false">IF($A12&gt;=Premissas!$C$27,MAX(0,P12-Q12-R12-S12)*Premissas!$C$49,0)</f>
        <v>0</v>
      </c>
      <c r="W12" s="16" t="n">
        <f aca="false">P12-Q12-R12-S12-T12-U12-V12</f>
        <v>0</v>
      </c>
      <c r="X12" s="16" t="n">
        <f aca="false">W12-F12-G12-H12-M12</f>
        <v>-1606.96414019457</v>
      </c>
      <c r="Y12" s="16" t="n">
        <f aca="false">Y11+X12</f>
        <v>-79751.2637012562</v>
      </c>
      <c r="Z12" s="16" t="n">
        <f aca="false">Premissas!$C$14*(1+Premissas!$C$57)^((YEAR(Premissas!$C$19)-YEAR(Premissas!$C$18))*12+MONTH(Premissas!$C$19)-MONTH(Premissas!$C$18))*(1+Premissas!$C$61)^((YEAR($A12)-YEAR(Premissas!$C$19))*12+MONTH($A12)-MONTH(Premissas!$C$19))</f>
        <v>492025.122605154</v>
      </c>
      <c r="AA12" s="16" t="str">
        <f aca="false">IF($A12&gt;=Premissas!$C$25,Z12*(1-Premissas!$C$53)-N12-Premissas!$C$54*MAX(0,Z12*(1-Premissas!$C$53)-(Premissas!$C$14*(1+Premissas!$C$57)^((YEAR(Premissas!$C$25)-YEAR(Premissas!$C$18))*12+MONTH(Premissas!$C$25)-MONTH(Premissas!$C$18))*(1+Premissas!$C$34))),"")</f>
        <v/>
      </c>
      <c r="AB12" s="16" t="str">
        <f aca="false">IF($A12&gt;=Premissas!$C$25,Y12+AA12,"")</f>
        <v/>
      </c>
      <c r="AC12" s="20" t="str">
        <f aca="false">IF(AND($A12&gt;=Premissas!$C$27,W12&gt;=M12),$A12,"")</f>
        <v/>
      </c>
      <c r="AD12" s="20" t="str">
        <f aca="false">IF(AND($A12&gt;=Premissas!$C$27,Y12&gt;=0),$A12,"")</f>
        <v/>
      </c>
      <c r="AE12" s="20" t="str">
        <f aca="false">IF(AND($A12&gt;=Premissas!$C$25,N(AB12)&gt;=0),$A12,"")</f>
        <v/>
      </c>
    </row>
    <row r="13" customFormat="false" ht="15" hidden="false" customHeight="false" outlineLevel="0" collapsed="false">
      <c r="A13" s="20" t="n">
        <f aca="false">DATE(YEAR(A12),MONTH(A12)+1,1)</f>
        <v>46631</v>
      </c>
      <c r="B13" s="5" t="str">
        <f aca="false">IF($A13&lt;Premissas!$C$25,"Obra",IF($A13=Premissas!$C$25,"Chaves",IF($A13&lt;Premissas!$C$27,"Mobiliando","Airbnb")))</f>
        <v>Obra</v>
      </c>
      <c r="C13" s="35" t="n">
        <f aca="false">(YEAR($A13)-YEAR(Premissas!$C$18))*12+MONTH($A13)-MONTH(Premissas!$C$18)</f>
        <v>12</v>
      </c>
      <c r="D13" s="16" t="n">
        <f aca="false">($A13=Premissas!$C$19)*Premissas!$C$8+(($A13=EDATE(Premissas!$C$19,1))+($A13=EDATE(Premissas!$C$19,2)))*Premissas!$C$9+AND($A13&gt;=Premissas!$C$20,$A13&lt;EDATE(Premissas!$C$20,Premissas!$C$21))*Premissas!$C$10+(($A13=Premissas!$C$22)+($A13=Premissas!$C$23)+($A13=Premissas!$C$24))*Premissas!$C$11+($A13=Premissas!$C$25)*Premissas!$C$12</f>
        <v>1530</v>
      </c>
      <c r="E13" s="36" t="n">
        <f aca="false">(1+Premissas!$C$57)^C13</f>
        <v>1.055</v>
      </c>
      <c r="F13" s="16" t="n">
        <f aca="false">D13*E13</f>
        <v>1614.15</v>
      </c>
      <c r="G13" s="16" t="n">
        <f aca="false">($A13=Premissas!$C$25)*Premissas!$C$34*Premissas!$C$14*(1+Premissas!$C$57)^C13</f>
        <v>0</v>
      </c>
      <c r="H13" s="16" t="n">
        <f aca="false">IF(AND($A13&gt;Premissas!$C$25,$A13&lt;Premissas!$C$27),Premissas!$C$35/MAX(1,Premissas!$C$26),0)</f>
        <v>0</v>
      </c>
      <c r="I13" s="35" t="n">
        <f aca="false">IF(AND($A13&gt;Premissas!$C$25,((YEAR($A13)-YEAR(Premissas!$C$25))*12+MONTH($A13)-MONTH(Premissas!$C$25))&lt;=Premissas!$C$32),((YEAR($A13)-YEAR(Premissas!$C$25))*12+MONTH($A13)-MONTH(Premissas!$C$25)),0)</f>
        <v>0</v>
      </c>
      <c r="J13" s="16" t="n">
        <f aca="false">IF(I13&gt;0,N12*(1+Premissas!$C$59),0)</f>
        <v>0</v>
      </c>
      <c r="K13" s="16" t="n">
        <f aca="false">J13*Premissas!$C$58</f>
        <v>0</v>
      </c>
      <c r="L13" s="16" t="n">
        <f aca="false">IF(I13&gt;0,J13/(Premissas!$C$32-I13+1),0)</f>
        <v>0</v>
      </c>
      <c r="M13" s="16" t="n">
        <f aca="false">K13+L13</f>
        <v>0</v>
      </c>
      <c r="N13" s="16" t="n">
        <f aca="false">IF($A13=Premissas!$C$25,Premissas!$C$13*E13,IF(I13&gt;0,J13-L13,0))</f>
        <v>0</v>
      </c>
      <c r="O13" s="37" t="n">
        <f aca="false">IF($A13&gt;=Premissas!$C$27,Premissas!$C$39*IF(((YEAR($A13)-YEAR(Premissas!$C$27))*12+MONTH($A13)-MONTH(Premissas!$C$27))&lt;Premissas!$C$41,Premissas!$C$42,1),0)</f>
        <v>0</v>
      </c>
      <c r="P13" s="16" t="n">
        <f aca="false">O13*Premissas!$C$38*Premissas!$C$40*(1+Premissas!$C$60)^((YEAR($A13)-YEAR(Premissas!$C$19))*12+MONTH($A13)-MONTH(Premissas!$C$19))</f>
        <v>0</v>
      </c>
      <c r="Q13" s="16" t="n">
        <f aca="false">P13*Premissas!$C$43</f>
        <v>0</v>
      </c>
      <c r="R13" s="16" t="n">
        <f aca="false">P13*Premissas!$C$44</f>
        <v>0</v>
      </c>
      <c r="S13" s="16" t="n">
        <f aca="false">IF($A13&gt;=Premissas!$C$25,Premissas!$C$45*(1+Premissas!$C$60)^((YEAR($A13)-YEAR(Premissas!$C$19))*12+MONTH($A13)-MONTH(Premissas!$C$19)),0)</f>
        <v>0</v>
      </c>
      <c r="T13" s="16" t="n">
        <f aca="false">IF($A13&gt;=Premissas!$C$27,Premissas!$C$46*(1+Premissas!$C$60)^((YEAR($A13)-YEAR(Premissas!$C$19))*12+MONTH($A13)-MONTH(Premissas!$C$19)),0)</f>
        <v>0</v>
      </c>
      <c r="U13" s="16" t="n">
        <f aca="false">IF($A13&gt;=Premissas!$C$27,Premissas!$C$47*(1+Premissas!$C$60)^((YEAR($A13)-YEAR(Premissas!$C$19))*12+MONTH($A13)-MONTH(Premissas!$C$19)),0)</f>
        <v>0</v>
      </c>
      <c r="V13" s="16" t="n">
        <f aca="false">IF($A13&gt;=Premissas!$C$27,MAX(0,P13-Q13-R13-S13)*Premissas!$C$49,0)</f>
        <v>0</v>
      </c>
      <c r="W13" s="16" t="n">
        <f aca="false">P13-Q13-R13-S13-T13-U13-V13</f>
        <v>0</v>
      </c>
      <c r="X13" s="16" t="n">
        <f aca="false">W13-F13-G13-H13-M13</f>
        <v>-1614.15</v>
      </c>
      <c r="Y13" s="16" t="n">
        <f aca="false">Y12+X13</f>
        <v>-81365.4137012562</v>
      </c>
      <c r="Z13" s="16" t="n">
        <f aca="false">Premissas!$C$14*(1+Premissas!$C$57)^((YEAR(Premissas!$C$19)-YEAR(Premissas!$C$18))*12+MONTH(Premissas!$C$19)-MONTH(Premissas!$C$18))*(1+Premissas!$C$61)^((YEAR($A13)-YEAR(Premissas!$C$19))*12+MONTH($A13)-MONTH(Premissas!$C$19))</f>
        <v>494029.693859312</v>
      </c>
      <c r="AA13" s="16" t="str">
        <f aca="false">IF($A13&gt;=Premissas!$C$25,Z13*(1-Premissas!$C$53)-N13-Premissas!$C$54*MAX(0,Z13*(1-Premissas!$C$53)-(Premissas!$C$14*(1+Premissas!$C$57)^((YEAR(Premissas!$C$25)-YEAR(Premissas!$C$18))*12+MONTH(Premissas!$C$25)-MONTH(Premissas!$C$18))*(1+Premissas!$C$34))),"")</f>
        <v/>
      </c>
      <c r="AB13" s="16" t="str">
        <f aca="false">IF($A13&gt;=Premissas!$C$25,Y13+AA13,"")</f>
        <v/>
      </c>
      <c r="AC13" s="20" t="str">
        <f aca="false">IF(AND($A13&gt;=Premissas!$C$27,W13&gt;=M13),$A13,"")</f>
        <v/>
      </c>
      <c r="AD13" s="20" t="str">
        <f aca="false">IF(AND($A13&gt;=Premissas!$C$27,Y13&gt;=0),$A13,"")</f>
        <v/>
      </c>
      <c r="AE13" s="20" t="str">
        <f aca="false">IF(AND($A13&gt;=Premissas!$C$25,N(AB13)&gt;=0),$A13,"")</f>
        <v/>
      </c>
    </row>
    <row r="14" customFormat="false" ht="15" hidden="false" customHeight="false" outlineLevel="0" collapsed="false">
      <c r="A14" s="20" t="n">
        <f aca="false">DATE(YEAR(A13),MONTH(A13)+1,1)</f>
        <v>46661</v>
      </c>
      <c r="B14" s="5" t="str">
        <f aca="false">IF($A14&lt;Premissas!$C$25,"Obra",IF($A14=Premissas!$C$25,"Chaves",IF($A14&lt;Premissas!$C$27,"Mobiliando","Airbnb")))</f>
        <v>Obra</v>
      </c>
      <c r="C14" s="35" t="n">
        <f aca="false">(YEAR($A14)-YEAR(Premissas!$C$18))*12+MONTH($A14)-MONTH(Premissas!$C$18)</f>
        <v>13</v>
      </c>
      <c r="D14" s="16" t="n">
        <f aca="false">($A14=Premissas!$C$19)*Premissas!$C$8+(($A14=EDATE(Premissas!$C$19,1))+($A14=EDATE(Premissas!$C$19,2)))*Premissas!$C$9+AND($A14&gt;=Premissas!$C$20,$A14&lt;EDATE(Premissas!$C$20,Premissas!$C$21))*Premissas!$C$10+(($A14=Premissas!$C$22)+($A14=Premissas!$C$23)+($A14=Premissas!$C$24))*Premissas!$C$11+($A14=Premissas!$C$25)*Premissas!$C$12</f>
        <v>1530</v>
      </c>
      <c r="E14" s="36" t="n">
        <f aca="false">(1+Premissas!$C$57)^C14</f>
        <v>1.05971764235748</v>
      </c>
      <c r="F14" s="16" t="n">
        <f aca="false">D14*E14</f>
        <v>1621.36799280695</v>
      </c>
      <c r="G14" s="16" t="n">
        <f aca="false">($A14=Premissas!$C$25)*Premissas!$C$34*Premissas!$C$14*(1+Premissas!$C$57)^C14</f>
        <v>0</v>
      </c>
      <c r="H14" s="16" t="n">
        <f aca="false">IF(AND($A14&gt;Premissas!$C$25,$A14&lt;Premissas!$C$27),Premissas!$C$35/MAX(1,Premissas!$C$26),0)</f>
        <v>0</v>
      </c>
      <c r="I14" s="35" t="n">
        <f aca="false">IF(AND($A14&gt;Premissas!$C$25,((YEAR($A14)-YEAR(Premissas!$C$25))*12+MONTH($A14)-MONTH(Premissas!$C$25))&lt;=Premissas!$C$32),((YEAR($A14)-YEAR(Premissas!$C$25))*12+MONTH($A14)-MONTH(Premissas!$C$25)),0)</f>
        <v>0</v>
      </c>
      <c r="J14" s="16" t="n">
        <f aca="false">IF(I14&gt;0,N13*(1+Premissas!$C$59),0)</f>
        <v>0</v>
      </c>
      <c r="K14" s="16" t="n">
        <f aca="false">J14*Premissas!$C$58</f>
        <v>0</v>
      </c>
      <c r="L14" s="16" t="n">
        <f aca="false">IF(I14&gt;0,J14/(Premissas!$C$32-I14+1),0)</f>
        <v>0</v>
      </c>
      <c r="M14" s="16" t="n">
        <f aca="false">K14+L14</f>
        <v>0</v>
      </c>
      <c r="N14" s="16" t="n">
        <f aca="false">IF($A14=Premissas!$C$25,Premissas!$C$13*E14,IF(I14&gt;0,J14-L14,0))</f>
        <v>0</v>
      </c>
      <c r="O14" s="37" t="n">
        <f aca="false">IF($A14&gt;=Premissas!$C$27,Premissas!$C$39*IF(((YEAR($A14)-YEAR(Premissas!$C$27))*12+MONTH($A14)-MONTH(Premissas!$C$27))&lt;Premissas!$C$41,Premissas!$C$42,1),0)</f>
        <v>0</v>
      </c>
      <c r="P14" s="16" t="n">
        <f aca="false">O14*Premissas!$C$38*Premissas!$C$40*(1+Premissas!$C$60)^((YEAR($A14)-YEAR(Premissas!$C$19))*12+MONTH($A14)-MONTH(Premissas!$C$19))</f>
        <v>0</v>
      </c>
      <c r="Q14" s="16" t="n">
        <f aca="false">P14*Premissas!$C$43</f>
        <v>0</v>
      </c>
      <c r="R14" s="16" t="n">
        <f aca="false">P14*Premissas!$C$44</f>
        <v>0</v>
      </c>
      <c r="S14" s="16" t="n">
        <f aca="false">IF($A14&gt;=Premissas!$C$25,Premissas!$C$45*(1+Premissas!$C$60)^((YEAR($A14)-YEAR(Premissas!$C$19))*12+MONTH($A14)-MONTH(Premissas!$C$19)),0)</f>
        <v>0</v>
      </c>
      <c r="T14" s="16" t="n">
        <f aca="false">IF($A14&gt;=Premissas!$C$27,Premissas!$C$46*(1+Premissas!$C$60)^((YEAR($A14)-YEAR(Premissas!$C$19))*12+MONTH($A14)-MONTH(Premissas!$C$19)),0)</f>
        <v>0</v>
      </c>
      <c r="U14" s="16" t="n">
        <f aca="false">IF($A14&gt;=Premissas!$C$27,Premissas!$C$47*(1+Premissas!$C$60)^((YEAR($A14)-YEAR(Premissas!$C$19))*12+MONTH($A14)-MONTH(Premissas!$C$19)),0)</f>
        <v>0</v>
      </c>
      <c r="V14" s="16" t="n">
        <f aca="false">IF($A14&gt;=Premissas!$C$27,MAX(0,P14-Q14-R14-S14)*Premissas!$C$49,0)</f>
        <v>0</v>
      </c>
      <c r="W14" s="16" t="n">
        <f aca="false">P14-Q14-R14-S14-T14-U14-V14</f>
        <v>0</v>
      </c>
      <c r="X14" s="16" t="n">
        <f aca="false">W14-F14-G14-H14-M14</f>
        <v>-1621.36799280695</v>
      </c>
      <c r="Y14" s="16" t="n">
        <f aca="false">Y13+X14</f>
        <v>-82986.7816940632</v>
      </c>
      <c r="Z14" s="16" t="n">
        <f aca="false">Premissas!$C$14*(1+Premissas!$C$57)^((YEAR(Premissas!$C$19)-YEAR(Premissas!$C$18))*12+MONTH(Premissas!$C$19)-MONTH(Premissas!$C$18))*(1+Premissas!$C$61)^((YEAR($A14)-YEAR(Premissas!$C$19))*12+MONTH($A14)-MONTH(Premissas!$C$19))</f>
        <v>496042.431984893</v>
      </c>
      <c r="AA14" s="16" t="str">
        <f aca="false">IF($A14&gt;=Premissas!$C$25,Z14*(1-Premissas!$C$53)-N14-Premissas!$C$54*MAX(0,Z14*(1-Premissas!$C$53)-(Premissas!$C$14*(1+Premissas!$C$57)^((YEAR(Premissas!$C$25)-YEAR(Premissas!$C$18))*12+MONTH(Premissas!$C$25)-MONTH(Premissas!$C$18))*(1+Premissas!$C$34))),"")</f>
        <v/>
      </c>
      <c r="AB14" s="16" t="str">
        <f aca="false">IF($A14&gt;=Premissas!$C$25,Y14+AA14,"")</f>
        <v/>
      </c>
      <c r="AC14" s="20" t="str">
        <f aca="false">IF(AND($A14&gt;=Premissas!$C$27,W14&gt;=M14),$A14,"")</f>
        <v/>
      </c>
      <c r="AD14" s="20" t="str">
        <f aca="false">IF(AND($A14&gt;=Premissas!$C$27,Y14&gt;=0),$A14,"")</f>
        <v/>
      </c>
      <c r="AE14" s="20" t="str">
        <f aca="false">IF(AND($A14&gt;=Premissas!$C$25,N(AB14)&gt;=0),$A14,"")</f>
        <v/>
      </c>
    </row>
    <row r="15" customFormat="false" ht="15" hidden="false" customHeight="false" outlineLevel="0" collapsed="false">
      <c r="A15" s="20" t="n">
        <f aca="false">DATE(YEAR(A14),MONTH(A14)+1,1)</f>
        <v>46692</v>
      </c>
      <c r="B15" s="5" t="str">
        <f aca="false">IF($A15&lt;Premissas!$C$25,"Obra",IF($A15=Premissas!$C$25,"Chaves",IF($A15&lt;Premissas!$C$27,"Mobiliando","Airbnb")))</f>
        <v>Obra</v>
      </c>
      <c r="C15" s="35" t="n">
        <f aca="false">(YEAR($A15)-YEAR(Premissas!$C$18))*12+MONTH($A15)-MONTH(Premissas!$C$18)</f>
        <v>14</v>
      </c>
      <c r="D15" s="16" t="n">
        <f aca="false">($A15=Premissas!$C$19)*Premissas!$C$8+(($A15=EDATE(Premissas!$C$19,1))+($A15=EDATE(Premissas!$C$19,2)))*Premissas!$C$9+AND($A15&gt;=Premissas!$C$20,$A15&lt;EDATE(Premissas!$C$20,Premissas!$C$21))*Premissas!$C$10+(($A15=Premissas!$C$22)+($A15=Premissas!$C$23)+($A15=Premissas!$C$24))*Premissas!$C$11+($A15=Premissas!$C$25)*Premissas!$C$12</f>
        <v>1530</v>
      </c>
      <c r="E15" s="36" t="n">
        <f aca="false">(1+Premissas!$C$57)^C15</f>
        <v>1.06445638059118</v>
      </c>
      <c r="F15" s="16" t="n">
        <f aca="false">D15*E15</f>
        <v>1628.61826230451</v>
      </c>
      <c r="G15" s="16" t="n">
        <f aca="false">($A15=Premissas!$C$25)*Premissas!$C$34*Premissas!$C$14*(1+Premissas!$C$57)^C15</f>
        <v>0</v>
      </c>
      <c r="H15" s="16" t="n">
        <f aca="false">IF(AND($A15&gt;Premissas!$C$25,$A15&lt;Premissas!$C$27),Premissas!$C$35/MAX(1,Premissas!$C$26),0)</f>
        <v>0</v>
      </c>
      <c r="I15" s="35" t="n">
        <f aca="false">IF(AND($A15&gt;Premissas!$C$25,((YEAR($A15)-YEAR(Premissas!$C$25))*12+MONTH($A15)-MONTH(Premissas!$C$25))&lt;=Premissas!$C$32),((YEAR($A15)-YEAR(Premissas!$C$25))*12+MONTH($A15)-MONTH(Premissas!$C$25)),0)</f>
        <v>0</v>
      </c>
      <c r="J15" s="16" t="n">
        <f aca="false">IF(I15&gt;0,N14*(1+Premissas!$C$59),0)</f>
        <v>0</v>
      </c>
      <c r="K15" s="16" t="n">
        <f aca="false">J15*Premissas!$C$58</f>
        <v>0</v>
      </c>
      <c r="L15" s="16" t="n">
        <f aca="false">IF(I15&gt;0,J15/(Premissas!$C$32-I15+1),0)</f>
        <v>0</v>
      </c>
      <c r="M15" s="16" t="n">
        <f aca="false">K15+L15</f>
        <v>0</v>
      </c>
      <c r="N15" s="16" t="n">
        <f aca="false">IF($A15=Premissas!$C$25,Premissas!$C$13*E15,IF(I15&gt;0,J15-L15,0))</f>
        <v>0</v>
      </c>
      <c r="O15" s="37" t="n">
        <f aca="false">IF($A15&gt;=Premissas!$C$27,Premissas!$C$39*IF(((YEAR($A15)-YEAR(Premissas!$C$27))*12+MONTH($A15)-MONTH(Premissas!$C$27))&lt;Premissas!$C$41,Premissas!$C$42,1),0)</f>
        <v>0</v>
      </c>
      <c r="P15" s="16" t="n">
        <f aca="false">O15*Premissas!$C$38*Premissas!$C$40*(1+Premissas!$C$60)^((YEAR($A15)-YEAR(Premissas!$C$19))*12+MONTH($A15)-MONTH(Premissas!$C$19))</f>
        <v>0</v>
      </c>
      <c r="Q15" s="16" t="n">
        <f aca="false">P15*Premissas!$C$43</f>
        <v>0</v>
      </c>
      <c r="R15" s="16" t="n">
        <f aca="false">P15*Premissas!$C$44</f>
        <v>0</v>
      </c>
      <c r="S15" s="16" t="n">
        <f aca="false">IF($A15&gt;=Premissas!$C$25,Premissas!$C$45*(1+Premissas!$C$60)^((YEAR($A15)-YEAR(Premissas!$C$19))*12+MONTH($A15)-MONTH(Premissas!$C$19)),0)</f>
        <v>0</v>
      </c>
      <c r="T15" s="16" t="n">
        <f aca="false">IF($A15&gt;=Premissas!$C$27,Premissas!$C$46*(1+Premissas!$C$60)^((YEAR($A15)-YEAR(Premissas!$C$19))*12+MONTH($A15)-MONTH(Premissas!$C$19)),0)</f>
        <v>0</v>
      </c>
      <c r="U15" s="16" t="n">
        <f aca="false">IF($A15&gt;=Premissas!$C$27,Premissas!$C$47*(1+Premissas!$C$60)^((YEAR($A15)-YEAR(Premissas!$C$19))*12+MONTH($A15)-MONTH(Premissas!$C$19)),0)</f>
        <v>0</v>
      </c>
      <c r="V15" s="16" t="n">
        <f aca="false">IF($A15&gt;=Premissas!$C$27,MAX(0,P15-Q15-R15-S15)*Premissas!$C$49,0)</f>
        <v>0</v>
      </c>
      <c r="W15" s="16" t="n">
        <f aca="false">P15-Q15-R15-S15-T15-U15-V15</f>
        <v>0</v>
      </c>
      <c r="X15" s="16" t="n">
        <f aca="false">W15-F15-G15-H15-M15</f>
        <v>-1628.61826230451</v>
      </c>
      <c r="Y15" s="16" t="n">
        <f aca="false">Y14+X15</f>
        <v>-84615.3999563677</v>
      </c>
      <c r="Z15" s="16" t="n">
        <f aca="false">Premissas!$C$14*(1+Premissas!$C$57)^((YEAR(Premissas!$C$19)-YEAR(Premissas!$C$18))*12+MONTH(Premissas!$C$19)-MONTH(Premissas!$C$18))*(1+Premissas!$C$61)^((YEAR($A15)-YEAR(Premissas!$C$19))*12+MONTH($A15)-MONTH(Premissas!$C$19))</f>
        <v>498063.370254741</v>
      </c>
      <c r="AA15" s="16" t="str">
        <f aca="false">IF($A15&gt;=Premissas!$C$25,Z15*(1-Premissas!$C$53)-N15-Premissas!$C$54*MAX(0,Z15*(1-Premissas!$C$53)-(Premissas!$C$14*(1+Premissas!$C$57)^((YEAR(Premissas!$C$25)-YEAR(Premissas!$C$18))*12+MONTH(Premissas!$C$25)-MONTH(Premissas!$C$18))*(1+Premissas!$C$34))),"")</f>
        <v/>
      </c>
      <c r="AB15" s="16" t="str">
        <f aca="false">IF($A15&gt;=Premissas!$C$25,Y15+AA15,"")</f>
        <v/>
      </c>
      <c r="AC15" s="20" t="str">
        <f aca="false">IF(AND($A15&gt;=Premissas!$C$27,W15&gt;=M15),$A15,"")</f>
        <v/>
      </c>
      <c r="AD15" s="20" t="str">
        <f aca="false">IF(AND($A15&gt;=Premissas!$C$27,Y15&gt;=0),$A15,"")</f>
        <v/>
      </c>
      <c r="AE15" s="20" t="str">
        <f aca="false">IF(AND($A15&gt;=Premissas!$C$25,N(AB15)&gt;=0),$A15,"")</f>
        <v/>
      </c>
    </row>
    <row r="16" customFormat="false" ht="15" hidden="false" customHeight="false" outlineLevel="0" collapsed="false">
      <c r="A16" s="20" t="n">
        <f aca="false">DATE(YEAR(A15),MONTH(A15)+1,1)</f>
        <v>46722</v>
      </c>
      <c r="B16" s="5" t="str">
        <f aca="false">IF($A16&lt;Premissas!$C$25,"Obra",IF($A16=Premissas!$C$25,"Chaves",IF($A16&lt;Premissas!$C$27,"Mobiliando","Airbnb")))</f>
        <v>Obra</v>
      </c>
      <c r="C16" s="35" t="n">
        <f aca="false">(YEAR($A16)-YEAR(Premissas!$C$18))*12+MONTH($A16)-MONTH(Premissas!$C$18)</f>
        <v>15</v>
      </c>
      <c r="D16" s="16" t="n">
        <f aca="false">($A16=Premissas!$C$19)*Premissas!$C$8+(($A16=EDATE(Premissas!$C$19,1))+($A16=EDATE(Premissas!$C$19,2)))*Premissas!$C$9+AND($A16&gt;=Premissas!$C$20,$A16&lt;EDATE(Premissas!$C$20,Premissas!$C$21))*Premissas!$C$10+(($A16=Premissas!$C$22)+($A16=Premissas!$C$23)+($A16=Premissas!$C$24))*Premissas!$C$11+($A16=Premissas!$C$25)*Premissas!$C$12</f>
        <v>10610</v>
      </c>
      <c r="E16" s="36" t="n">
        <f aca="false">(1+Premissas!$C$57)^C16</f>
        <v>1.06921630903551</v>
      </c>
      <c r="F16" s="16" t="n">
        <f aca="false">D16*E16</f>
        <v>11344.3850388668</v>
      </c>
      <c r="G16" s="16" t="n">
        <f aca="false">($A16=Premissas!$C$25)*Premissas!$C$34*Premissas!$C$14*(1+Premissas!$C$57)^C16</f>
        <v>0</v>
      </c>
      <c r="H16" s="16" t="n">
        <f aca="false">IF(AND($A16&gt;Premissas!$C$25,$A16&lt;Premissas!$C$27),Premissas!$C$35/MAX(1,Premissas!$C$26),0)</f>
        <v>0</v>
      </c>
      <c r="I16" s="35" t="n">
        <f aca="false">IF(AND($A16&gt;Premissas!$C$25,((YEAR($A16)-YEAR(Premissas!$C$25))*12+MONTH($A16)-MONTH(Premissas!$C$25))&lt;=Premissas!$C$32),((YEAR($A16)-YEAR(Premissas!$C$25))*12+MONTH($A16)-MONTH(Premissas!$C$25)),0)</f>
        <v>0</v>
      </c>
      <c r="J16" s="16" t="n">
        <f aca="false">IF(I16&gt;0,N15*(1+Premissas!$C$59),0)</f>
        <v>0</v>
      </c>
      <c r="K16" s="16" t="n">
        <f aca="false">J16*Premissas!$C$58</f>
        <v>0</v>
      </c>
      <c r="L16" s="16" t="n">
        <f aca="false">IF(I16&gt;0,J16/(Premissas!$C$32-I16+1),0)</f>
        <v>0</v>
      </c>
      <c r="M16" s="16" t="n">
        <f aca="false">K16+L16</f>
        <v>0</v>
      </c>
      <c r="N16" s="16" t="n">
        <f aca="false">IF($A16=Premissas!$C$25,Premissas!$C$13*E16,IF(I16&gt;0,J16-L16,0))</f>
        <v>0</v>
      </c>
      <c r="O16" s="37" t="n">
        <f aca="false">IF($A16&gt;=Premissas!$C$27,Premissas!$C$39*IF(((YEAR($A16)-YEAR(Premissas!$C$27))*12+MONTH($A16)-MONTH(Premissas!$C$27))&lt;Premissas!$C$41,Premissas!$C$42,1),0)</f>
        <v>0</v>
      </c>
      <c r="P16" s="16" t="n">
        <f aca="false">O16*Premissas!$C$38*Premissas!$C$40*(1+Premissas!$C$60)^((YEAR($A16)-YEAR(Premissas!$C$19))*12+MONTH($A16)-MONTH(Premissas!$C$19))</f>
        <v>0</v>
      </c>
      <c r="Q16" s="16" t="n">
        <f aca="false">P16*Premissas!$C$43</f>
        <v>0</v>
      </c>
      <c r="R16" s="16" t="n">
        <f aca="false">P16*Premissas!$C$44</f>
        <v>0</v>
      </c>
      <c r="S16" s="16" t="n">
        <f aca="false">IF($A16&gt;=Premissas!$C$25,Premissas!$C$45*(1+Premissas!$C$60)^((YEAR($A16)-YEAR(Premissas!$C$19))*12+MONTH($A16)-MONTH(Premissas!$C$19)),0)</f>
        <v>0</v>
      </c>
      <c r="T16" s="16" t="n">
        <f aca="false">IF($A16&gt;=Premissas!$C$27,Premissas!$C$46*(1+Premissas!$C$60)^((YEAR($A16)-YEAR(Premissas!$C$19))*12+MONTH($A16)-MONTH(Premissas!$C$19)),0)</f>
        <v>0</v>
      </c>
      <c r="U16" s="16" t="n">
        <f aca="false">IF($A16&gt;=Premissas!$C$27,Premissas!$C$47*(1+Premissas!$C$60)^((YEAR($A16)-YEAR(Premissas!$C$19))*12+MONTH($A16)-MONTH(Premissas!$C$19)),0)</f>
        <v>0</v>
      </c>
      <c r="V16" s="16" t="n">
        <f aca="false">IF($A16&gt;=Premissas!$C$27,MAX(0,P16-Q16-R16-S16)*Premissas!$C$49,0)</f>
        <v>0</v>
      </c>
      <c r="W16" s="16" t="n">
        <f aca="false">P16-Q16-R16-S16-T16-U16-V16</f>
        <v>0</v>
      </c>
      <c r="X16" s="16" t="n">
        <f aca="false">W16-F16-G16-H16-M16</f>
        <v>-11344.3850388668</v>
      </c>
      <c r="Y16" s="16" t="n">
        <f aca="false">Y15+X16</f>
        <v>-95959.7849952345</v>
      </c>
      <c r="Z16" s="16" t="n">
        <f aca="false">Premissas!$C$14*(1+Premissas!$C$57)^((YEAR(Premissas!$C$19)-YEAR(Premissas!$C$18))*12+MONTH(Premissas!$C$19)-MONTH(Premissas!$C$18))*(1+Premissas!$C$61)^((YEAR($A16)-YEAR(Premissas!$C$19))*12+MONTH($A16)-MONTH(Premissas!$C$19))</f>
        <v>500092.54207726</v>
      </c>
      <c r="AA16" s="16" t="str">
        <f aca="false">IF($A16&gt;=Premissas!$C$25,Z16*(1-Premissas!$C$53)-N16-Premissas!$C$54*MAX(0,Z16*(1-Premissas!$C$53)-(Premissas!$C$14*(1+Premissas!$C$57)^((YEAR(Premissas!$C$25)-YEAR(Premissas!$C$18))*12+MONTH(Premissas!$C$25)-MONTH(Premissas!$C$18))*(1+Premissas!$C$34))),"")</f>
        <v/>
      </c>
      <c r="AB16" s="16" t="str">
        <f aca="false">IF($A16&gt;=Premissas!$C$25,Y16+AA16,"")</f>
        <v/>
      </c>
      <c r="AC16" s="20" t="str">
        <f aca="false">IF(AND($A16&gt;=Premissas!$C$27,W16&gt;=M16),$A16,"")</f>
        <v/>
      </c>
      <c r="AD16" s="20" t="str">
        <f aca="false">IF(AND($A16&gt;=Premissas!$C$27,Y16&gt;=0),$A16,"")</f>
        <v/>
      </c>
      <c r="AE16" s="20" t="str">
        <f aca="false">IF(AND($A16&gt;=Premissas!$C$25,N(AB16)&gt;=0),$A16,"")</f>
        <v/>
      </c>
    </row>
    <row r="17" customFormat="false" ht="15" hidden="false" customHeight="false" outlineLevel="0" collapsed="false">
      <c r="A17" s="29" t="n">
        <f aca="false">DATE(YEAR(A16),MONTH(A16)+1,1)</f>
        <v>46753</v>
      </c>
      <c r="B17" s="30" t="str">
        <f aca="false">IF($A17&lt;Premissas!$C$25,"Obra",IF($A17=Premissas!$C$25,"Chaves",IF($A17&lt;Premissas!$C$27,"Mobiliando","Airbnb")))</f>
        <v>Obra</v>
      </c>
      <c r="C17" s="31" t="n">
        <f aca="false">(YEAR($A17)-YEAR(Premissas!$C$18))*12+MONTH($A17)-MONTH(Premissas!$C$18)</f>
        <v>16</v>
      </c>
      <c r="D17" s="32" t="n">
        <f aca="false">($A17=Premissas!$C$19)*Premissas!$C$8+(($A17=EDATE(Premissas!$C$19,1))+($A17=EDATE(Premissas!$C$19,2)))*Premissas!$C$9+AND($A17&gt;=Premissas!$C$20,$A17&lt;EDATE(Premissas!$C$20,Premissas!$C$21))*Premissas!$C$10+(($A17=Premissas!$C$22)+($A17=Premissas!$C$23)+($A17=Premissas!$C$24))*Premissas!$C$11+($A17=Premissas!$C$25)*Premissas!$C$12</f>
        <v>1530</v>
      </c>
      <c r="E17" s="33" t="n">
        <f aca="false">(1+Premissas!$C$57)^C17</f>
        <v>1.07399752244671</v>
      </c>
      <c r="F17" s="32" t="n">
        <f aca="false">D17*E17</f>
        <v>1643.21620934347</v>
      </c>
      <c r="G17" s="32" t="n">
        <f aca="false">($A17=Premissas!$C$25)*Premissas!$C$34*Premissas!$C$14*(1+Premissas!$C$57)^C17</f>
        <v>0</v>
      </c>
      <c r="H17" s="32" t="n">
        <f aca="false">IF(AND($A17&gt;Premissas!$C$25,$A17&lt;Premissas!$C$27),Premissas!$C$35/MAX(1,Premissas!$C$26),0)</f>
        <v>0</v>
      </c>
      <c r="I17" s="31" t="n">
        <f aca="false">IF(AND($A17&gt;Premissas!$C$25,((YEAR($A17)-YEAR(Premissas!$C$25))*12+MONTH($A17)-MONTH(Premissas!$C$25))&lt;=Premissas!$C$32),((YEAR($A17)-YEAR(Premissas!$C$25))*12+MONTH($A17)-MONTH(Premissas!$C$25)),0)</f>
        <v>0</v>
      </c>
      <c r="J17" s="32" t="n">
        <f aca="false">IF(I17&gt;0,N16*(1+Premissas!$C$59),0)</f>
        <v>0</v>
      </c>
      <c r="K17" s="32" t="n">
        <f aca="false">J17*Premissas!$C$58</f>
        <v>0</v>
      </c>
      <c r="L17" s="32" t="n">
        <f aca="false">IF(I17&gt;0,J17/(Premissas!$C$32-I17+1),0)</f>
        <v>0</v>
      </c>
      <c r="M17" s="32" t="n">
        <f aca="false">K17+L17</f>
        <v>0</v>
      </c>
      <c r="N17" s="32" t="n">
        <f aca="false">IF($A17=Premissas!$C$25,Premissas!$C$13*E17,IF(I17&gt;0,J17-L17,0))</f>
        <v>0</v>
      </c>
      <c r="O17" s="34" t="n">
        <f aca="false">IF($A17&gt;=Premissas!$C$27,Premissas!$C$39*IF(((YEAR($A17)-YEAR(Premissas!$C$27))*12+MONTH($A17)-MONTH(Premissas!$C$27))&lt;Premissas!$C$41,Premissas!$C$42,1),0)</f>
        <v>0</v>
      </c>
      <c r="P17" s="32" t="n">
        <f aca="false">O17*Premissas!$C$38*Premissas!$C$40*(1+Premissas!$C$60)^((YEAR($A17)-YEAR(Premissas!$C$19))*12+MONTH($A17)-MONTH(Premissas!$C$19))</f>
        <v>0</v>
      </c>
      <c r="Q17" s="32" t="n">
        <f aca="false">P17*Premissas!$C$43</f>
        <v>0</v>
      </c>
      <c r="R17" s="32" t="n">
        <f aca="false">P17*Premissas!$C$44</f>
        <v>0</v>
      </c>
      <c r="S17" s="32" t="n">
        <f aca="false">IF($A17&gt;=Premissas!$C$25,Premissas!$C$45*(1+Premissas!$C$60)^((YEAR($A17)-YEAR(Premissas!$C$19))*12+MONTH($A17)-MONTH(Premissas!$C$19)),0)</f>
        <v>0</v>
      </c>
      <c r="T17" s="32" t="n">
        <f aca="false">IF($A17&gt;=Premissas!$C$27,Premissas!$C$46*(1+Premissas!$C$60)^((YEAR($A17)-YEAR(Premissas!$C$19))*12+MONTH($A17)-MONTH(Premissas!$C$19)),0)</f>
        <v>0</v>
      </c>
      <c r="U17" s="32" t="n">
        <f aca="false">IF($A17&gt;=Premissas!$C$27,Premissas!$C$47*(1+Premissas!$C$60)^((YEAR($A17)-YEAR(Premissas!$C$19))*12+MONTH($A17)-MONTH(Premissas!$C$19)),0)</f>
        <v>0</v>
      </c>
      <c r="V17" s="32" t="n">
        <f aca="false">IF($A17&gt;=Premissas!$C$27,MAX(0,P17-Q17-R17-S17)*Premissas!$C$49,0)</f>
        <v>0</v>
      </c>
      <c r="W17" s="32" t="n">
        <f aca="false">P17-Q17-R17-S17-T17-U17-V17</f>
        <v>0</v>
      </c>
      <c r="X17" s="32" t="n">
        <f aca="false">W17-F17-G17-H17-M17</f>
        <v>-1643.21620934347</v>
      </c>
      <c r="Y17" s="32" t="n">
        <f aca="false">Y16+X17</f>
        <v>-97603.0012045779</v>
      </c>
      <c r="Z17" s="32" t="n">
        <f aca="false">Premissas!$C$14*(1+Premissas!$C$57)^((YEAR(Premissas!$C$19)-YEAR(Premissas!$C$18))*12+MONTH(Premissas!$C$19)-MONTH(Premissas!$C$18))*(1+Premissas!$C$61)^((YEAR($A17)-YEAR(Premissas!$C$19))*12+MONTH($A17)-MONTH(Premissas!$C$19))</f>
        <v>502129.980996962</v>
      </c>
      <c r="AA17" s="32" t="str">
        <f aca="false">IF($A17&gt;=Premissas!$C$25,Z17*(1-Premissas!$C$53)-N17-Premissas!$C$54*MAX(0,Z17*(1-Premissas!$C$53)-(Premissas!$C$14*(1+Premissas!$C$57)^((YEAR(Premissas!$C$25)-YEAR(Premissas!$C$18))*12+MONTH(Premissas!$C$25)-MONTH(Premissas!$C$18))*(1+Premissas!$C$34))),"")</f>
        <v/>
      </c>
      <c r="AB17" s="32" t="str">
        <f aca="false">IF($A17&gt;=Premissas!$C$25,Y17+AA17,"")</f>
        <v/>
      </c>
      <c r="AC17" s="29" t="str">
        <f aca="false">IF(AND($A17&gt;=Premissas!$C$27,W17&gt;=M17),$A17,"")</f>
        <v/>
      </c>
      <c r="AD17" s="29" t="str">
        <f aca="false">IF(AND($A17&gt;=Premissas!$C$27,Y17&gt;=0),$A17,"")</f>
        <v/>
      </c>
      <c r="AE17" s="29" t="str">
        <f aca="false">IF(AND($A17&gt;=Premissas!$C$25,N(AB17)&gt;=0),$A17,"")</f>
        <v/>
      </c>
    </row>
    <row r="18" customFormat="false" ht="15" hidden="false" customHeight="false" outlineLevel="0" collapsed="false">
      <c r="A18" s="20" t="n">
        <f aca="false">DATE(YEAR(A17),MONTH(A17)+1,1)</f>
        <v>46784</v>
      </c>
      <c r="B18" s="5" t="str">
        <f aca="false">IF($A18&lt;Premissas!$C$25,"Obra",IF($A18=Premissas!$C$25,"Chaves",IF($A18&lt;Premissas!$C$27,"Mobiliando","Airbnb")))</f>
        <v>Obra</v>
      </c>
      <c r="C18" s="35" t="n">
        <f aca="false">(YEAR($A18)-YEAR(Premissas!$C$18))*12+MONTH($A18)-MONTH(Premissas!$C$18)</f>
        <v>17</v>
      </c>
      <c r="D18" s="16" t="n">
        <f aca="false">($A18=Premissas!$C$19)*Premissas!$C$8+(($A18=EDATE(Premissas!$C$19,1))+($A18=EDATE(Premissas!$C$19,2)))*Premissas!$C$9+AND($A18&gt;=Premissas!$C$20,$A18&lt;EDATE(Premissas!$C$20,Premissas!$C$21))*Premissas!$C$10+(($A18=Premissas!$C$22)+($A18=Premissas!$C$23)+($A18=Premissas!$C$24))*Premissas!$C$11+($A18=Premissas!$C$25)*Premissas!$C$12</f>
        <v>1530</v>
      </c>
      <c r="E18" s="36" t="n">
        <f aca="false">(1+Premissas!$C$57)^C18</f>
        <v>1.07880011600474</v>
      </c>
      <c r="F18" s="16" t="n">
        <f aca="false">D18*E18</f>
        <v>1650.56417748725</v>
      </c>
      <c r="G18" s="16" t="n">
        <f aca="false">($A18=Premissas!$C$25)*Premissas!$C$34*Premissas!$C$14*(1+Premissas!$C$57)^C18</f>
        <v>0</v>
      </c>
      <c r="H18" s="16" t="n">
        <f aca="false">IF(AND($A18&gt;Premissas!$C$25,$A18&lt;Premissas!$C$27),Premissas!$C$35/MAX(1,Premissas!$C$26),0)</f>
        <v>0</v>
      </c>
      <c r="I18" s="35" t="n">
        <f aca="false">IF(AND($A18&gt;Premissas!$C$25,((YEAR($A18)-YEAR(Premissas!$C$25))*12+MONTH($A18)-MONTH(Premissas!$C$25))&lt;=Premissas!$C$32),((YEAR($A18)-YEAR(Premissas!$C$25))*12+MONTH($A18)-MONTH(Premissas!$C$25)),0)</f>
        <v>0</v>
      </c>
      <c r="J18" s="16" t="n">
        <f aca="false">IF(I18&gt;0,N17*(1+Premissas!$C$59),0)</f>
        <v>0</v>
      </c>
      <c r="K18" s="16" t="n">
        <f aca="false">J18*Premissas!$C$58</f>
        <v>0</v>
      </c>
      <c r="L18" s="16" t="n">
        <f aca="false">IF(I18&gt;0,J18/(Premissas!$C$32-I18+1),0)</f>
        <v>0</v>
      </c>
      <c r="M18" s="16" t="n">
        <f aca="false">K18+L18</f>
        <v>0</v>
      </c>
      <c r="N18" s="16" t="n">
        <f aca="false">IF($A18=Premissas!$C$25,Premissas!$C$13*E18,IF(I18&gt;0,J18-L18,0))</f>
        <v>0</v>
      </c>
      <c r="O18" s="37" t="n">
        <f aca="false">IF($A18&gt;=Premissas!$C$27,Premissas!$C$39*IF(((YEAR($A18)-YEAR(Premissas!$C$27))*12+MONTH($A18)-MONTH(Premissas!$C$27))&lt;Premissas!$C$41,Premissas!$C$42,1),0)</f>
        <v>0</v>
      </c>
      <c r="P18" s="16" t="n">
        <f aca="false">O18*Premissas!$C$38*Premissas!$C$40*(1+Premissas!$C$60)^((YEAR($A18)-YEAR(Premissas!$C$19))*12+MONTH($A18)-MONTH(Premissas!$C$19))</f>
        <v>0</v>
      </c>
      <c r="Q18" s="16" t="n">
        <f aca="false">P18*Premissas!$C$43</f>
        <v>0</v>
      </c>
      <c r="R18" s="16" t="n">
        <f aca="false">P18*Premissas!$C$44</f>
        <v>0</v>
      </c>
      <c r="S18" s="16" t="n">
        <f aca="false">IF($A18&gt;=Premissas!$C$25,Premissas!$C$45*(1+Premissas!$C$60)^((YEAR($A18)-YEAR(Premissas!$C$19))*12+MONTH($A18)-MONTH(Premissas!$C$19)),0)</f>
        <v>0</v>
      </c>
      <c r="T18" s="16" t="n">
        <f aca="false">IF($A18&gt;=Premissas!$C$27,Premissas!$C$46*(1+Premissas!$C$60)^((YEAR($A18)-YEAR(Premissas!$C$19))*12+MONTH($A18)-MONTH(Premissas!$C$19)),0)</f>
        <v>0</v>
      </c>
      <c r="U18" s="16" t="n">
        <f aca="false">IF($A18&gt;=Premissas!$C$27,Premissas!$C$47*(1+Premissas!$C$60)^((YEAR($A18)-YEAR(Premissas!$C$19))*12+MONTH($A18)-MONTH(Premissas!$C$19)),0)</f>
        <v>0</v>
      </c>
      <c r="V18" s="16" t="n">
        <f aca="false">IF($A18&gt;=Premissas!$C$27,MAX(0,P18-Q18-R18-S18)*Premissas!$C$49,0)</f>
        <v>0</v>
      </c>
      <c r="W18" s="16" t="n">
        <f aca="false">P18-Q18-R18-S18-T18-U18-V18</f>
        <v>0</v>
      </c>
      <c r="X18" s="16" t="n">
        <f aca="false">W18-F18-G18-H18-M18</f>
        <v>-1650.56417748725</v>
      </c>
      <c r="Y18" s="16" t="n">
        <f aca="false">Y17+X18</f>
        <v>-99253.5653820652</v>
      </c>
      <c r="Z18" s="16" t="n">
        <f aca="false">Premissas!$C$14*(1+Premissas!$C$57)^((YEAR(Premissas!$C$19)-YEAR(Premissas!$C$18))*12+MONTH(Premissas!$C$19)-MONTH(Premissas!$C$18))*(1+Premissas!$C$61)^((YEAR($A18)-YEAR(Premissas!$C$19))*12+MONTH($A18)-MONTH(Premissas!$C$19))</f>
        <v>504175.720695025</v>
      </c>
      <c r="AA18" s="16" t="str">
        <f aca="false">IF($A18&gt;=Premissas!$C$25,Z18*(1-Premissas!$C$53)-N18-Premissas!$C$54*MAX(0,Z18*(1-Premissas!$C$53)-(Premissas!$C$14*(1+Premissas!$C$57)^((YEAR(Premissas!$C$25)-YEAR(Premissas!$C$18))*12+MONTH(Premissas!$C$25)-MONTH(Premissas!$C$18))*(1+Premissas!$C$34))),"")</f>
        <v/>
      </c>
      <c r="AB18" s="16" t="str">
        <f aca="false">IF($A18&gt;=Premissas!$C$25,Y18+AA18,"")</f>
        <v/>
      </c>
      <c r="AC18" s="20" t="str">
        <f aca="false">IF(AND($A18&gt;=Premissas!$C$27,W18&gt;=M18),$A18,"")</f>
        <v/>
      </c>
      <c r="AD18" s="20" t="str">
        <f aca="false">IF(AND($A18&gt;=Premissas!$C$27,Y18&gt;=0),$A18,"")</f>
        <v/>
      </c>
      <c r="AE18" s="20" t="str">
        <f aca="false">IF(AND($A18&gt;=Premissas!$C$25,N(AB18)&gt;=0),$A18,"")</f>
        <v/>
      </c>
    </row>
    <row r="19" customFormat="false" ht="15" hidden="false" customHeight="false" outlineLevel="0" collapsed="false">
      <c r="A19" s="20" t="n">
        <f aca="false">DATE(YEAR(A18),MONTH(A18)+1,1)</f>
        <v>46813</v>
      </c>
      <c r="B19" s="5" t="str">
        <f aca="false">IF($A19&lt;Premissas!$C$25,"Obra",IF($A19=Premissas!$C$25,"Chaves",IF($A19&lt;Premissas!$C$27,"Mobiliando","Airbnb")))</f>
        <v>Obra</v>
      </c>
      <c r="C19" s="35" t="n">
        <f aca="false">(YEAR($A19)-YEAR(Premissas!$C$18))*12+MONTH($A19)-MONTH(Premissas!$C$18)</f>
        <v>18</v>
      </c>
      <c r="D19" s="16" t="n">
        <f aca="false">($A19=Premissas!$C$19)*Premissas!$C$8+(($A19=EDATE(Premissas!$C$19,1))+($A19=EDATE(Premissas!$C$19,2)))*Premissas!$C$9+AND($A19&gt;=Premissas!$C$20,$A19&lt;EDATE(Premissas!$C$20,Premissas!$C$21))*Premissas!$C$10+(($A19=Premissas!$C$22)+($A19=Premissas!$C$23)+($A19=Premissas!$C$24))*Premissas!$C$11+($A19=Premissas!$C$25)*Premissas!$C$12</f>
        <v>1530</v>
      </c>
      <c r="E19" s="36" t="n">
        <f aca="false">(1+Premissas!$C$57)^C19</f>
        <v>1.08362418531519</v>
      </c>
      <c r="F19" s="16" t="n">
        <f aca="false">D19*E19</f>
        <v>1657.94500353223</v>
      </c>
      <c r="G19" s="16" t="n">
        <f aca="false">($A19=Premissas!$C$25)*Premissas!$C$34*Premissas!$C$14*(1+Premissas!$C$57)^C19</f>
        <v>0</v>
      </c>
      <c r="H19" s="16" t="n">
        <f aca="false">IF(AND($A19&gt;Premissas!$C$25,$A19&lt;Premissas!$C$27),Premissas!$C$35/MAX(1,Premissas!$C$26),0)</f>
        <v>0</v>
      </c>
      <c r="I19" s="35" t="n">
        <f aca="false">IF(AND($A19&gt;Premissas!$C$25,((YEAR($A19)-YEAR(Premissas!$C$25))*12+MONTH($A19)-MONTH(Premissas!$C$25))&lt;=Premissas!$C$32),((YEAR($A19)-YEAR(Premissas!$C$25))*12+MONTH($A19)-MONTH(Premissas!$C$25)),0)</f>
        <v>0</v>
      </c>
      <c r="J19" s="16" t="n">
        <f aca="false">IF(I19&gt;0,N18*(1+Premissas!$C$59),0)</f>
        <v>0</v>
      </c>
      <c r="K19" s="16" t="n">
        <f aca="false">J19*Premissas!$C$58</f>
        <v>0</v>
      </c>
      <c r="L19" s="16" t="n">
        <f aca="false">IF(I19&gt;0,J19/(Premissas!$C$32-I19+1),0)</f>
        <v>0</v>
      </c>
      <c r="M19" s="16" t="n">
        <f aca="false">K19+L19</f>
        <v>0</v>
      </c>
      <c r="N19" s="16" t="n">
        <f aca="false">IF($A19=Premissas!$C$25,Premissas!$C$13*E19,IF(I19&gt;0,J19-L19,0))</f>
        <v>0</v>
      </c>
      <c r="O19" s="37" t="n">
        <f aca="false">IF($A19&gt;=Premissas!$C$27,Premissas!$C$39*IF(((YEAR($A19)-YEAR(Premissas!$C$27))*12+MONTH($A19)-MONTH(Premissas!$C$27))&lt;Premissas!$C$41,Premissas!$C$42,1),0)</f>
        <v>0</v>
      </c>
      <c r="P19" s="16" t="n">
        <f aca="false">O19*Premissas!$C$38*Premissas!$C$40*(1+Premissas!$C$60)^((YEAR($A19)-YEAR(Premissas!$C$19))*12+MONTH($A19)-MONTH(Premissas!$C$19))</f>
        <v>0</v>
      </c>
      <c r="Q19" s="16" t="n">
        <f aca="false">P19*Premissas!$C$43</f>
        <v>0</v>
      </c>
      <c r="R19" s="16" t="n">
        <f aca="false">P19*Premissas!$C$44</f>
        <v>0</v>
      </c>
      <c r="S19" s="16" t="n">
        <f aca="false">IF($A19&gt;=Premissas!$C$25,Premissas!$C$45*(1+Premissas!$C$60)^((YEAR($A19)-YEAR(Premissas!$C$19))*12+MONTH($A19)-MONTH(Premissas!$C$19)),0)</f>
        <v>0</v>
      </c>
      <c r="T19" s="16" t="n">
        <f aca="false">IF($A19&gt;=Premissas!$C$27,Premissas!$C$46*(1+Premissas!$C$60)^((YEAR($A19)-YEAR(Premissas!$C$19))*12+MONTH($A19)-MONTH(Premissas!$C$19)),0)</f>
        <v>0</v>
      </c>
      <c r="U19" s="16" t="n">
        <f aca="false">IF($A19&gt;=Premissas!$C$27,Premissas!$C$47*(1+Premissas!$C$60)^((YEAR($A19)-YEAR(Premissas!$C$19))*12+MONTH($A19)-MONTH(Premissas!$C$19)),0)</f>
        <v>0</v>
      </c>
      <c r="V19" s="16" t="n">
        <f aca="false">IF($A19&gt;=Premissas!$C$27,MAX(0,P19-Q19-R19-S19)*Premissas!$C$49,0)</f>
        <v>0</v>
      </c>
      <c r="W19" s="16" t="n">
        <f aca="false">P19-Q19-R19-S19-T19-U19-V19</f>
        <v>0</v>
      </c>
      <c r="X19" s="16" t="n">
        <f aca="false">W19-F19-G19-H19-M19</f>
        <v>-1657.94500353223</v>
      </c>
      <c r="Y19" s="16" t="n">
        <f aca="false">Y18+X19</f>
        <v>-100911.510385597</v>
      </c>
      <c r="Z19" s="16" t="n">
        <f aca="false">Premissas!$C$14*(1+Premissas!$C$57)^((YEAR(Premissas!$C$19)-YEAR(Premissas!$C$18))*12+MONTH(Premissas!$C$19)-MONTH(Premissas!$C$18))*(1+Premissas!$C$61)^((YEAR($A19)-YEAR(Premissas!$C$19))*12+MONTH($A19)-MONTH(Premissas!$C$19))</f>
        <v>506229.794989846</v>
      </c>
      <c r="AA19" s="16" t="str">
        <f aca="false">IF($A19&gt;=Premissas!$C$25,Z19*(1-Premissas!$C$53)-N19-Premissas!$C$54*MAX(0,Z19*(1-Premissas!$C$53)-(Premissas!$C$14*(1+Premissas!$C$57)^((YEAR(Premissas!$C$25)-YEAR(Premissas!$C$18))*12+MONTH(Premissas!$C$25)-MONTH(Premissas!$C$18))*(1+Premissas!$C$34))),"")</f>
        <v/>
      </c>
      <c r="AB19" s="16" t="str">
        <f aca="false">IF($A19&gt;=Premissas!$C$25,Y19+AA19,"")</f>
        <v/>
      </c>
      <c r="AC19" s="20" t="str">
        <f aca="false">IF(AND($A19&gt;=Premissas!$C$27,W19&gt;=M19),$A19,"")</f>
        <v/>
      </c>
      <c r="AD19" s="20" t="str">
        <f aca="false">IF(AND($A19&gt;=Premissas!$C$27,Y19&gt;=0),$A19,"")</f>
        <v/>
      </c>
      <c r="AE19" s="20" t="str">
        <f aca="false">IF(AND($A19&gt;=Premissas!$C$25,N(AB19)&gt;=0),$A19,"")</f>
        <v/>
      </c>
    </row>
    <row r="20" customFormat="false" ht="15" hidden="false" customHeight="false" outlineLevel="0" collapsed="false">
      <c r="A20" s="20" t="n">
        <f aca="false">DATE(YEAR(A19),MONTH(A19)+1,1)</f>
        <v>46844</v>
      </c>
      <c r="B20" s="5" t="str">
        <f aca="false">IF($A20&lt;Premissas!$C$25,"Obra",IF($A20=Premissas!$C$25,"Chaves",IF($A20&lt;Premissas!$C$27,"Mobiliando","Airbnb")))</f>
        <v>Obra</v>
      </c>
      <c r="C20" s="35" t="n">
        <f aca="false">(YEAR($A20)-YEAR(Premissas!$C$18))*12+MONTH($A20)-MONTH(Premissas!$C$18)</f>
        <v>19</v>
      </c>
      <c r="D20" s="16" t="n">
        <f aca="false">($A20=Premissas!$C$19)*Premissas!$C$8+(($A20=EDATE(Premissas!$C$19,1))+($A20=EDATE(Premissas!$C$19,2)))*Premissas!$C$9+AND($A20&gt;=Premissas!$C$20,$A20&lt;EDATE(Premissas!$C$20,Premissas!$C$21))*Premissas!$C$10+(($A20=Premissas!$C$22)+($A20=Premissas!$C$23)+($A20=Premissas!$C$24))*Premissas!$C$11+($A20=Premissas!$C$25)*Premissas!$C$12</f>
        <v>1530</v>
      </c>
      <c r="E20" s="36" t="n">
        <f aca="false">(1+Premissas!$C$57)^C20</f>
        <v>1.08846982641114</v>
      </c>
      <c r="F20" s="16" t="n">
        <f aca="false">D20*E20</f>
        <v>1665.35883440905</v>
      </c>
      <c r="G20" s="16" t="n">
        <f aca="false">($A20=Premissas!$C$25)*Premissas!$C$34*Premissas!$C$14*(1+Premissas!$C$57)^C20</f>
        <v>0</v>
      </c>
      <c r="H20" s="16" t="n">
        <f aca="false">IF(AND($A20&gt;Premissas!$C$25,$A20&lt;Premissas!$C$27),Premissas!$C$35/MAX(1,Premissas!$C$26),0)</f>
        <v>0</v>
      </c>
      <c r="I20" s="35" t="n">
        <f aca="false">IF(AND($A20&gt;Premissas!$C$25,((YEAR($A20)-YEAR(Premissas!$C$25))*12+MONTH($A20)-MONTH(Premissas!$C$25))&lt;=Premissas!$C$32),((YEAR($A20)-YEAR(Premissas!$C$25))*12+MONTH($A20)-MONTH(Premissas!$C$25)),0)</f>
        <v>0</v>
      </c>
      <c r="J20" s="16" t="n">
        <f aca="false">IF(I20&gt;0,N19*(1+Premissas!$C$59),0)</f>
        <v>0</v>
      </c>
      <c r="K20" s="16" t="n">
        <f aca="false">J20*Premissas!$C$58</f>
        <v>0</v>
      </c>
      <c r="L20" s="16" t="n">
        <f aca="false">IF(I20&gt;0,J20/(Premissas!$C$32-I20+1),0)</f>
        <v>0</v>
      </c>
      <c r="M20" s="16" t="n">
        <f aca="false">K20+L20</f>
        <v>0</v>
      </c>
      <c r="N20" s="16" t="n">
        <f aca="false">IF($A20=Premissas!$C$25,Premissas!$C$13*E20,IF(I20&gt;0,J20-L20,0))</f>
        <v>0</v>
      </c>
      <c r="O20" s="37" t="n">
        <f aca="false">IF($A20&gt;=Premissas!$C$27,Premissas!$C$39*IF(((YEAR($A20)-YEAR(Premissas!$C$27))*12+MONTH($A20)-MONTH(Premissas!$C$27))&lt;Premissas!$C$41,Premissas!$C$42,1),0)</f>
        <v>0</v>
      </c>
      <c r="P20" s="16" t="n">
        <f aca="false">O20*Premissas!$C$38*Premissas!$C$40*(1+Premissas!$C$60)^((YEAR($A20)-YEAR(Premissas!$C$19))*12+MONTH($A20)-MONTH(Premissas!$C$19))</f>
        <v>0</v>
      </c>
      <c r="Q20" s="16" t="n">
        <f aca="false">P20*Premissas!$C$43</f>
        <v>0</v>
      </c>
      <c r="R20" s="16" t="n">
        <f aca="false">P20*Premissas!$C$44</f>
        <v>0</v>
      </c>
      <c r="S20" s="16" t="n">
        <f aca="false">IF($A20&gt;=Premissas!$C$25,Premissas!$C$45*(1+Premissas!$C$60)^((YEAR($A20)-YEAR(Premissas!$C$19))*12+MONTH($A20)-MONTH(Premissas!$C$19)),0)</f>
        <v>0</v>
      </c>
      <c r="T20" s="16" t="n">
        <f aca="false">IF($A20&gt;=Premissas!$C$27,Premissas!$C$46*(1+Premissas!$C$60)^((YEAR($A20)-YEAR(Premissas!$C$19))*12+MONTH($A20)-MONTH(Premissas!$C$19)),0)</f>
        <v>0</v>
      </c>
      <c r="U20" s="16" t="n">
        <f aca="false">IF($A20&gt;=Premissas!$C$27,Premissas!$C$47*(1+Premissas!$C$60)^((YEAR($A20)-YEAR(Premissas!$C$19))*12+MONTH($A20)-MONTH(Premissas!$C$19)),0)</f>
        <v>0</v>
      </c>
      <c r="V20" s="16" t="n">
        <f aca="false">IF($A20&gt;=Premissas!$C$27,MAX(0,P20-Q20-R20-S20)*Premissas!$C$49,0)</f>
        <v>0</v>
      </c>
      <c r="W20" s="16" t="n">
        <f aca="false">P20-Q20-R20-S20-T20-U20-V20</f>
        <v>0</v>
      </c>
      <c r="X20" s="16" t="n">
        <f aca="false">W20-F20-G20-H20-M20</f>
        <v>-1665.35883440905</v>
      </c>
      <c r="Y20" s="16" t="n">
        <f aca="false">Y19+X20</f>
        <v>-102576.869220006</v>
      </c>
      <c r="Z20" s="16" t="n">
        <f aca="false">Premissas!$C$14*(1+Premissas!$C$57)^((YEAR(Premissas!$C$19)-YEAR(Premissas!$C$18))*12+MONTH(Premissas!$C$19)-MONTH(Premissas!$C$18))*(1+Premissas!$C$61)^((YEAR($A20)-YEAR(Premissas!$C$19))*12+MONTH($A20)-MONTH(Premissas!$C$19))</f>
        <v>508292.237837606</v>
      </c>
      <c r="AA20" s="16" t="str">
        <f aca="false">IF($A20&gt;=Premissas!$C$25,Z20*(1-Premissas!$C$53)-N20-Premissas!$C$54*MAX(0,Z20*(1-Premissas!$C$53)-(Premissas!$C$14*(1+Premissas!$C$57)^((YEAR(Premissas!$C$25)-YEAR(Premissas!$C$18))*12+MONTH(Premissas!$C$25)-MONTH(Premissas!$C$18))*(1+Premissas!$C$34))),"")</f>
        <v/>
      </c>
      <c r="AB20" s="16" t="str">
        <f aca="false">IF($A20&gt;=Premissas!$C$25,Y20+AA20,"")</f>
        <v/>
      </c>
      <c r="AC20" s="20" t="str">
        <f aca="false">IF(AND($A20&gt;=Premissas!$C$27,W20&gt;=M20),$A20,"")</f>
        <v/>
      </c>
      <c r="AD20" s="20" t="str">
        <f aca="false">IF(AND($A20&gt;=Premissas!$C$27,Y20&gt;=0),$A20,"")</f>
        <v/>
      </c>
      <c r="AE20" s="20" t="str">
        <f aca="false">IF(AND($A20&gt;=Premissas!$C$25,N(AB20)&gt;=0),$A20,"")</f>
        <v/>
      </c>
    </row>
    <row r="21" customFormat="false" ht="15" hidden="false" customHeight="false" outlineLevel="0" collapsed="false">
      <c r="A21" s="20" t="n">
        <f aca="false">DATE(YEAR(A20),MONTH(A20)+1,1)</f>
        <v>46874</v>
      </c>
      <c r="B21" s="5" t="str">
        <f aca="false">IF($A21&lt;Premissas!$C$25,"Obra",IF($A21=Premissas!$C$25,"Chaves",IF($A21&lt;Premissas!$C$27,"Mobiliando","Airbnb")))</f>
        <v>Obra</v>
      </c>
      <c r="C21" s="35" t="n">
        <f aca="false">(YEAR($A21)-YEAR(Premissas!$C$18))*12+MONTH($A21)-MONTH(Premissas!$C$18)</f>
        <v>20</v>
      </c>
      <c r="D21" s="16" t="n">
        <f aca="false">($A21=Premissas!$C$19)*Premissas!$C$8+(($A21=EDATE(Premissas!$C$19,1))+($A21=EDATE(Premissas!$C$19,2)))*Premissas!$C$9+AND($A21&gt;=Premissas!$C$20,$A21&lt;EDATE(Premissas!$C$20,Premissas!$C$21))*Premissas!$C$10+(($A21=Premissas!$C$22)+($A21=Premissas!$C$23)+($A21=Premissas!$C$24))*Premissas!$C$11+($A21=Premissas!$C$25)*Premissas!$C$12</f>
        <v>1530</v>
      </c>
      <c r="E21" s="36" t="n">
        <f aca="false">(1+Premissas!$C$57)^C21</f>
        <v>1.09333713575514</v>
      </c>
      <c r="F21" s="16" t="n">
        <f aca="false">D21*E21</f>
        <v>1672.80581770536</v>
      </c>
      <c r="G21" s="16" t="n">
        <f aca="false">($A21=Premissas!$C$25)*Premissas!$C$34*Premissas!$C$14*(1+Premissas!$C$57)^C21</f>
        <v>0</v>
      </c>
      <c r="H21" s="16" t="n">
        <f aca="false">IF(AND($A21&gt;Premissas!$C$25,$A21&lt;Premissas!$C$27),Premissas!$C$35/MAX(1,Premissas!$C$26),0)</f>
        <v>0</v>
      </c>
      <c r="I21" s="35" t="n">
        <f aca="false">IF(AND($A21&gt;Premissas!$C$25,((YEAR($A21)-YEAR(Premissas!$C$25))*12+MONTH($A21)-MONTH(Premissas!$C$25))&lt;=Premissas!$C$32),((YEAR($A21)-YEAR(Premissas!$C$25))*12+MONTH($A21)-MONTH(Premissas!$C$25)),0)</f>
        <v>0</v>
      </c>
      <c r="J21" s="16" t="n">
        <f aca="false">IF(I21&gt;0,N20*(1+Premissas!$C$59),0)</f>
        <v>0</v>
      </c>
      <c r="K21" s="16" t="n">
        <f aca="false">J21*Premissas!$C$58</f>
        <v>0</v>
      </c>
      <c r="L21" s="16" t="n">
        <f aca="false">IF(I21&gt;0,J21/(Premissas!$C$32-I21+1),0)</f>
        <v>0</v>
      </c>
      <c r="M21" s="16" t="n">
        <f aca="false">K21+L21</f>
        <v>0</v>
      </c>
      <c r="N21" s="16" t="n">
        <f aca="false">IF($A21=Premissas!$C$25,Premissas!$C$13*E21,IF(I21&gt;0,J21-L21,0))</f>
        <v>0</v>
      </c>
      <c r="O21" s="37" t="n">
        <f aca="false">IF($A21&gt;=Premissas!$C$27,Premissas!$C$39*IF(((YEAR($A21)-YEAR(Premissas!$C$27))*12+MONTH($A21)-MONTH(Premissas!$C$27))&lt;Premissas!$C$41,Premissas!$C$42,1),0)</f>
        <v>0</v>
      </c>
      <c r="P21" s="16" t="n">
        <f aca="false">O21*Premissas!$C$38*Premissas!$C$40*(1+Premissas!$C$60)^((YEAR($A21)-YEAR(Premissas!$C$19))*12+MONTH($A21)-MONTH(Premissas!$C$19))</f>
        <v>0</v>
      </c>
      <c r="Q21" s="16" t="n">
        <f aca="false">P21*Premissas!$C$43</f>
        <v>0</v>
      </c>
      <c r="R21" s="16" t="n">
        <f aca="false">P21*Premissas!$C$44</f>
        <v>0</v>
      </c>
      <c r="S21" s="16" t="n">
        <f aca="false">IF($A21&gt;=Premissas!$C$25,Premissas!$C$45*(1+Premissas!$C$60)^((YEAR($A21)-YEAR(Premissas!$C$19))*12+MONTH($A21)-MONTH(Premissas!$C$19)),0)</f>
        <v>0</v>
      </c>
      <c r="T21" s="16" t="n">
        <f aca="false">IF($A21&gt;=Premissas!$C$27,Premissas!$C$46*(1+Premissas!$C$60)^((YEAR($A21)-YEAR(Premissas!$C$19))*12+MONTH($A21)-MONTH(Premissas!$C$19)),0)</f>
        <v>0</v>
      </c>
      <c r="U21" s="16" t="n">
        <f aca="false">IF($A21&gt;=Premissas!$C$27,Premissas!$C$47*(1+Premissas!$C$60)^((YEAR($A21)-YEAR(Premissas!$C$19))*12+MONTH($A21)-MONTH(Premissas!$C$19)),0)</f>
        <v>0</v>
      </c>
      <c r="V21" s="16" t="n">
        <f aca="false">IF($A21&gt;=Premissas!$C$27,MAX(0,P21-Q21-R21-S21)*Premissas!$C$49,0)</f>
        <v>0</v>
      </c>
      <c r="W21" s="16" t="n">
        <f aca="false">P21-Q21-R21-S21-T21-U21-V21</f>
        <v>0</v>
      </c>
      <c r="X21" s="16" t="n">
        <f aca="false">W21-F21-G21-H21-M21</f>
        <v>-1672.80581770536</v>
      </c>
      <c r="Y21" s="16" t="n">
        <f aca="false">Y20+X21</f>
        <v>-104249.675037712</v>
      </c>
      <c r="Z21" s="16" t="n">
        <f aca="false">Premissas!$C$14*(1+Premissas!$C$57)^((YEAR(Premissas!$C$19)-YEAR(Premissas!$C$18))*12+MONTH(Premissas!$C$19)-MONTH(Premissas!$C$18))*(1+Premissas!$C$61)^((YEAR($A21)-YEAR(Premissas!$C$19))*12+MONTH($A21)-MONTH(Premissas!$C$19))</f>
        <v>510363.083332824</v>
      </c>
      <c r="AA21" s="16" t="str">
        <f aca="false">IF($A21&gt;=Premissas!$C$25,Z21*(1-Premissas!$C$53)-N21-Premissas!$C$54*MAX(0,Z21*(1-Premissas!$C$53)-(Premissas!$C$14*(1+Premissas!$C$57)^((YEAR(Premissas!$C$25)-YEAR(Premissas!$C$18))*12+MONTH(Premissas!$C$25)-MONTH(Premissas!$C$18))*(1+Premissas!$C$34))),"")</f>
        <v/>
      </c>
      <c r="AB21" s="16" t="str">
        <f aca="false">IF($A21&gt;=Premissas!$C$25,Y21+AA21,"")</f>
        <v/>
      </c>
      <c r="AC21" s="20" t="str">
        <f aca="false">IF(AND($A21&gt;=Premissas!$C$27,W21&gt;=M21),$A21,"")</f>
        <v/>
      </c>
      <c r="AD21" s="20" t="str">
        <f aca="false">IF(AND($A21&gt;=Premissas!$C$27,Y21&gt;=0),$A21,"")</f>
        <v/>
      </c>
      <c r="AE21" s="20" t="str">
        <f aca="false">IF(AND($A21&gt;=Premissas!$C$25,N(AB21)&gt;=0),$A21,"")</f>
        <v/>
      </c>
    </row>
    <row r="22" customFormat="false" ht="15" hidden="false" customHeight="false" outlineLevel="0" collapsed="false">
      <c r="A22" s="20" t="n">
        <f aca="false">DATE(YEAR(A21),MONTH(A21)+1,1)</f>
        <v>46905</v>
      </c>
      <c r="B22" s="5" t="str">
        <f aca="false">IF($A22&lt;Premissas!$C$25,"Obra",IF($A22=Premissas!$C$25,"Chaves",IF($A22&lt;Premissas!$C$27,"Mobiliando","Airbnb")))</f>
        <v>Obra</v>
      </c>
      <c r="C22" s="35" t="n">
        <f aca="false">(YEAR($A22)-YEAR(Premissas!$C$18))*12+MONTH($A22)-MONTH(Premissas!$C$18)</f>
        <v>21</v>
      </c>
      <c r="D22" s="16" t="n">
        <f aca="false">($A22=Premissas!$C$19)*Premissas!$C$8+(($A22=EDATE(Premissas!$C$19,1))+($A22=EDATE(Premissas!$C$19,2)))*Premissas!$C$9+AND($A22&gt;=Premissas!$C$20,$A22&lt;EDATE(Premissas!$C$20,Premissas!$C$21))*Premissas!$C$10+(($A22=Premissas!$C$22)+($A22=Premissas!$C$23)+($A22=Premissas!$C$24))*Premissas!$C$11+($A22=Premissas!$C$25)*Premissas!$C$12</f>
        <v>10610</v>
      </c>
      <c r="E22" s="36" t="n">
        <f aca="false">(1+Premissas!$C$57)^C22</f>
        <v>1.09822621024106</v>
      </c>
      <c r="F22" s="16" t="n">
        <f aca="false">D22*E22</f>
        <v>11652.1800906576</v>
      </c>
      <c r="G22" s="16" t="n">
        <f aca="false">($A22=Premissas!$C$25)*Premissas!$C$34*Premissas!$C$14*(1+Premissas!$C$57)^C22</f>
        <v>0</v>
      </c>
      <c r="H22" s="16" t="n">
        <f aca="false">IF(AND($A22&gt;Premissas!$C$25,$A22&lt;Premissas!$C$27),Premissas!$C$35/MAX(1,Premissas!$C$26),0)</f>
        <v>0</v>
      </c>
      <c r="I22" s="35" t="n">
        <f aca="false">IF(AND($A22&gt;Premissas!$C$25,((YEAR($A22)-YEAR(Premissas!$C$25))*12+MONTH($A22)-MONTH(Premissas!$C$25))&lt;=Premissas!$C$32),((YEAR($A22)-YEAR(Premissas!$C$25))*12+MONTH($A22)-MONTH(Premissas!$C$25)),0)</f>
        <v>0</v>
      </c>
      <c r="J22" s="16" t="n">
        <f aca="false">IF(I22&gt;0,N21*(1+Premissas!$C$59),0)</f>
        <v>0</v>
      </c>
      <c r="K22" s="16" t="n">
        <f aca="false">J22*Premissas!$C$58</f>
        <v>0</v>
      </c>
      <c r="L22" s="16" t="n">
        <f aca="false">IF(I22&gt;0,J22/(Premissas!$C$32-I22+1),0)</f>
        <v>0</v>
      </c>
      <c r="M22" s="16" t="n">
        <f aca="false">K22+L22</f>
        <v>0</v>
      </c>
      <c r="N22" s="16" t="n">
        <f aca="false">IF($A22=Premissas!$C$25,Premissas!$C$13*E22,IF(I22&gt;0,J22-L22,0))</f>
        <v>0</v>
      </c>
      <c r="O22" s="37" t="n">
        <f aca="false">IF($A22&gt;=Premissas!$C$27,Premissas!$C$39*IF(((YEAR($A22)-YEAR(Premissas!$C$27))*12+MONTH($A22)-MONTH(Premissas!$C$27))&lt;Premissas!$C$41,Premissas!$C$42,1),0)</f>
        <v>0</v>
      </c>
      <c r="P22" s="16" t="n">
        <f aca="false">O22*Premissas!$C$38*Premissas!$C$40*(1+Premissas!$C$60)^((YEAR($A22)-YEAR(Premissas!$C$19))*12+MONTH($A22)-MONTH(Premissas!$C$19))</f>
        <v>0</v>
      </c>
      <c r="Q22" s="16" t="n">
        <f aca="false">P22*Premissas!$C$43</f>
        <v>0</v>
      </c>
      <c r="R22" s="16" t="n">
        <f aca="false">P22*Premissas!$C$44</f>
        <v>0</v>
      </c>
      <c r="S22" s="16" t="n">
        <f aca="false">IF($A22&gt;=Premissas!$C$25,Premissas!$C$45*(1+Premissas!$C$60)^((YEAR($A22)-YEAR(Premissas!$C$19))*12+MONTH($A22)-MONTH(Premissas!$C$19)),0)</f>
        <v>0</v>
      </c>
      <c r="T22" s="16" t="n">
        <f aca="false">IF($A22&gt;=Premissas!$C$27,Premissas!$C$46*(1+Premissas!$C$60)^((YEAR($A22)-YEAR(Premissas!$C$19))*12+MONTH($A22)-MONTH(Premissas!$C$19)),0)</f>
        <v>0</v>
      </c>
      <c r="U22" s="16" t="n">
        <f aca="false">IF($A22&gt;=Premissas!$C$27,Premissas!$C$47*(1+Premissas!$C$60)^((YEAR($A22)-YEAR(Premissas!$C$19))*12+MONTH($A22)-MONTH(Premissas!$C$19)),0)</f>
        <v>0</v>
      </c>
      <c r="V22" s="16" t="n">
        <f aca="false">IF($A22&gt;=Premissas!$C$27,MAX(0,P22-Q22-R22-S22)*Premissas!$C$49,0)</f>
        <v>0</v>
      </c>
      <c r="W22" s="16" t="n">
        <f aca="false">P22-Q22-R22-S22-T22-U22-V22</f>
        <v>0</v>
      </c>
      <c r="X22" s="16" t="n">
        <f aca="false">W22-F22-G22-H22-M22</f>
        <v>-11652.1800906576</v>
      </c>
      <c r="Y22" s="16" t="n">
        <f aca="false">Y21+X22</f>
        <v>-115901.855128369</v>
      </c>
      <c r="Z22" s="16" t="n">
        <f aca="false">Premissas!$C$14*(1+Premissas!$C$57)^((YEAR(Premissas!$C$19)-YEAR(Premissas!$C$18))*12+MONTH(Premissas!$C$19)-MONTH(Premissas!$C$18))*(1+Premissas!$C$61)^((YEAR($A22)-YEAR(Premissas!$C$19))*12+MONTH($A22)-MONTH(Premissas!$C$19))</f>
        <v>512442.365708926</v>
      </c>
      <c r="AA22" s="16" t="str">
        <f aca="false">IF($A22&gt;=Premissas!$C$25,Z22*(1-Premissas!$C$53)-N22-Premissas!$C$54*MAX(0,Z22*(1-Premissas!$C$53)-(Premissas!$C$14*(1+Premissas!$C$57)^((YEAR(Premissas!$C$25)-YEAR(Premissas!$C$18))*12+MONTH(Premissas!$C$25)-MONTH(Premissas!$C$18))*(1+Premissas!$C$34))),"")</f>
        <v/>
      </c>
      <c r="AB22" s="16" t="str">
        <f aca="false">IF($A22&gt;=Premissas!$C$25,Y22+AA22,"")</f>
        <v/>
      </c>
      <c r="AC22" s="20" t="str">
        <f aca="false">IF(AND($A22&gt;=Premissas!$C$27,W22&gt;=M22),$A22,"")</f>
        <v/>
      </c>
      <c r="AD22" s="20" t="str">
        <f aca="false">IF(AND($A22&gt;=Premissas!$C$27,Y22&gt;=0),$A22,"")</f>
        <v/>
      </c>
      <c r="AE22" s="20" t="str">
        <f aca="false">IF(AND($A22&gt;=Premissas!$C$25,N(AB22)&gt;=0),$A22,"")</f>
        <v/>
      </c>
    </row>
    <row r="23" customFormat="false" ht="15" hidden="false" customHeight="false" outlineLevel="0" collapsed="false">
      <c r="A23" s="20" t="n">
        <f aca="false">DATE(YEAR(A22),MONTH(A22)+1,1)</f>
        <v>46935</v>
      </c>
      <c r="B23" s="5" t="str">
        <f aca="false">IF($A23&lt;Premissas!$C$25,"Obra",IF($A23=Premissas!$C$25,"Chaves",IF($A23&lt;Premissas!$C$27,"Mobiliando","Airbnb")))</f>
        <v>Obra</v>
      </c>
      <c r="C23" s="35" t="n">
        <f aca="false">(YEAR($A23)-YEAR(Premissas!$C$18))*12+MONTH($A23)-MONTH(Premissas!$C$18)</f>
        <v>22</v>
      </c>
      <c r="D23" s="16" t="n">
        <f aca="false">($A23=Premissas!$C$19)*Premissas!$C$8+(($A23=EDATE(Premissas!$C$19,1))+($A23=EDATE(Premissas!$C$19,2)))*Premissas!$C$9+AND($A23&gt;=Premissas!$C$20,$A23&lt;EDATE(Premissas!$C$20,Premissas!$C$21))*Premissas!$C$10+(($A23=Premissas!$C$22)+($A23=Premissas!$C$23)+($A23=Premissas!$C$24))*Premissas!$C$11+($A23=Premissas!$C$25)*Premissas!$C$12</f>
        <v>1530</v>
      </c>
      <c r="E23" s="36" t="n">
        <f aca="false">(1+Premissas!$C$57)^C23</f>
        <v>1.10313714719606</v>
      </c>
      <c r="F23" s="16" t="n">
        <f aca="false">D23*E23</f>
        <v>1687.79983520997</v>
      </c>
      <c r="G23" s="16" t="n">
        <f aca="false">($A23=Premissas!$C$25)*Premissas!$C$34*Premissas!$C$14*(1+Premissas!$C$57)^C23</f>
        <v>0</v>
      </c>
      <c r="H23" s="16" t="n">
        <f aca="false">IF(AND($A23&gt;Premissas!$C$25,$A23&lt;Premissas!$C$27),Premissas!$C$35/MAX(1,Premissas!$C$26),0)</f>
        <v>0</v>
      </c>
      <c r="I23" s="35" t="n">
        <f aca="false">IF(AND($A23&gt;Premissas!$C$25,((YEAR($A23)-YEAR(Premissas!$C$25))*12+MONTH($A23)-MONTH(Premissas!$C$25))&lt;=Premissas!$C$32),((YEAR($A23)-YEAR(Premissas!$C$25))*12+MONTH($A23)-MONTH(Premissas!$C$25)),0)</f>
        <v>0</v>
      </c>
      <c r="J23" s="16" t="n">
        <f aca="false">IF(I23&gt;0,N22*(1+Premissas!$C$59),0)</f>
        <v>0</v>
      </c>
      <c r="K23" s="16" t="n">
        <f aca="false">J23*Premissas!$C$58</f>
        <v>0</v>
      </c>
      <c r="L23" s="16" t="n">
        <f aca="false">IF(I23&gt;0,J23/(Premissas!$C$32-I23+1),0)</f>
        <v>0</v>
      </c>
      <c r="M23" s="16" t="n">
        <f aca="false">K23+L23</f>
        <v>0</v>
      </c>
      <c r="N23" s="16" t="n">
        <f aca="false">IF($A23=Premissas!$C$25,Premissas!$C$13*E23,IF(I23&gt;0,J23-L23,0))</f>
        <v>0</v>
      </c>
      <c r="O23" s="37" t="n">
        <f aca="false">IF($A23&gt;=Premissas!$C$27,Premissas!$C$39*IF(((YEAR($A23)-YEAR(Premissas!$C$27))*12+MONTH($A23)-MONTH(Premissas!$C$27))&lt;Premissas!$C$41,Premissas!$C$42,1),0)</f>
        <v>0</v>
      </c>
      <c r="P23" s="16" t="n">
        <f aca="false">O23*Premissas!$C$38*Premissas!$C$40*(1+Premissas!$C$60)^((YEAR($A23)-YEAR(Premissas!$C$19))*12+MONTH($A23)-MONTH(Premissas!$C$19))</f>
        <v>0</v>
      </c>
      <c r="Q23" s="16" t="n">
        <f aca="false">P23*Premissas!$C$43</f>
        <v>0</v>
      </c>
      <c r="R23" s="16" t="n">
        <f aca="false">P23*Premissas!$C$44</f>
        <v>0</v>
      </c>
      <c r="S23" s="16" t="n">
        <f aca="false">IF($A23&gt;=Premissas!$C$25,Premissas!$C$45*(1+Premissas!$C$60)^((YEAR($A23)-YEAR(Premissas!$C$19))*12+MONTH($A23)-MONTH(Premissas!$C$19)),0)</f>
        <v>0</v>
      </c>
      <c r="T23" s="16" t="n">
        <f aca="false">IF($A23&gt;=Premissas!$C$27,Premissas!$C$46*(1+Premissas!$C$60)^((YEAR($A23)-YEAR(Premissas!$C$19))*12+MONTH($A23)-MONTH(Premissas!$C$19)),0)</f>
        <v>0</v>
      </c>
      <c r="U23" s="16" t="n">
        <f aca="false">IF($A23&gt;=Premissas!$C$27,Premissas!$C$47*(1+Premissas!$C$60)^((YEAR($A23)-YEAR(Premissas!$C$19))*12+MONTH($A23)-MONTH(Premissas!$C$19)),0)</f>
        <v>0</v>
      </c>
      <c r="V23" s="16" t="n">
        <f aca="false">IF($A23&gt;=Premissas!$C$27,MAX(0,P23-Q23-R23-S23)*Premissas!$C$49,0)</f>
        <v>0</v>
      </c>
      <c r="W23" s="16" t="n">
        <f aca="false">P23-Q23-R23-S23-T23-U23-V23</f>
        <v>0</v>
      </c>
      <c r="X23" s="16" t="n">
        <f aca="false">W23-F23-G23-H23-M23</f>
        <v>-1687.79983520997</v>
      </c>
      <c r="Y23" s="16" t="n">
        <f aca="false">Y22+X23</f>
        <v>-117589.654963579</v>
      </c>
      <c r="Z23" s="16" t="n">
        <f aca="false">Premissas!$C$14*(1+Premissas!$C$57)^((YEAR(Premissas!$C$19)-YEAR(Premissas!$C$18))*12+MONTH(Premissas!$C$19)-MONTH(Premissas!$C$18))*(1+Premissas!$C$61)^((YEAR($A23)-YEAR(Premissas!$C$19))*12+MONTH($A23)-MONTH(Premissas!$C$19))</f>
        <v>514530.11933881</v>
      </c>
      <c r="AA23" s="16" t="str">
        <f aca="false">IF($A23&gt;=Premissas!$C$25,Z23*(1-Premissas!$C$53)-N23-Premissas!$C$54*MAX(0,Z23*(1-Premissas!$C$53)-(Premissas!$C$14*(1+Premissas!$C$57)^((YEAR(Premissas!$C$25)-YEAR(Premissas!$C$18))*12+MONTH(Premissas!$C$25)-MONTH(Premissas!$C$18))*(1+Premissas!$C$34))),"")</f>
        <v/>
      </c>
      <c r="AB23" s="16" t="str">
        <f aca="false">IF($A23&gt;=Premissas!$C$25,Y23+AA23,"")</f>
        <v/>
      </c>
      <c r="AC23" s="20" t="str">
        <f aca="false">IF(AND($A23&gt;=Premissas!$C$27,W23&gt;=M23),$A23,"")</f>
        <v/>
      </c>
      <c r="AD23" s="20" t="str">
        <f aca="false">IF(AND($A23&gt;=Premissas!$C$27,Y23&gt;=0),$A23,"")</f>
        <v/>
      </c>
      <c r="AE23" s="20" t="str">
        <f aca="false">IF(AND($A23&gt;=Premissas!$C$25,N(AB23)&gt;=0),$A23,"")</f>
        <v/>
      </c>
    </row>
    <row r="24" customFormat="false" ht="15" hidden="false" customHeight="false" outlineLevel="0" collapsed="false">
      <c r="A24" s="20" t="n">
        <f aca="false">DATE(YEAR(A23),MONTH(A23)+1,1)</f>
        <v>46966</v>
      </c>
      <c r="B24" s="5" t="str">
        <f aca="false">IF($A24&lt;Premissas!$C$25,"Obra",IF($A24=Premissas!$C$25,"Chaves",IF($A24&lt;Premissas!$C$27,"Mobiliando","Airbnb")))</f>
        <v>Chaves</v>
      </c>
      <c r="C24" s="35" t="n">
        <f aca="false">(YEAR($A24)-YEAR(Premissas!$C$18))*12+MONTH($A24)-MONTH(Premissas!$C$18)</f>
        <v>23</v>
      </c>
      <c r="D24" s="16" t="n">
        <f aca="false">($A24=Premissas!$C$19)*Premissas!$C$8+(($A24=EDATE(Premissas!$C$19,1))+($A24=EDATE(Premissas!$C$19,2)))*Premissas!$C$9+AND($A24&gt;=Premissas!$C$20,$A24&lt;EDATE(Premissas!$C$20,Premissas!$C$21))*Premissas!$C$10+(($A24=Premissas!$C$22)+($A24=Premissas!$C$23)+($A24=Premissas!$C$24))*Premissas!$C$11+($A24=Premissas!$C$25)*Premissas!$C$12</f>
        <v>23490</v>
      </c>
      <c r="E24" s="36" t="n">
        <f aca="false">(1+Premissas!$C$57)^C24</f>
        <v>1.10807004438253</v>
      </c>
      <c r="F24" s="16" t="n">
        <f aca="false">D24*E24</f>
        <v>26028.5653425456</v>
      </c>
      <c r="G24" s="16" t="n">
        <f aca="false">($A24=Premissas!$C$25)*Premissas!$C$34*Premissas!$C$14*(1+Premissas!$C$57)^C24</f>
        <v>20821.0793619654</v>
      </c>
      <c r="H24" s="16" t="n">
        <f aca="false">IF(AND($A24&gt;Premissas!$C$25,$A24&lt;Premissas!$C$27),Premissas!$C$35/MAX(1,Premissas!$C$26),0)</f>
        <v>0</v>
      </c>
      <c r="I24" s="35" t="n">
        <f aca="false">IF(AND($A24&gt;Premissas!$C$25,((YEAR($A24)-YEAR(Premissas!$C$25))*12+MONTH($A24)-MONTH(Premissas!$C$25))&lt;=Premissas!$C$32),((YEAR($A24)-YEAR(Premissas!$C$25))*12+MONTH($A24)-MONTH(Premissas!$C$25)),0)</f>
        <v>0</v>
      </c>
      <c r="J24" s="16" t="n">
        <f aca="false">IF(I24&gt;0,N23*(1+Premissas!$C$59),0)</f>
        <v>0</v>
      </c>
      <c r="K24" s="16" t="n">
        <f aca="false">J24*Premissas!$C$58</f>
        <v>0</v>
      </c>
      <c r="L24" s="16" t="n">
        <f aca="false">IF(I24&gt;0,J24/(Premissas!$C$32-I24+1),0)</f>
        <v>0</v>
      </c>
      <c r="M24" s="16" t="n">
        <f aca="false">K24+L24</f>
        <v>0</v>
      </c>
      <c r="N24" s="16" t="n">
        <f aca="false">IF($A24=Premissas!$C$25,Premissas!$C$13*E24,IF(I24&gt;0,J24-L24,0))</f>
        <v>369641.086105567</v>
      </c>
      <c r="O24" s="37" t="n">
        <f aca="false">IF($A24&gt;=Premissas!$C$27,Premissas!$C$39*IF(((YEAR($A24)-YEAR(Premissas!$C$27))*12+MONTH($A24)-MONTH(Premissas!$C$27))&lt;Premissas!$C$41,Premissas!$C$42,1),0)</f>
        <v>0</v>
      </c>
      <c r="P24" s="16" t="n">
        <f aca="false">O24*Premissas!$C$38*Premissas!$C$40*(1+Premissas!$C$60)^((YEAR($A24)-YEAR(Premissas!$C$19))*12+MONTH($A24)-MONTH(Premissas!$C$19))</f>
        <v>0</v>
      </c>
      <c r="Q24" s="16" t="n">
        <f aca="false">P24*Premissas!$C$43</f>
        <v>0</v>
      </c>
      <c r="R24" s="16" t="n">
        <f aca="false">P24*Premissas!$C$44</f>
        <v>0</v>
      </c>
      <c r="S24" s="16" t="n">
        <f aca="false">IF($A24&gt;=Premissas!$C$25,Premissas!$C$45*(1+Premissas!$C$60)^((YEAR($A24)-YEAR(Premissas!$C$19))*12+MONTH($A24)-MONTH(Premissas!$C$19)),0)</f>
        <v>798.051130753445</v>
      </c>
      <c r="T24" s="16" t="n">
        <f aca="false">IF($A24&gt;=Premissas!$C$27,Premissas!$C$46*(1+Premissas!$C$60)^((YEAR($A24)-YEAR(Premissas!$C$19))*12+MONTH($A24)-MONTH(Premissas!$C$19)),0)</f>
        <v>0</v>
      </c>
      <c r="U24" s="16" t="n">
        <f aca="false">IF($A24&gt;=Premissas!$C$27,Premissas!$C$47*(1+Premissas!$C$60)^((YEAR($A24)-YEAR(Premissas!$C$19))*12+MONTH($A24)-MONTH(Premissas!$C$19)),0)</f>
        <v>0</v>
      </c>
      <c r="V24" s="16" t="n">
        <f aca="false">IF($A24&gt;=Premissas!$C$27,MAX(0,P24-Q24-R24-S24)*Premissas!$C$49,0)</f>
        <v>0</v>
      </c>
      <c r="W24" s="16" t="n">
        <f aca="false">P24-Q24-R24-S24-T24-U24-V24</f>
        <v>-798.051130753445</v>
      </c>
      <c r="X24" s="16" t="n">
        <f aca="false">W24-F24-G24-H24-M24</f>
        <v>-47647.6958352644</v>
      </c>
      <c r="Y24" s="16" t="n">
        <f aca="false">Y23+X24</f>
        <v>-165237.350798844</v>
      </c>
      <c r="Z24" s="16" t="n">
        <f aca="false">Premissas!$C$14*(1+Premissas!$C$57)^((YEAR(Premissas!$C$19)-YEAR(Premissas!$C$18))*12+MONTH(Premissas!$C$19)-MONTH(Premissas!$C$18))*(1+Premissas!$C$61)^((YEAR($A24)-YEAR(Premissas!$C$19))*12+MONTH($A24)-MONTH(Premissas!$C$19))</f>
        <v>516626.378735412</v>
      </c>
      <c r="AA24" s="16" t="n">
        <f aca="false">IF($A24&gt;=Premissas!$C$25,Z24*(1-Premissas!$C$53)-N24-Premissas!$C$54*MAX(0,Z24*(1-Premissas!$C$53)-(Premissas!$C$14*(1+Premissas!$C$57)^((YEAR(Premissas!$C$25)-YEAR(Premissas!$C$18))*12+MONTH(Premissas!$C$25)-MONTH(Premissas!$C$18))*(1+Premissas!$C$34))),"")</f>
        <v>115987.70990572</v>
      </c>
      <c r="AB24" s="16" t="n">
        <f aca="false">IF($A24&gt;=Premissas!$C$25,Y24+AA24,"")</f>
        <v>-49249.640893124</v>
      </c>
      <c r="AC24" s="20" t="str">
        <f aca="false">IF(AND($A24&gt;=Premissas!$C$27,W24&gt;=M24),$A24,"")</f>
        <v/>
      </c>
      <c r="AD24" s="20" t="str">
        <f aca="false">IF(AND($A24&gt;=Premissas!$C$27,Y24&gt;=0),$A24,"")</f>
        <v/>
      </c>
      <c r="AE24" s="20" t="str">
        <f aca="false">IF(AND($A24&gt;=Premissas!$C$25,N(AB24)&gt;=0),$A24,"")</f>
        <v/>
      </c>
    </row>
    <row r="25" customFormat="false" ht="15" hidden="false" customHeight="false" outlineLevel="0" collapsed="false">
      <c r="A25" s="20" t="n">
        <f aca="false">DATE(YEAR(A24),MONTH(A24)+1,1)</f>
        <v>46997</v>
      </c>
      <c r="B25" s="5" t="str">
        <f aca="false">IF($A25&lt;Premissas!$C$25,"Obra",IF($A25=Premissas!$C$25,"Chaves",IF($A25&lt;Premissas!$C$27,"Mobiliando","Airbnb")))</f>
        <v>Mobiliando</v>
      </c>
      <c r="C25" s="35" t="n">
        <f aca="false">(YEAR($A25)-YEAR(Premissas!$C$18))*12+MONTH($A25)-MONTH(Premissas!$C$18)</f>
        <v>24</v>
      </c>
      <c r="D25" s="16" t="n">
        <f aca="false">($A25=Premissas!$C$19)*Premissas!$C$8+(($A25=EDATE(Premissas!$C$19,1))+($A25=EDATE(Premissas!$C$19,2)))*Premissas!$C$9+AND($A25&gt;=Premissas!$C$20,$A25&lt;EDATE(Premissas!$C$20,Premissas!$C$21))*Premissas!$C$10+(($A25=Premissas!$C$22)+($A25=Premissas!$C$23)+($A25=Premissas!$C$24))*Premissas!$C$11+($A25=Premissas!$C$25)*Premissas!$C$12</f>
        <v>0</v>
      </c>
      <c r="E25" s="36" t="n">
        <f aca="false">(1+Premissas!$C$57)^C25</f>
        <v>1.113025</v>
      </c>
      <c r="F25" s="16" t="n">
        <f aca="false">D25*E25</f>
        <v>0</v>
      </c>
      <c r="G25" s="16" t="n">
        <f aca="false">($A25=Premissas!$C$25)*Premissas!$C$34*Premissas!$C$14*(1+Premissas!$C$57)^C25</f>
        <v>0</v>
      </c>
      <c r="H25" s="16" t="n">
        <f aca="false">IF(AND($A25&gt;Premissas!$C$25,$A25&lt;Premissas!$C$27),Premissas!$C$35/MAX(1,Premissas!$C$26),0)</f>
        <v>15000</v>
      </c>
      <c r="I25" s="35" t="n">
        <f aca="false">IF(AND($A25&gt;Premissas!$C$25,((YEAR($A25)-YEAR(Premissas!$C$25))*12+MONTH($A25)-MONTH(Premissas!$C$25))&lt;=Premissas!$C$32),((YEAR($A25)-YEAR(Premissas!$C$25))*12+MONTH($A25)-MONTH(Premissas!$C$25)),0)</f>
        <v>1</v>
      </c>
      <c r="J25" s="16" t="n">
        <f aca="false">IF(I25&gt;0,N24*(1+Premissas!$C$59),0)</f>
        <v>370851.194834286</v>
      </c>
      <c r="K25" s="16" t="n">
        <f aca="false">J25*Premissas!$C$58</f>
        <v>3518.93019732526</v>
      </c>
      <c r="L25" s="16" t="n">
        <f aca="false">IF(I25&gt;0,J25/(Premissas!$C$32-I25+1),0)</f>
        <v>3090.42662361905</v>
      </c>
      <c r="M25" s="16" t="n">
        <f aca="false">K25+L25</f>
        <v>6609.35682094431</v>
      </c>
      <c r="N25" s="16" t="n">
        <f aca="false">IF($A25=Premissas!$C$25,Premissas!$C$13*E25,IF(I25&gt;0,J25-L25,0))</f>
        <v>367760.768210667</v>
      </c>
      <c r="O25" s="37" t="n">
        <f aca="false">IF($A25&gt;=Premissas!$C$27,Premissas!$C$39*IF(((YEAR($A25)-YEAR(Premissas!$C$27))*12+MONTH($A25)-MONTH(Premissas!$C$27))&lt;Premissas!$C$41,Premissas!$C$42,1),0)</f>
        <v>0</v>
      </c>
      <c r="P25" s="16" t="n">
        <f aca="false">O25*Premissas!$C$38*Premissas!$C$40*(1+Premissas!$C$60)^((YEAR($A25)-YEAR(Premissas!$C$19))*12+MONTH($A25)-MONTH(Premissas!$C$19))</f>
        <v>0</v>
      </c>
      <c r="Q25" s="16" t="n">
        <f aca="false">P25*Premissas!$C$43</f>
        <v>0</v>
      </c>
      <c r="R25" s="16" t="n">
        <f aca="false">P25*Premissas!$C$44</f>
        <v>0</v>
      </c>
      <c r="S25" s="16" t="n">
        <f aca="false">IF($A25&gt;=Premissas!$C$25,Premissas!$C$45*(1+Premissas!$C$60)^((YEAR($A25)-YEAR(Premissas!$C$19))*12+MONTH($A25)-MONTH(Premissas!$C$19)),0)</f>
        <v>800.663742488421</v>
      </c>
      <c r="T25" s="16" t="n">
        <f aca="false">IF($A25&gt;=Premissas!$C$27,Premissas!$C$46*(1+Premissas!$C$60)^((YEAR($A25)-YEAR(Premissas!$C$19))*12+MONTH($A25)-MONTH(Premissas!$C$19)),0)</f>
        <v>0</v>
      </c>
      <c r="U25" s="16" t="n">
        <f aca="false">IF($A25&gt;=Premissas!$C$27,Premissas!$C$47*(1+Premissas!$C$60)^((YEAR($A25)-YEAR(Premissas!$C$19))*12+MONTH($A25)-MONTH(Premissas!$C$19)),0)</f>
        <v>0</v>
      </c>
      <c r="V25" s="16" t="n">
        <f aca="false">IF($A25&gt;=Premissas!$C$27,MAX(0,P25-Q25-R25-S25)*Premissas!$C$49,0)</f>
        <v>0</v>
      </c>
      <c r="W25" s="16" t="n">
        <f aca="false">P25-Q25-R25-S25-T25-U25-V25</f>
        <v>-800.663742488421</v>
      </c>
      <c r="X25" s="16" t="n">
        <f aca="false">W25-F25-G25-H25-M25</f>
        <v>-22410.0205634327</v>
      </c>
      <c r="Y25" s="16" t="n">
        <f aca="false">Y24+X25</f>
        <v>-187647.371362277</v>
      </c>
      <c r="Z25" s="16" t="n">
        <f aca="false">Premissas!$C$14*(1+Premissas!$C$57)^((YEAR(Premissas!$C$19)-YEAR(Premissas!$C$18))*12+MONTH(Premissas!$C$19)-MONTH(Premissas!$C$18))*(1+Premissas!$C$61)^((YEAR($A25)-YEAR(Premissas!$C$19))*12+MONTH($A25)-MONTH(Premissas!$C$19))</f>
        <v>518731.178552278</v>
      </c>
      <c r="AA25" s="16" t="n">
        <f aca="false">IF($A25&gt;=Premissas!$C$25,Z25*(1-Premissas!$C$53)-N25-Premissas!$C$54*MAX(0,Z25*(1-Premissas!$C$53)-(Premissas!$C$14*(1+Premissas!$C$57)^((YEAR(Premissas!$C$25)-YEAR(Premissas!$C$18))*12+MONTH(Premissas!$C$25)-MONTH(Premissas!$C$18))*(1+Premissas!$C$34))),"")</f>
        <v>119846.539628474</v>
      </c>
      <c r="AB25" s="16" t="n">
        <f aca="false">IF($A25&gt;=Premissas!$C$25,Y25+AA25,"")</f>
        <v>-67800.8317338026</v>
      </c>
      <c r="AC25" s="20" t="str">
        <f aca="false">IF(AND($A25&gt;=Premissas!$C$27,W25&gt;=M25),$A25,"")</f>
        <v/>
      </c>
      <c r="AD25" s="20" t="str">
        <f aca="false">IF(AND($A25&gt;=Premissas!$C$27,Y25&gt;=0),$A25,"")</f>
        <v/>
      </c>
      <c r="AE25" s="20" t="str">
        <f aca="false">IF(AND($A25&gt;=Premissas!$C$25,N(AB25)&gt;=0),$A25,"")</f>
        <v/>
      </c>
    </row>
    <row r="26" customFormat="false" ht="15" hidden="false" customHeight="false" outlineLevel="0" collapsed="false">
      <c r="A26" s="20" t="n">
        <f aca="false">DATE(YEAR(A25),MONTH(A25)+1,1)</f>
        <v>47027</v>
      </c>
      <c r="B26" s="5" t="str">
        <f aca="false">IF($A26&lt;Premissas!$C$25,"Obra",IF($A26=Premissas!$C$25,"Chaves",IF($A26&lt;Premissas!$C$27,"Mobiliando","Airbnb")))</f>
        <v>Mobiliando</v>
      </c>
      <c r="C26" s="35" t="n">
        <f aca="false">(YEAR($A26)-YEAR(Premissas!$C$18))*12+MONTH($A26)-MONTH(Premissas!$C$18)</f>
        <v>25</v>
      </c>
      <c r="D26" s="16" t="n">
        <f aca="false">($A26=Premissas!$C$19)*Premissas!$C$8+(($A26=EDATE(Premissas!$C$19,1))+($A26=EDATE(Premissas!$C$19,2)))*Premissas!$C$9+AND($A26&gt;=Premissas!$C$20,$A26&lt;EDATE(Premissas!$C$20,Premissas!$C$21))*Premissas!$C$10+(($A26=Premissas!$C$22)+($A26=Premissas!$C$23)+($A26=Premissas!$C$24))*Premissas!$C$11+($A26=Premissas!$C$25)*Premissas!$C$12</f>
        <v>0</v>
      </c>
      <c r="E26" s="36" t="n">
        <f aca="false">(1+Premissas!$C$57)^C26</f>
        <v>1.11800211268714</v>
      </c>
      <c r="F26" s="16" t="n">
        <f aca="false">D26*E26</f>
        <v>0</v>
      </c>
      <c r="G26" s="16" t="n">
        <f aca="false">($A26=Premissas!$C$25)*Premissas!$C$34*Premissas!$C$14*(1+Premissas!$C$57)^C26</f>
        <v>0</v>
      </c>
      <c r="H26" s="16" t="n">
        <f aca="false">IF(AND($A26&gt;Premissas!$C$25,$A26&lt;Premissas!$C$27),Premissas!$C$35/MAX(1,Premissas!$C$26),0)</f>
        <v>15000</v>
      </c>
      <c r="I26" s="35" t="n">
        <f aca="false">IF(AND($A26&gt;Premissas!$C$25,((YEAR($A26)-YEAR(Premissas!$C$25))*12+MONTH($A26)-MONTH(Premissas!$C$25))&lt;=Premissas!$C$32),((YEAR($A26)-YEAR(Premissas!$C$25))*12+MONTH($A26)-MONTH(Premissas!$C$25)),0)</f>
        <v>2</v>
      </c>
      <c r="J26" s="16" t="n">
        <f aca="false">IF(I26&gt;0,N25*(1+Premissas!$C$59),0)</f>
        <v>368964.721267891</v>
      </c>
      <c r="K26" s="16" t="n">
        <f aca="false">J26*Premissas!$C$58</f>
        <v>3501.02984027716</v>
      </c>
      <c r="L26" s="16" t="n">
        <f aca="false">IF(I26&gt;0,J26/(Premissas!$C$32-I26+1),0)</f>
        <v>3100.54387620076</v>
      </c>
      <c r="M26" s="16" t="n">
        <f aca="false">K26+L26</f>
        <v>6601.57371647792</v>
      </c>
      <c r="N26" s="16" t="n">
        <f aca="false">IF($A26=Premissas!$C$25,Premissas!$C$13*E26,IF(I26&gt;0,J26-L26,0))</f>
        <v>365864.17739169</v>
      </c>
      <c r="O26" s="37" t="n">
        <f aca="false">IF($A26&gt;=Premissas!$C$27,Premissas!$C$39*IF(((YEAR($A26)-YEAR(Premissas!$C$27))*12+MONTH($A26)-MONTH(Premissas!$C$27))&lt;Premissas!$C$41,Premissas!$C$42,1),0)</f>
        <v>0</v>
      </c>
      <c r="P26" s="16" t="n">
        <f aca="false">O26*Premissas!$C$38*Premissas!$C$40*(1+Premissas!$C$60)^((YEAR($A26)-YEAR(Premissas!$C$19))*12+MONTH($A26)-MONTH(Premissas!$C$19))</f>
        <v>0</v>
      </c>
      <c r="Q26" s="16" t="n">
        <f aca="false">P26*Premissas!$C$43</f>
        <v>0</v>
      </c>
      <c r="R26" s="16" t="n">
        <f aca="false">P26*Premissas!$C$44</f>
        <v>0</v>
      </c>
      <c r="S26" s="16" t="n">
        <f aca="false">IF($A26&gt;=Premissas!$C$25,Premissas!$C$45*(1+Premissas!$C$60)^((YEAR($A26)-YEAR(Premissas!$C$19))*12+MONTH($A26)-MONTH(Premissas!$C$19)),0)</f>
        <v>803.28490723437</v>
      </c>
      <c r="T26" s="16" t="n">
        <f aca="false">IF($A26&gt;=Premissas!$C$27,Premissas!$C$46*(1+Premissas!$C$60)^((YEAR($A26)-YEAR(Premissas!$C$19))*12+MONTH($A26)-MONTH(Premissas!$C$19)),0)</f>
        <v>0</v>
      </c>
      <c r="U26" s="16" t="n">
        <f aca="false">IF($A26&gt;=Premissas!$C$27,Premissas!$C$47*(1+Premissas!$C$60)^((YEAR($A26)-YEAR(Premissas!$C$19))*12+MONTH($A26)-MONTH(Premissas!$C$19)),0)</f>
        <v>0</v>
      </c>
      <c r="V26" s="16" t="n">
        <f aca="false">IF($A26&gt;=Premissas!$C$27,MAX(0,P26-Q26-R26-S26)*Premissas!$C$49,0)</f>
        <v>0</v>
      </c>
      <c r="W26" s="16" t="n">
        <f aca="false">P26-Q26-R26-S26-T26-U26-V26</f>
        <v>-803.28490723437</v>
      </c>
      <c r="X26" s="16" t="n">
        <f aca="false">W26-F26-G26-H26-M26</f>
        <v>-22404.8586237123</v>
      </c>
      <c r="Y26" s="16" t="n">
        <f aca="false">Y25+X26</f>
        <v>-210052.229985989</v>
      </c>
      <c r="Z26" s="16" t="n">
        <f aca="false">Premissas!$C$14*(1+Premissas!$C$57)^((YEAR(Premissas!$C$19)-YEAR(Premissas!$C$18))*12+MONTH(Premissas!$C$19)-MONTH(Premissas!$C$18))*(1+Premissas!$C$61)^((YEAR($A26)-YEAR(Premissas!$C$19))*12+MONTH($A26)-MONTH(Premissas!$C$19))</f>
        <v>520844.553584138</v>
      </c>
      <c r="AA26" s="16" t="n">
        <f aca="false">IF($A26&gt;=Premissas!$C$25,Z26*(1-Premissas!$C$53)-N26-Premissas!$C$54*MAX(0,Z26*(1-Premissas!$C$53)-(Premissas!$C$14*(1+Premissas!$C$57)^((YEAR(Premissas!$C$25)-YEAR(Premissas!$C$18))*12+MONTH(Premissas!$C$25)-MONTH(Premissas!$C$18))*(1+Premissas!$C$34))),"")</f>
        <v>123729.7029774</v>
      </c>
      <c r="AB26" s="16" t="n">
        <f aca="false">IF($A26&gt;=Premissas!$C$25,Y26+AA26,"")</f>
        <v>-86322.5270085893</v>
      </c>
      <c r="AC26" s="20" t="str">
        <f aca="false">IF(AND($A26&gt;=Premissas!$C$27,W26&gt;=M26),$A26,"")</f>
        <v/>
      </c>
      <c r="AD26" s="20" t="str">
        <f aca="false">IF(AND($A26&gt;=Premissas!$C$27,Y26&gt;=0),$A26,"")</f>
        <v/>
      </c>
      <c r="AE26" s="20" t="str">
        <f aca="false">IF(AND($A26&gt;=Premissas!$C$25,N(AB26)&gt;=0),$A26,"")</f>
        <v/>
      </c>
    </row>
    <row r="27" customFormat="false" ht="15" hidden="false" customHeight="false" outlineLevel="0" collapsed="false">
      <c r="A27" s="20" t="n">
        <f aca="false">DATE(YEAR(A26),MONTH(A26)+1,1)</f>
        <v>47058</v>
      </c>
      <c r="B27" s="5" t="str">
        <f aca="false">IF($A27&lt;Premissas!$C$25,"Obra",IF($A27=Premissas!$C$25,"Chaves",IF($A27&lt;Premissas!$C$27,"Mobiliando","Airbnb")))</f>
        <v>Airbnb</v>
      </c>
      <c r="C27" s="35" t="n">
        <f aca="false">(YEAR($A27)-YEAR(Premissas!$C$18))*12+MONTH($A27)-MONTH(Premissas!$C$18)</f>
        <v>26</v>
      </c>
      <c r="D27" s="16" t="n">
        <f aca="false">($A27=Premissas!$C$19)*Premissas!$C$8+(($A27=EDATE(Premissas!$C$19,1))+($A27=EDATE(Premissas!$C$19,2)))*Premissas!$C$9+AND($A27&gt;=Premissas!$C$20,$A27&lt;EDATE(Premissas!$C$20,Premissas!$C$21))*Premissas!$C$10+(($A27=Premissas!$C$22)+($A27=Premissas!$C$23)+($A27=Premissas!$C$24))*Premissas!$C$11+($A27=Premissas!$C$25)*Premissas!$C$12</f>
        <v>0</v>
      </c>
      <c r="E27" s="36" t="n">
        <f aca="false">(1+Premissas!$C$57)^C27</f>
        <v>1.1230014815237</v>
      </c>
      <c r="F27" s="16" t="n">
        <f aca="false">D27*E27</f>
        <v>0</v>
      </c>
      <c r="G27" s="16" t="n">
        <f aca="false">($A27=Premissas!$C$25)*Premissas!$C$34*Premissas!$C$14*(1+Premissas!$C$57)^C27</f>
        <v>0</v>
      </c>
      <c r="H27" s="16" t="n">
        <f aca="false">IF(AND($A27&gt;Premissas!$C$25,$A27&lt;Premissas!$C$27),Premissas!$C$35/MAX(1,Premissas!$C$26),0)</f>
        <v>0</v>
      </c>
      <c r="I27" s="35" t="n">
        <f aca="false">IF(AND($A27&gt;Premissas!$C$25,((YEAR($A27)-YEAR(Premissas!$C$25))*12+MONTH($A27)-MONTH(Premissas!$C$25))&lt;=Premissas!$C$32),((YEAR($A27)-YEAR(Premissas!$C$25))*12+MONTH($A27)-MONTH(Premissas!$C$25)),0)</f>
        <v>3</v>
      </c>
      <c r="J27" s="16" t="n">
        <f aca="false">IF(I27&gt;0,N26*(1+Premissas!$C$59),0)</f>
        <v>367061.921504098</v>
      </c>
      <c r="K27" s="16" t="n">
        <f aca="false">J27*Premissas!$C$58</f>
        <v>3482.97456732257</v>
      </c>
      <c r="L27" s="16" t="n">
        <f aca="false">IF(I27&gt;0,J27/(Premissas!$C$32-I27+1),0)</f>
        <v>3110.69425003473</v>
      </c>
      <c r="M27" s="16" t="n">
        <f aca="false">K27+L27</f>
        <v>6593.6688173573</v>
      </c>
      <c r="N27" s="16" t="n">
        <f aca="false">IF($A27=Premissas!$C$25,Premissas!$C$13*E27,IF(I27&gt;0,J27-L27,0))</f>
        <v>363951.227254064</v>
      </c>
      <c r="O27" s="37" t="n">
        <f aca="false">IF($A27&gt;=Premissas!$C$27,Premissas!$C$39*IF(((YEAR($A27)-YEAR(Premissas!$C$27))*12+MONTH($A27)-MONTH(Premissas!$C$27))&lt;Premissas!$C$41,Premissas!$C$42,1),0)</f>
        <v>0.372</v>
      </c>
      <c r="P27" s="16" t="n">
        <f aca="false">O27*Premissas!$C$38*Premissas!$C$40*(1+Premissas!$C$60)^((YEAR($A27)-YEAR(Premissas!$C$19))*12+MONTH($A27)-MONTH(Premissas!$C$19))</f>
        <v>2758.16230839853</v>
      </c>
      <c r="Q27" s="16" t="n">
        <f aca="false">P27*Premissas!$C$43</f>
        <v>441.305969343765</v>
      </c>
      <c r="R27" s="16" t="n">
        <f aca="false">P27*Premissas!$C$44</f>
        <v>551.632461679706</v>
      </c>
      <c r="S27" s="16" t="n">
        <f aca="false">IF($A27&gt;=Premissas!$C$25,Premissas!$C$45*(1+Premissas!$C$60)^((YEAR($A27)-YEAR(Premissas!$C$19))*12+MONTH($A27)-MONTH(Premissas!$C$19)),0)</f>
        <v>805.914652991623</v>
      </c>
      <c r="T27" s="16" t="n">
        <f aca="false">IF($A27&gt;=Premissas!$C$27,Premissas!$C$46*(1+Premissas!$C$60)^((YEAR($A27)-YEAR(Premissas!$C$19))*12+MONTH($A27)-MONTH(Premissas!$C$19)),0)</f>
        <v>322.365861196649</v>
      </c>
      <c r="U27" s="16" t="n">
        <f aca="false">IF($A27&gt;=Premissas!$C$27,Premissas!$C$47*(1+Premissas!$C$60)^((YEAR($A27)-YEAR(Premissas!$C$19))*12+MONTH($A27)-MONTH(Premissas!$C$19)),0)</f>
        <v>161.182930598325</v>
      </c>
      <c r="V27" s="16" t="n">
        <f aca="false">IF($A27&gt;=Premissas!$C$27,MAX(0,P27-Q27-R27-S27)*Premissas!$C$49,0)</f>
        <v>263.810036705445</v>
      </c>
      <c r="W27" s="16" t="n">
        <f aca="false">P27-Q27-R27-S27-T27-U27-V27</f>
        <v>211.950395883018</v>
      </c>
      <c r="X27" s="16" t="n">
        <f aca="false">W27-F27-G27-H27-M27</f>
        <v>-6381.71842147428</v>
      </c>
      <c r="Y27" s="16" t="n">
        <f aca="false">Y26+X27</f>
        <v>-216433.948407463</v>
      </c>
      <c r="Z27" s="16" t="n">
        <f aca="false">Premissas!$C$14*(1+Premissas!$C$57)^((YEAR(Premissas!$C$19)-YEAR(Premissas!$C$18))*12+MONTH(Premissas!$C$19)-MONTH(Premissas!$C$18))*(1+Premissas!$C$61)^((YEAR($A27)-YEAR(Premissas!$C$19))*12+MONTH($A27)-MONTH(Premissas!$C$19))</f>
        <v>522966.538767479</v>
      </c>
      <c r="AA27" s="16" t="n">
        <f aca="false">IF($A27&gt;=Premissas!$C$25,Z27*(1-Premissas!$C$53)-N27-Premissas!$C$54*MAX(0,Z27*(1-Premissas!$C$53)-(Premissas!$C$14*(1+Premissas!$C$57)^((YEAR(Premissas!$C$25)-YEAR(Premissas!$C$18))*12+MONTH(Premissas!$C$25)-MONTH(Premissas!$C$18))*(1+Premissas!$C$34))),"")</f>
        <v>127637.319187366</v>
      </c>
      <c r="AB27" s="16" t="n">
        <f aca="false">IF($A27&gt;=Premissas!$C$25,Y27+AA27,"")</f>
        <v>-88796.629220097</v>
      </c>
      <c r="AC27" s="20" t="str">
        <f aca="false">IF(AND($A27&gt;=Premissas!$C$27,W27&gt;=M27),$A27,"")</f>
        <v/>
      </c>
      <c r="AD27" s="20" t="str">
        <f aca="false">IF(AND($A27&gt;=Premissas!$C$27,Y27&gt;=0),$A27,"")</f>
        <v/>
      </c>
      <c r="AE27" s="20" t="str">
        <f aca="false">IF(AND($A27&gt;=Premissas!$C$25,N(AB27)&gt;=0),$A27,"")</f>
        <v/>
      </c>
    </row>
    <row r="28" customFormat="false" ht="15" hidden="false" customHeight="false" outlineLevel="0" collapsed="false">
      <c r="A28" s="20" t="n">
        <f aca="false">DATE(YEAR(A27),MONTH(A27)+1,1)</f>
        <v>47088</v>
      </c>
      <c r="B28" s="5" t="str">
        <f aca="false">IF($A28&lt;Premissas!$C$25,"Obra",IF($A28=Premissas!$C$25,"Chaves",IF($A28&lt;Premissas!$C$27,"Mobiliando","Airbnb")))</f>
        <v>Airbnb</v>
      </c>
      <c r="C28" s="35" t="n">
        <f aca="false">(YEAR($A28)-YEAR(Premissas!$C$18))*12+MONTH($A28)-MONTH(Premissas!$C$18)</f>
        <v>27</v>
      </c>
      <c r="D28" s="16" t="n">
        <f aca="false">($A28=Premissas!$C$19)*Premissas!$C$8+(($A28=EDATE(Premissas!$C$19,1))+($A28=EDATE(Premissas!$C$19,2)))*Premissas!$C$9+AND($A28&gt;=Premissas!$C$20,$A28&lt;EDATE(Premissas!$C$20,Premissas!$C$21))*Premissas!$C$10+(($A28=Premissas!$C$22)+($A28=Premissas!$C$23)+($A28=Premissas!$C$24))*Premissas!$C$11+($A28=Premissas!$C$25)*Premissas!$C$12</f>
        <v>0</v>
      </c>
      <c r="E28" s="36" t="n">
        <f aca="false">(1+Premissas!$C$57)^C28</f>
        <v>1.12802320603246</v>
      </c>
      <c r="F28" s="16" t="n">
        <f aca="false">D28*E28</f>
        <v>0</v>
      </c>
      <c r="G28" s="16" t="n">
        <f aca="false">($A28=Premissas!$C$25)*Premissas!$C$34*Premissas!$C$14*(1+Premissas!$C$57)^C28</f>
        <v>0</v>
      </c>
      <c r="H28" s="16" t="n">
        <f aca="false">IF(AND($A28&gt;Premissas!$C$25,$A28&lt;Premissas!$C$27),Premissas!$C$35/MAX(1,Premissas!$C$26),0)</f>
        <v>0</v>
      </c>
      <c r="I28" s="35" t="n">
        <f aca="false">IF(AND($A28&gt;Premissas!$C$25,((YEAR($A28)-YEAR(Premissas!$C$25))*12+MONTH($A28)-MONTH(Premissas!$C$25))&lt;=Premissas!$C$32),((YEAR($A28)-YEAR(Premissas!$C$25))*12+MONTH($A28)-MONTH(Premissas!$C$25)),0)</f>
        <v>4</v>
      </c>
      <c r="J28" s="16" t="n">
        <f aca="false">IF(I28&gt;0,N27*(1+Premissas!$C$59),0)</f>
        <v>365142.708865505</v>
      </c>
      <c r="K28" s="16" t="n">
        <f aca="false">J28*Premissas!$C$58</f>
        <v>3464.76355599752</v>
      </c>
      <c r="L28" s="16" t="n">
        <f aca="false">IF(I28&gt;0,J28/(Premissas!$C$32-I28+1),0)</f>
        <v>3120.87785355133</v>
      </c>
      <c r="M28" s="16" t="n">
        <f aca="false">K28+L28</f>
        <v>6585.64140954885</v>
      </c>
      <c r="N28" s="16" t="n">
        <f aca="false">IF($A28=Premissas!$C$25,Premissas!$C$13*E28,IF(I28&gt;0,J28-L28,0))</f>
        <v>362021.831011954</v>
      </c>
      <c r="O28" s="37" t="n">
        <f aca="false">IF($A28&gt;=Premissas!$C$27,Premissas!$C$39*IF(((YEAR($A28)-YEAR(Premissas!$C$27))*12+MONTH($A28)-MONTH(Premissas!$C$27))&lt;Premissas!$C$41,Premissas!$C$42,1),0)</f>
        <v>0.372</v>
      </c>
      <c r="P28" s="16" t="n">
        <f aca="false">O28*Premissas!$C$38*Premissas!$C$40*(1+Premissas!$C$60)^((YEAR($A28)-YEAR(Premissas!$C$19))*12+MONTH($A28)-MONTH(Premissas!$C$19))</f>
        <v>2767.1918140733</v>
      </c>
      <c r="Q28" s="16" t="n">
        <f aca="false">P28*Premissas!$C$43</f>
        <v>442.750690251727</v>
      </c>
      <c r="R28" s="16" t="n">
        <f aca="false">P28*Premissas!$C$44</f>
        <v>553.438362814659</v>
      </c>
      <c r="S28" s="16" t="n">
        <f aca="false">IF($A28&gt;=Premissas!$C$25,Premissas!$C$45*(1+Premissas!$C$60)^((YEAR($A28)-YEAR(Premissas!$C$19))*12+MONTH($A28)-MONTH(Premissas!$C$19)),0)</f>
        <v>808.553007852179</v>
      </c>
      <c r="T28" s="16" t="n">
        <f aca="false">IF($A28&gt;=Premissas!$C$27,Premissas!$C$46*(1+Premissas!$C$60)^((YEAR($A28)-YEAR(Premissas!$C$19))*12+MONTH($A28)-MONTH(Premissas!$C$19)),0)</f>
        <v>323.421203140871</v>
      </c>
      <c r="U28" s="16" t="n">
        <f aca="false">IF($A28&gt;=Premissas!$C$27,Premissas!$C$47*(1+Premissas!$C$60)^((YEAR($A28)-YEAR(Premissas!$C$19))*12+MONTH($A28)-MONTH(Premissas!$C$19)),0)</f>
        <v>161.710601570436</v>
      </c>
      <c r="V28" s="16" t="n">
        <f aca="false">IF($A28&gt;=Premissas!$C$27,MAX(0,P28-Q28-R28-S28)*Premissas!$C$49,0)</f>
        <v>264.673682117551</v>
      </c>
      <c r="W28" s="16" t="n">
        <f aca="false">P28-Q28-R28-S28-T28-U28-V28</f>
        <v>212.644266325873</v>
      </c>
      <c r="X28" s="16" t="n">
        <f aca="false">W28-F28-G28-H28-M28</f>
        <v>-6372.99714322298</v>
      </c>
      <c r="Y28" s="16" t="n">
        <f aca="false">Y27+X28</f>
        <v>-222806.945550686</v>
      </c>
      <c r="Z28" s="16" t="n">
        <f aca="false">Premissas!$C$14*(1+Premissas!$C$57)^((YEAR(Premissas!$C$19)-YEAR(Premissas!$C$18))*12+MONTH(Premissas!$C$19)-MONTH(Premissas!$C$18))*(1+Premissas!$C$61)^((YEAR($A28)-YEAR(Premissas!$C$19))*12+MONTH($A28)-MONTH(Premissas!$C$19))</f>
        <v>525097.169181123</v>
      </c>
      <c r="AA28" s="16" t="n">
        <f aca="false">IF($A28&gt;=Premissas!$C$25,Z28*(1-Premissas!$C$53)-N28-Premissas!$C$54*MAX(0,Z28*(1-Premissas!$C$53)-(Premissas!$C$14*(1+Premissas!$C$57)^((YEAR(Premissas!$C$25)-YEAR(Premissas!$C$18))*12+MONTH(Premissas!$C$25)-MONTH(Premissas!$C$18))*(1+Premissas!$C$34))),"")</f>
        <v>131569.508018302</v>
      </c>
      <c r="AB28" s="16" t="n">
        <f aca="false">IF($A28&gt;=Premissas!$C$25,Y28+AA28,"")</f>
        <v>-91237.4375323843</v>
      </c>
      <c r="AC28" s="20" t="str">
        <f aca="false">IF(AND($A28&gt;=Premissas!$C$27,W28&gt;=M28),$A28,"")</f>
        <v/>
      </c>
      <c r="AD28" s="20" t="str">
        <f aca="false">IF(AND($A28&gt;=Premissas!$C$27,Y28&gt;=0),$A28,"")</f>
        <v/>
      </c>
      <c r="AE28" s="20" t="str">
        <f aca="false">IF(AND($A28&gt;=Premissas!$C$25,N(AB28)&gt;=0),$A28,"")</f>
        <v/>
      </c>
    </row>
    <row r="29" customFormat="false" ht="15" hidden="false" customHeight="false" outlineLevel="0" collapsed="false">
      <c r="A29" s="29" t="n">
        <f aca="false">DATE(YEAR(A28),MONTH(A28)+1,1)</f>
        <v>47119</v>
      </c>
      <c r="B29" s="30" t="str">
        <f aca="false">IF($A29&lt;Premissas!$C$25,"Obra",IF($A29=Premissas!$C$25,"Chaves",IF($A29&lt;Premissas!$C$27,"Mobiliando","Airbnb")))</f>
        <v>Airbnb</v>
      </c>
      <c r="C29" s="31" t="n">
        <f aca="false">(YEAR($A29)-YEAR(Premissas!$C$18))*12+MONTH($A29)-MONTH(Premissas!$C$18)</f>
        <v>28</v>
      </c>
      <c r="D29" s="32" t="n">
        <f aca="false">($A29=Premissas!$C$19)*Premissas!$C$8+(($A29=EDATE(Premissas!$C$19,1))+($A29=EDATE(Premissas!$C$19,2)))*Premissas!$C$9+AND($A29&gt;=Premissas!$C$20,$A29&lt;EDATE(Premissas!$C$20,Premissas!$C$21))*Premissas!$C$10+(($A29=Premissas!$C$22)+($A29=Premissas!$C$23)+($A29=Premissas!$C$24))*Premissas!$C$11+($A29=Premissas!$C$25)*Premissas!$C$12</f>
        <v>0</v>
      </c>
      <c r="E29" s="33" t="n">
        <f aca="false">(1+Premissas!$C$57)^C29</f>
        <v>1.13306738618128</v>
      </c>
      <c r="F29" s="32" t="n">
        <f aca="false">D29*E29</f>
        <v>0</v>
      </c>
      <c r="G29" s="32" t="n">
        <f aca="false">($A29=Premissas!$C$25)*Premissas!$C$34*Premissas!$C$14*(1+Premissas!$C$57)^C29</f>
        <v>0</v>
      </c>
      <c r="H29" s="32" t="n">
        <f aca="false">IF(AND($A29&gt;Premissas!$C$25,$A29&lt;Premissas!$C$27),Premissas!$C$35/MAX(1,Premissas!$C$26),0)</f>
        <v>0</v>
      </c>
      <c r="I29" s="31" t="n">
        <f aca="false">IF(AND($A29&gt;Premissas!$C$25,((YEAR($A29)-YEAR(Premissas!$C$25))*12+MONTH($A29)-MONTH(Premissas!$C$25))&lt;=Premissas!$C$32),((YEAR($A29)-YEAR(Premissas!$C$25))*12+MONTH($A29)-MONTH(Premissas!$C$25)),0)</f>
        <v>5</v>
      </c>
      <c r="J29" s="32" t="n">
        <f aca="false">IF(I29&gt;0,N28*(1+Premissas!$C$59),0)</f>
        <v>363206.996282162</v>
      </c>
      <c r="K29" s="32" t="n">
        <f aca="false">J29*Premissas!$C$58</f>
        <v>3446.39598011331</v>
      </c>
      <c r="L29" s="32" t="n">
        <f aca="false">IF(I29&gt;0,J29/(Premissas!$C$32-I29+1),0)</f>
        <v>3131.09479553588</v>
      </c>
      <c r="M29" s="32" t="n">
        <f aca="false">K29+L29</f>
        <v>6577.4907756492</v>
      </c>
      <c r="N29" s="32" t="n">
        <f aca="false">IF($A29=Premissas!$C$25,Premissas!$C$13*E29,IF(I29&gt;0,J29-L29,0))</f>
        <v>360075.901486627</v>
      </c>
      <c r="O29" s="34" t="n">
        <f aca="false">IF($A29&gt;=Premissas!$C$27,Premissas!$C$39*IF(((YEAR($A29)-YEAR(Premissas!$C$27))*12+MONTH($A29)-MONTH(Premissas!$C$27))&lt;Premissas!$C$41,Premissas!$C$42,1),0)</f>
        <v>0.372</v>
      </c>
      <c r="P29" s="32" t="n">
        <f aca="false">O29*Premissas!$C$38*Premissas!$C$40*(1+Premissas!$C$60)^((YEAR($A29)-YEAR(Premissas!$C$19))*12+MONTH($A29)-MONTH(Premissas!$C$19))</f>
        <v>2776.25088</v>
      </c>
      <c r="Q29" s="32" t="n">
        <f aca="false">P29*Premissas!$C$43</f>
        <v>444.200140800001</v>
      </c>
      <c r="R29" s="32" t="n">
        <f aca="false">P29*Premissas!$C$44</f>
        <v>555.250176000001</v>
      </c>
      <c r="S29" s="32" t="n">
        <f aca="false">IF($A29&gt;=Premissas!$C$25,Premissas!$C$45*(1+Premissas!$C$60)^((YEAR($A29)-YEAR(Premissas!$C$19))*12+MONTH($A29)-MONTH(Premissas!$C$19)),0)</f>
        <v>811.200000000001</v>
      </c>
      <c r="T29" s="32" t="n">
        <f aca="false">IF($A29&gt;=Premissas!$C$27,Premissas!$C$46*(1+Premissas!$C$60)^((YEAR($A29)-YEAR(Premissas!$C$19))*12+MONTH($A29)-MONTH(Premissas!$C$19)),0)</f>
        <v>324.48</v>
      </c>
      <c r="U29" s="32" t="n">
        <f aca="false">IF($A29&gt;=Premissas!$C$27,Premissas!$C$47*(1+Premissas!$C$60)^((YEAR($A29)-YEAR(Premissas!$C$19))*12+MONTH($A29)-MONTH(Premissas!$C$19)),0)</f>
        <v>162.24</v>
      </c>
      <c r="V29" s="32" t="n">
        <f aca="false">IF($A29&gt;=Premissas!$C$27,MAX(0,P29-Q29-R29-S29)*Premissas!$C$49,0)</f>
        <v>265.54015488</v>
      </c>
      <c r="W29" s="32" t="n">
        <f aca="false">P29-Q29-R29-S29-T29-U29-V29</f>
        <v>213.34040832</v>
      </c>
      <c r="X29" s="32" t="n">
        <f aca="false">W29-F29-G29-H29-M29</f>
        <v>-6364.1503673292</v>
      </c>
      <c r="Y29" s="32" t="n">
        <f aca="false">Y28+X29</f>
        <v>-229171.095918015</v>
      </c>
      <c r="Z29" s="32" t="n">
        <f aca="false">Premissas!$C$14*(1+Premissas!$C$57)^((YEAR(Premissas!$C$19)-YEAR(Premissas!$C$18))*12+MONTH(Premissas!$C$19)-MONTH(Premissas!$C$18))*(1+Premissas!$C$61)^((YEAR($A29)-YEAR(Premissas!$C$19))*12+MONTH($A29)-MONTH(Premissas!$C$19))</f>
        <v>527236.480046811</v>
      </c>
      <c r="AA29" s="32" t="n">
        <f aca="false">IF($A29&gt;=Premissas!$C$25,Z29*(1-Premissas!$C$53)-N29-Premissas!$C$54*MAX(0,Z29*(1-Premissas!$C$53)-(Premissas!$C$14*(1+Premissas!$C$57)^((YEAR(Premissas!$C$25)-YEAR(Premissas!$C$18))*12+MONTH(Premissas!$C$25)-MONTH(Premissas!$C$18))*(1+Premissas!$C$34))),"")</f>
        <v>135526.389757375</v>
      </c>
      <c r="AB29" s="32" t="n">
        <f aca="false">IF($A29&gt;=Premissas!$C$25,Y29+AA29,"")</f>
        <v>-93644.7061606398</v>
      </c>
      <c r="AC29" s="29" t="str">
        <f aca="false">IF(AND($A29&gt;=Premissas!$C$27,W29&gt;=M29),$A29,"")</f>
        <v/>
      </c>
      <c r="AD29" s="29" t="str">
        <f aca="false">IF(AND($A29&gt;=Premissas!$C$27,Y29&gt;=0),$A29,"")</f>
        <v/>
      </c>
      <c r="AE29" s="29" t="str">
        <f aca="false">IF(AND($A29&gt;=Premissas!$C$25,N(AB29)&gt;=0),$A29,"")</f>
        <v/>
      </c>
    </row>
    <row r="30" customFormat="false" ht="15" hidden="false" customHeight="false" outlineLevel="0" collapsed="false">
      <c r="A30" s="20" t="n">
        <f aca="false">DATE(YEAR(A29),MONTH(A29)+1,1)</f>
        <v>47150</v>
      </c>
      <c r="B30" s="5" t="str">
        <f aca="false">IF($A30&lt;Premissas!$C$25,"Obra",IF($A30=Premissas!$C$25,"Chaves",IF($A30&lt;Premissas!$C$27,"Mobiliando","Airbnb")))</f>
        <v>Airbnb</v>
      </c>
      <c r="C30" s="35" t="n">
        <f aca="false">(YEAR($A30)-YEAR(Premissas!$C$18))*12+MONTH($A30)-MONTH(Premissas!$C$18)</f>
        <v>29</v>
      </c>
      <c r="D30" s="16" t="n">
        <f aca="false">($A30=Premissas!$C$19)*Premissas!$C$8+(($A30=EDATE(Premissas!$C$19,1))+($A30=EDATE(Premissas!$C$19,2)))*Premissas!$C$9+AND($A30&gt;=Premissas!$C$20,$A30&lt;EDATE(Premissas!$C$20,Premissas!$C$21))*Premissas!$C$10+(($A30=Premissas!$C$22)+($A30=Premissas!$C$23)+($A30=Premissas!$C$24))*Premissas!$C$11+($A30=Premissas!$C$25)*Premissas!$C$12</f>
        <v>0</v>
      </c>
      <c r="E30" s="36" t="n">
        <f aca="false">(1+Premissas!$C$57)^C30</f>
        <v>1.138134122385</v>
      </c>
      <c r="F30" s="16" t="n">
        <f aca="false">D30*E30</f>
        <v>0</v>
      </c>
      <c r="G30" s="16" t="n">
        <f aca="false">($A30=Premissas!$C$25)*Premissas!$C$34*Premissas!$C$14*(1+Premissas!$C$57)^C30</f>
        <v>0</v>
      </c>
      <c r="H30" s="16" t="n">
        <f aca="false">IF(AND($A30&gt;Premissas!$C$25,$A30&lt;Premissas!$C$27),Premissas!$C$35/MAX(1,Premissas!$C$26),0)</f>
        <v>0</v>
      </c>
      <c r="I30" s="35" t="n">
        <f aca="false">IF(AND($A30&gt;Premissas!$C$25,((YEAR($A30)-YEAR(Premissas!$C$25))*12+MONTH($A30)-MONTH(Premissas!$C$25))&lt;=Premissas!$C$32),((YEAR($A30)-YEAR(Premissas!$C$25))*12+MONTH($A30)-MONTH(Premissas!$C$25)),0)</f>
        <v>6</v>
      </c>
      <c r="J30" s="16" t="n">
        <f aca="false">IF(I30&gt;0,N29*(1+Premissas!$C$59),0)</f>
        <v>361254.696289934</v>
      </c>
      <c r="K30" s="16" t="n">
        <f aca="false">J30*Premissas!$C$58</f>
        <v>3427.87100974087</v>
      </c>
      <c r="L30" s="16" t="n">
        <f aca="false">IF(I30&gt;0,J30/(Premissas!$C$32-I30+1),0)</f>
        <v>3141.34518512986</v>
      </c>
      <c r="M30" s="16" t="n">
        <f aca="false">K30+L30</f>
        <v>6569.21619487074</v>
      </c>
      <c r="N30" s="16" t="n">
        <f aca="false">IF($A30=Premissas!$C$25,Premissas!$C$13*E30,IF(I30&gt;0,J30-L30,0))</f>
        <v>358113.351104805</v>
      </c>
      <c r="O30" s="37" t="n">
        <f aca="false">IF($A30&gt;=Premissas!$C$27,Premissas!$C$39*IF(((YEAR($A30)-YEAR(Premissas!$C$27))*12+MONTH($A30)-MONTH(Premissas!$C$27))&lt;Premissas!$C$41,Premissas!$C$42,1),0)</f>
        <v>0.62</v>
      </c>
      <c r="P30" s="16" t="n">
        <f aca="false">O30*Premissas!$C$38*Premissas!$C$40*(1+Premissas!$C$60)^((YEAR($A30)-YEAR(Premissas!$C$19))*12+MONTH($A30)-MONTH(Premissas!$C$19))</f>
        <v>4642.23267158537</v>
      </c>
      <c r="Q30" s="16" t="n">
        <f aca="false">P30*Premissas!$C$43</f>
        <v>742.75722745366</v>
      </c>
      <c r="R30" s="16" t="n">
        <f aca="false">P30*Premissas!$C$44</f>
        <v>928.446534317075</v>
      </c>
      <c r="S30" s="16" t="n">
        <f aca="false">IF($A30&gt;=Premissas!$C$25,Premissas!$C$45*(1+Premissas!$C$60)^((YEAR($A30)-YEAR(Premissas!$C$19))*12+MONTH($A30)-MONTH(Premissas!$C$19)),0)</f>
        <v>813.855657711321</v>
      </c>
      <c r="T30" s="16" t="n">
        <f aca="false">IF($A30&gt;=Premissas!$C$27,Premissas!$C$46*(1+Premissas!$C$60)^((YEAR($A30)-YEAR(Premissas!$C$19))*12+MONTH($A30)-MONTH(Premissas!$C$19)),0)</f>
        <v>325.542263084528</v>
      </c>
      <c r="U30" s="16" t="n">
        <f aca="false">IF($A30&gt;=Premissas!$C$27,Premissas!$C$47*(1+Premissas!$C$60)^((YEAR($A30)-YEAR(Premissas!$C$19))*12+MONTH($A30)-MONTH(Premissas!$C$19)),0)</f>
        <v>162.771131542264</v>
      </c>
      <c r="V30" s="16" t="n">
        <f aca="false">IF($A30&gt;=Premissas!$C$27,MAX(0,P30-Q30-R30-S30)*Premissas!$C$49,0)</f>
        <v>593.222644328413</v>
      </c>
      <c r="W30" s="16" t="n">
        <f aca="false">P30-Q30-R30-S30-T30-U30-V30</f>
        <v>1075.63721314811</v>
      </c>
      <c r="X30" s="16" t="n">
        <f aca="false">W30-F30-G30-H30-M30</f>
        <v>-5493.57898172263</v>
      </c>
      <c r="Y30" s="16" t="n">
        <f aca="false">Y29+X30</f>
        <v>-234664.674899738</v>
      </c>
      <c r="Z30" s="16" t="n">
        <f aca="false">Premissas!$C$14*(1+Premissas!$C$57)^((YEAR(Premissas!$C$19)-YEAR(Premissas!$C$18))*12+MONTH(Premissas!$C$19)-MONTH(Premissas!$C$18))*(1+Premissas!$C$61)^((YEAR($A30)-YEAR(Premissas!$C$19))*12+MONTH($A30)-MONTH(Premissas!$C$19))</f>
        <v>529384.506729776</v>
      </c>
      <c r="AA30" s="16" t="n">
        <f aca="false">IF($A30&gt;=Premissas!$C$25,Z30*(1-Premissas!$C$53)-N30-Premissas!$C$54*MAX(0,Z30*(1-Premissas!$C$53)-(Premissas!$C$14*(1+Premissas!$C$57)^((YEAR(Premissas!$C$25)-YEAR(Premissas!$C$18))*12+MONTH(Premissas!$C$25)-MONTH(Premissas!$C$18))*(1+Premissas!$C$34))),"")</f>
        <v>139508.085221185</v>
      </c>
      <c r="AB30" s="16" t="n">
        <f aca="false">IF($A30&gt;=Premissas!$C$25,Y30+AA30,"")</f>
        <v>-95156.5896785528</v>
      </c>
      <c r="AC30" s="20" t="str">
        <f aca="false">IF(AND($A30&gt;=Premissas!$C$27,W30&gt;=M30),$A30,"")</f>
        <v/>
      </c>
      <c r="AD30" s="20" t="str">
        <f aca="false">IF(AND($A30&gt;=Premissas!$C$27,Y30&gt;=0),$A30,"")</f>
        <v/>
      </c>
      <c r="AE30" s="20" t="str">
        <f aca="false">IF(AND($A30&gt;=Premissas!$C$25,N(AB30)&gt;=0),$A30,"")</f>
        <v/>
      </c>
    </row>
    <row r="31" customFormat="false" ht="15" hidden="false" customHeight="false" outlineLevel="0" collapsed="false">
      <c r="A31" s="20" t="n">
        <f aca="false">DATE(YEAR(A30),MONTH(A30)+1,1)</f>
        <v>47178</v>
      </c>
      <c r="B31" s="5" t="str">
        <f aca="false">IF($A31&lt;Premissas!$C$25,"Obra",IF($A31=Premissas!$C$25,"Chaves",IF($A31&lt;Premissas!$C$27,"Mobiliando","Airbnb")))</f>
        <v>Airbnb</v>
      </c>
      <c r="C31" s="35" t="n">
        <f aca="false">(YEAR($A31)-YEAR(Premissas!$C$18))*12+MONTH($A31)-MONTH(Premissas!$C$18)</f>
        <v>30</v>
      </c>
      <c r="D31" s="16" t="n">
        <f aca="false">($A31=Premissas!$C$19)*Premissas!$C$8+(($A31=EDATE(Premissas!$C$19,1))+($A31=EDATE(Premissas!$C$19,2)))*Premissas!$C$9+AND($A31&gt;=Premissas!$C$20,$A31&lt;EDATE(Premissas!$C$20,Premissas!$C$21))*Premissas!$C$10+(($A31=Premissas!$C$22)+($A31=Premissas!$C$23)+($A31=Premissas!$C$24))*Premissas!$C$11+($A31=Premissas!$C$25)*Premissas!$C$12</f>
        <v>0</v>
      </c>
      <c r="E31" s="36" t="n">
        <f aca="false">(1+Premissas!$C$57)^C31</f>
        <v>1.14322351550752</v>
      </c>
      <c r="F31" s="16" t="n">
        <f aca="false">D31*E31</f>
        <v>0</v>
      </c>
      <c r="G31" s="16" t="n">
        <f aca="false">($A31=Premissas!$C$25)*Premissas!$C$34*Premissas!$C$14*(1+Premissas!$C$57)^C31</f>
        <v>0</v>
      </c>
      <c r="H31" s="16" t="n">
        <f aca="false">IF(AND($A31&gt;Premissas!$C$25,$A31&lt;Premissas!$C$27),Premissas!$C$35/MAX(1,Premissas!$C$26),0)</f>
        <v>0</v>
      </c>
      <c r="I31" s="35" t="n">
        <f aca="false">IF(AND($A31&gt;Premissas!$C$25,((YEAR($A31)-YEAR(Premissas!$C$25))*12+MONTH($A31)-MONTH(Premissas!$C$25))&lt;=Premissas!$C$32),((YEAR($A31)-YEAR(Premissas!$C$25))*12+MONTH($A31)-MONTH(Premissas!$C$25)),0)</f>
        <v>7</v>
      </c>
      <c r="J31" s="16" t="n">
        <f aca="false">IF(I31&gt;0,N30*(1+Premissas!$C$59),0)</f>
        <v>359285.721028853</v>
      </c>
      <c r="K31" s="16" t="n">
        <f aca="false">J31*Premissas!$C$58</f>
        <v>3409.18781119515</v>
      </c>
      <c r="L31" s="16" t="n">
        <f aca="false">IF(I31&gt;0,J31/(Premissas!$C$32-I31+1),0)</f>
        <v>3151.62913183204</v>
      </c>
      <c r="M31" s="16" t="n">
        <f aca="false">K31+L31</f>
        <v>6560.8169430272</v>
      </c>
      <c r="N31" s="16" t="n">
        <f aca="false">IF($A31=Premissas!$C$25,Premissas!$C$13*E31,IF(I31&gt;0,J31-L31,0))</f>
        <v>356134.091897021</v>
      </c>
      <c r="O31" s="37" t="n">
        <f aca="false">IF($A31&gt;=Premissas!$C$27,Premissas!$C$39*IF(((YEAR($A31)-YEAR(Premissas!$C$27))*12+MONTH($A31)-MONTH(Premissas!$C$27))&lt;Premissas!$C$41,Premissas!$C$42,1),0)</f>
        <v>0.62</v>
      </c>
      <c r="P31" s="16" t="n">
        <f aca="false">O31*Premissas!$C$38*Premissas!$C$40*(1+Premissas!$C$60)^((YEAR($A31)-YEAR(Premissas!$C$19))*12+MONTH($A31)-MONTH(Premissas!$C$19))</f>
        <v>4657.43013336057</v>
      </c>
      <c r="Q31" s="16" t="n">
        <f aca="false">P31*Premissas!$C$43</f>
        <v>745.188821337691</v>
      </c>
      <c r="R31" s="16" t="n">
        <f aca="false">P31*Premissas!$C$44</f>
        <v>931.486026672113</v>
      </c>
      <c r="S31" s="16" t="n">
        <f aca="false">IF($A31&gt;=Premissas!$C$25,Premissas!$C$45*(1+Premissas!$C$60)^((YEAR($A31)-YEAR(Premissas!$C$19))*12+MONTH($A31)-MONTH(Premissas!$C$19)),0)</f>
        <v>816.520009354938</v>
      </c>
      <c r="T31" s="16" t="n">
        <f aca="false">IF($A31&gt;=Premissas!$C$27,Premissas!$C$46*(1+Premissas!$C$60)^((YEAR($A31)-YEAR(Premissas!$C$19))*12+MONTH($A31)-MONTH(Premissas!$C$19)),0)</f>
        <v>326.608003741975</v>
      </c>
      <c r="U31" s="16" t="n">
        <f aca="false">IF($A31&gt;=Premissas!$C$27,Premissas!$C$47*(1+Premissas!$C$60)^((YEAR($A31)-YEAR(Premissas!$C$19))*12+MONTH($A31)-MONTH(Premissas!$C$19)),0)</f>
        <v>163.304001870988</v>
      </c>
      <c r="V31" s="16" t="n">
        <f aca="false">IF($A31&gt;=Premissas!$C$27,MAX(0,P31-Q31-R31-S31)*Premissas!$C$49,0)</f>
        <v>595.164700898852</v>
      </c>
      <c r="W31" s="16" t="n">
        <f aca="false">P31-Q31-R31-S31-T31-U31-V31</f>
        <v>1079.15856948401</v>
      </c>
      <c r="X31" s="16" t="n">
        <f aca="false">W31-F31-G31-H31-M31</f>
        <v>-5481.65837354319</v>
      </c>
      <c r="Y31" s="16" t="n">
        <f aca="false">Y30+X31</f>
        <v>-240146.333273281</v>
      </c>
      <c r="Z31" s="16" t="n">
        <f aca="false">Premissas!$C$14*(1+Premissas!$C$57)^((YEAR(Premissas!$C$19)-YEAR(Premissas!$C$18))*12+MONTH(Premissas!$C$19)-MONTH(Premissas!$C$18))*(1+Premissas!$C$61)^((YEAR($A31)-YEAR(Premissas!$C$19))*12+MONTH($A31)-MONTH(Premissas!$C$19))</f>
        <v>531541.284739339</v>
      </c>
      <c r="AA31" s="16" t="n">
        <f aca="false">IF($A31&gt;=Premissas!$C$25,Z31*(1-Premissas!$C$53)-N31-Premissas!$C$54*MAX(0,Z31*(1-Premissas!$C$53)-(Premissas!$C$14*(1+Premissas!$C$57)^((YEAR(Premissas!$C$25)-YEAR(Premissas!$C$18))*12+MONTH(Premissas!$C$25)-MONTH(Premissas!$C$18))*(1+Premissas!$C$34))),"")</f>
        <v>143514.715757958</v>
      </c>
      <c r="AB31" s="16" t="n">
        <f aca="false">IF($A31&gt;=Premissas!$C$25,Y31+AA31,"")</f>
        <v>-96631.6175153233</v>
      </c>
      <c r="AC31" s="20" t="str">
        <f aca="false">IF(AND($A31&gt;=Premissas!$C$27,W31&gt;=M31),$A31,"")</f>
        <v/>
      </c>
      <c r="AD31" s="20" t="str">
        <f aca="false">IF(AND($A31&gt;=Premissas!$C$27,Y31&gt;=0),$A31,"")</f>
        <v/>
      </c>
      <c r="AE31" s="20" t="str">
        <f aca="false">IF(AND($A31&gt;=Premissas!$C$25,N(AB31)&gt;=0),$A31,"")</f>
        <v/>
      </c>
    </row>
    <row r="32" customFormat="false" ht="15" hidden="false" customHeight="false" outlineLevel="0" collapsed="false">
      <c r="A32" s="20" t="n">
        <f aca="false">DATE(YEAR(A31),MONTH(A31)+1,1)</f>
        <v>47209</v>
      </c>
      <c r="B32" s="5" t="str">
        <f aca="false">IF($A32&lt;Premissas!$C$25,"Obra",IF($A32=Premissas!$C$25,"Chaves",IF($A32&lt;Premissas!$C$27,"Mobiliando","Airbnb")))</f>
        <v>Airbnb</v>
      </c>
      <c r="C32" s="35" t="n">
        <f aca="false">(YEAR($A32)-YEAR(Premissas!$C$18))*12+MONTH($A32)-MONTH(Premissas!$C$18)</f>
        <v>31</v>
      </c>
      <c r="D32" s="16" t="n">
        <f aca="false">($A32=Premissas!$C$19)*Premissas!$C$8+(($A32=EDATE(Premissas!$C$19,1))+($A32=EDATE(Premissas!$C$19,2)))*Premissas!$C$9+AND($A32&gt;=Premissas!$C$20,$A32&lt;EDATE(Premissas!$C$20,Premissas!$C$21))*Premissas!$C$10+(($A32=Premissas!$C$22)+($A32=Premissas!$C$23)+($A32=Premissas!$C$24))*Premissas!$C$11+($A32=Premissas!$C$25)*Premissas!$C$12</f>
        <v>0</v>
      </c>
      <c r="E32" s="36" t="n">
        <f aca="false">(1+Premissas!$C$57)^C32</f>
        <v>1.14833566686375</v>
      </c>
      <c r="F32" s="16" t="n">
        <f aca="false">D32*E32</f>
        <v>0</v>
      </c>
      <c r="G32" s="16" t="n">
        <f aca="false">($A32=Premissas!$C$25)*Premissas!$C$34*Premissas!$C$14*(1+Premissas!$C$57)^C32</f>
        <v>0</v>
      </c>
      <c r="H32" s="16" t="n">
        <f aca="false">IF(AND($A32&gt;Premissas!$C$25,$A32&lt;Premissas!$C$27),Premissas!$C$35/MAX(1,Premissas!$C$26),0)</f>
        <v>0</v>
      </c>
      <c r="I32" s="35" t="n">
        <f aca="false">IF(AND($A32&gt;Premissas!$C$25,((YEAR($A32)-YEAR(Premissas!$C$25))*12+MONTH($A32)-MONTH(Premissas!$C$25))&lt;=Premissas!$C$32),((YEAR($A32)-YEAR(Premissas!$C$25))*12+MONTH($A32)-MONTH(Premissas!$C$25)),0)</f>
        <v>8</v>
      </c>
      <c r="J32" s="16" t="n">
        <f aca="false">IF(I32&gt;0,N31*(1+Premissas!$C$59),0)</f>
        <v>357299.982241461</v>
      </c>
      <c r="K32" s="16" t="n">
        <f aca="false">J32*Premissas!$C$58</f>
        <v>3390.34554701943</v>
      </c>
      <c r="L32" s="16" t="n">
        <f aca="false">IF(I32&gt;0,J32/(Premissas!$C$32-I32+1),0)</f>
        <v>3161.94674549966</v>
      </c>
      <c r="M32" s="16" t="n">
        <f aca="false">K32+L32</f>
        <v>6552.29229251909</v>
      </c>
      <c r="N32" s="16" t="n">
        <f aca="false">IF($A32=Premissas!$C$25,Premissas!$C$13*E32,IF(I32&gt;0,J32-L32,0))</f>
        <v>354138.035495962</v>
      </c>
      <c r="O32" s="37" t="n">
        <f aca="false">IF($A32&gt;=Premissas!$C$27,Premissas!$C$39*IF(((YEAR($A32)-YEAR(Premissas!$C$27))*12+MONTH($A32)-MONTH(Premissas!$C$27))&lt;Premissas!$C$41,Premissas!$C$42,1),0)</f>
        <v>0.62</v>
      </c>
      <c r="P32" s="16" t="n">
        <f aca="false">O32*Premissas!$C$38*Premissas!$C$40*(1+Premissas!$C$60)^((YEAR($A32)-YEAR(Premissas!$C$19))*12+MONTH($A32)-MONTH(Premissas!$C$19))</f>
        <v>4672.67734767096</v>
      </c>
      <c r="Q32" s="16" t="n">
        <f aca="false">P32*Premissas!$C$43</f>
        <v>747.628375627354</v>
      </c>
      <c r="R32" s="16" t="n">
        <f aca="false">P32*Premissas!$C$44</f>
        <v>934.535469534192</v>
      </c>
      <c r="S32" s="16" t="n">
        <f aca="false">IF($A32&gt;=Premissas!$C$25,Premissas!$C$45*(1+Premissas!$C$60)^((YEAR($A32)-YEAR(Premissas!$C$19))*12+MONTH($A32)-MONTH(Premissas!$C$19)),0)</f>
        <v>819.193083392525</v>
      </c>
      <c r="T32" s="16" t="n">
        <f aca="false">IF($A32&gt;=Premissas!$C$27,Premissas!$C$46*(1+Premissas!$C$60)^((YEAR($A32)-YEAR(Premissas!$C$19))*12+MONTH($A32)-MONTH(Premissas!$C$19)),0)</f>
        <v>327.67723335701</v>
      </c>
      <c r="U32" s="16" t="n">
        <f aca="false">IF($A32&gt;=Premissas!$C$27,Premissas!$C$47*(1+Premissas!$C$60)^((YEAR($A32)-YEAR(Premissas!$C$19))*12+MONTH($A32)-MONTH(Premissas!$C$19)),0)</f>
        <v>163.838616678505</v>
      </c>
      <c r="V32" s="16" t="n">
        <f aca="false">IF($A32&gt;=Premissas!$C$27,MAX(0,P32-Q32-R32-S32)*Premissas!$C$49,0)</f>
        <v>597.113115257145</v>
      </c>
      <c r="W32" s="16" t="n">
        <f aca="false">P32-Q32-R32-S32-T32-U32-V32</f>
        <v>1082.69145382423</v>
      </c>
      <c r="X32" s="16" t="n">
        <f aca="false">W32-F32-G32-H32-M32</f>
        <v>-5469.60083869486</v>
      </c>
      <c r="Y32" s="16" t="n">
        <f aca="false">Y31+X32</f>
        <v>-245615.934111976</v>
      </c>
      <c r="Z32" s="16" t="n">
        <f aca="false">Premissas!$C$14*(1+Premissas!$C$57)^((YEAR(Premissas!$C$19)-YEAR(Premissas!$C$18))*12+MONTH(Premissas!$C$19)-MONTH(Premissas!$C$18))*(1+Premissas!$C$61)^((YEAR($A32)-YEAR(Premissas!$C$19))*12+MONTH($A32)-MONTH(Premissas!$C$19))</f>
        <v>533706.849729487</v>
      </c>
      <c r="AA32" s="16" t="n">
        <f aca="false">IF($A32&gt;=Premissas!$C$25,Z32*(1-Premissas!$C$53)-N32-Premissas!$C$54*MAX(0,Z32*(1-Premissas!$C$53)-(Premissas!$C$14*(1+Premissas!$C$57)^((YEAR(Premissas!$C$25)-YEAR(Premissas!$C$18))*12+MONTH(Premissas!$C$25)-MONTH(Premissas!$C$18))*(1+Premissas!$C$34))),"")</f>
        <v>147546.403249756</v>
      </c>
      <c r="AB32" s="16" t="n">
        <f aca="false">IF($A32&gt;=Premissas!$C$25,Y32+AA32,"")</f>
        <v>-98069.5308622205</v>
      </c>
      <c r="AC32" s="20" t="str">
        <f aca="false">IF(AND($A32&gt;=Premissas!$C$27,W32&gt;=M32),$A32,"")</f>
        <v/>
      </c>
      <c r="AD32" s="20" t="str">
        <f aca="false">IF(AND($A32&gt;=Premissas!$C$27,Y32&gt;=0),$A32,"")</f>
        <v/>
      </c>
      <c r="AE32" s="20" t="str">
        <f aca="false">IF(AND($A32&gt;=Premissas!$C$25,N(AB32)&gt;=0),$A32,"")</f>
        <v/>
      </c>
    </row>
    <row r="33" customFormat="false" ht="15" hidden="false" customHeight="false" outlineLevel="0" collapsed="false">
      <c r="A33" s="20" t="n">
        <f aca="false">DATE(YEAR(A32),MONTH(A32)+1,1)</f>
        <v>47239</v>
      </c>
      <c r="B33" s="5" t="str">
        <f aca="false">IF($A33&lt;Premissas!$C$25,"Obra",IF($A33=Premissas!$C$25,"Chaves",IF($A33&lt;Premissas!$C$27,"Mobiliando","Airbnb")))</f>
        <v>Airbnb</v>
      </c>
      <c r="C33" s="35" t="n">
        <f aca="false">(YEAR($A33)-YEAR(Premissas!$C$18))*12+MONTH($A33)-MONTH(Premissas!$C$18)</f>
        <v>32</v>
      </c>
      <c r="D33" s="16" t="n">
        <f aca="false">($A33=Premissas!$C$19)*Premissas!$C$8+(($A33=EDATE(Premissas!$C$19,1))+($A33=EDATE(Premissas!$C$19,2)))*Premissas!$C$9+AND($A33&gt;=Premissas!$C$20,$A33&lt;EDATE(Premissas!$C$20,Premissas!$C$21))*Premissas!$C$10+(($A33=Premissas!$C$22)+($A33=Premissas!$C$23)+($A33=Premissas!$C$24))*Premissas!$C$11+($A33=Premissas!$C$25)*Premissas!$C$12</f>
        <v>0</v>
      </c>
      <c r="E33" s="36" t="n">
        <f aca="false">(1+Premissas!$C$57)^C33</f>
        <v>1.15347067822167</v>
      </c>
      <c r="F33" s="16" t="n">
        <f aca="false">D33*E33</f>
        <v>0</v>
      </c>
      <c r="G33" s="16" t="n">
        <f aca="false">($A33=Premissas!$C$25)*Premissas!$C$34*Premissas!$C$14*(1+Premissas!$C$57)^C33</f>
        <v>0</v>
      </c>
      <c r="H33" s="16" t="n">
        <f aca="false">IF(AND($A33&gt;Premissas!$C$25,$A33&lt;Premissas!$C$27),Premissas!$C$35/MAX(1,Premissas!$C$26),0)</f>
        <v>0</v>
      </c>
      <c r="I33" s="35" t="n">
        <f aca="false">IF(AND($A33&gt;Premissas!$C$25,((YEAR($A33)-YEAR(Premissas!$C$25))*12+MONTH($A33)-MONTH(Premissas!$C$25))&lt;=Premissas!$C$32),((YEAR($A33)-YEAR(Premissas!$C$25))*12+MONTH($A33)-MONTH(Premissas!$C$25)),0)</f>
        <v>9</v>
      </c>
      <c r="J33" s="16" t="n">
        <f aca="false">IF(I33&gt;0,N32*(1+Premissas!$C$59),0)</f>
        <v>355297.391271155</v>
      </c>
      <c r="K33" s="16" t="n">
        <f aca="false">J33*Premissas!$C$58</f>
        <v>3371.34337596952</v>
      </c>
      <c r="L33" s="16" t="n">
        <f aca="false">IF(I33&gt;0,J33/(Premissas!$C$32-I33+1),0)</f>
        <v>3172.2981363496</v>
      </c>
      <c r="M33" s="16" t="n">
        <f aca="false">K33+L33</f>
        <v>6543.64151231912</v>
      </c>
      <c r="N33" s="16" t="n">
        <f aca="false">IF($A33=Premissas!$C$25,Premissas!$C$13*E33,IF(I33&gt;0,J33-L33,0))</f>
        <v>352125.093134805</v>
      </c>
      <c r="O33" s="37" t="n">
        <f aca="false">IF($A33&gt;=Premissas!$C$27,Premissas!$C$39*IF(((YEAR($A33)-YEAR(Premissas!$C$27))*12+MONTH($A33)-MONTH(Premissas!$C$27))&lt;Premissas!$C$41,Premissas!$C$42,1),0)</f>
        <v>0.62</v>
      </c>
      <c r="P33" s="16" t="n">
        <f aca="false">O33*Premissas!$C$38*Premissas!$C$40*(1+Premissas!$C$60)^((YEAR($A33)-YEAR(Premissas!$C$19))*12+MONTH($A33)-MONTH(Premissas!$C$19))</f>
        <v>4687.97447739341</v>
      </c>
      <c r="Q33" s="16" t="n">
        <f aca="false">P33*Premissas!$C$43</f>
        <v>750.075916382946</v>
      </c>
      <c r="R33" s="16" t="n">
        <f aca="false">P33*Premissas!$C$44</f>
        <v>937.594895478682</v>
      </c>
      <c r="S33" s="16" t="n">
        <f aca="false">IF($A33&gt;=Premissas!$C$25,Premissas!$C$45*(1+Premissas!$C$60)^((YEAR($A33)-YEAR(Premissas!$C$19))*12+MONTH($A33)-MONTH(Premissas!$C$19)),0)</f>
        <v>821.874908378929</v>
      </c>
      <c r="T33" s="16" t="n">
        <f aca="false">IF($A33&gt;=Premissas!$C$27,Premissas!$C$46*(1+Premissas!$C$60)^((YEAR($A33)-YEAR(Premissas!$C$19))*12+MONTH($A33)-MONTH(Premissas!$C$19)),0)</f>
        <v>328.749963351572</v>
      </c>
      <c r="U33" s="16" t="n">
        <f aca="false">IF($A33&gt;=Premissas!$C$27,Premissas!$C$47*(1+Premissas!$C$60)^((YEAR($A33)-YEAR(Premissas!$C$19))*12+MONTH($A33)-MONTH(Premissas!$C$19)),0)</f>
        <v>164.374981675786</v>
      </c>
      <c r="V33" s="16" t="n">
        <f aca="false">IF($A33&gt;=Premissas!$C$27,MAX(0,P33-Q33-R33-S33)*Premissas!$C$49,0)</f>
        <v>599.067908217035</v>
      </c>
      <c r="W33" s="16" t="n">
        <f aca="false">P33-Q33-R33-S33-T33-U33-V33</f>
        <v>1086.23590390846</v>
      </c>
      <c r="X33" s="16" t="n">
        <f aca="false">W33-F33-G33-H33-M33</f>
        <v>-5457.40560841065</v>
      </c>
      <c r="Y33" s="16" t="n">
        <f aca="false">Y32+X33</f>
        <v>-251073.339720387</v>
      </c>
      <c r="Z33" s="16" t="n">
        <f aca="false">Premissas!$C$14*(1+Premissas!$C$57)^((YEAR(Premissas!$C$19)-YEAR(Premissas!$C$18))*12+MONTH(Premissas!$C$19)-MONTH(Premissas!$C$18))*(1+Premissas!$C$61)^((YEAR($A33)-YEAR(Premissas!$C$19))*12+MONTH($A33)-MONTH(Premissas!$C$19))</f>
        <v>535881.237499466</v>
      </c>
      <c r="AA33" s="16" t="n">
        <f aca="false">IF($A33&gt;=Premissas!$C$25,Z33*(1-Premissas!$C$53)-N33-Premissas!$C$54*MAX(0,Z33*(1-Premissas!$C$53)-(Premissas!$C$14*(1+Premissas!$C$57)^((YEAR(Premissas!$C$25)-YEAR(Premissas!$C$18))*12+MONTH(Premissas!$C$25)-MONTH(Premissas!$C$18))*(1+Premissas!$C$34))),"")</f>
        <v>151603.270114693</v>
      </c>
      <c r="AB33" s="16" t="n">
        <f aca="false">IF($A33&gt;=Premissas!$C$25,Y33+AA33,"")</f>
        <v>-99470.0696056941</v>
      </c>
      <c r="AC33" s="20" t="str">
        <f aca="false">IF(AND($A33&gt;=Premissas!$C$27,W33&gt;=M33),$A33,"")</f>
        <v/>
      </c>
      <c r="AD33" s="20" t="str">
        <f aca="false">IF(AND($A33&gt;=Premissas!$C$27,Y33&gt;=0),$A33,"")</f>
        <v/>
      </c>
      <c r="AE33" s="20" t="str">
        <f aca="false">IF(AND($A33&gt;=Premissas!$C$25,N(AB33)&gt;=0),$A33,"")</f>
        <v/>
      </c>
    </row>
    <row r="34" customFormat="false" ht="15" hidden="false" customHeight="false" outlineLevel="0" collapsed="false">
      <c r="A34" s="20" t="n">
        <f aca="false">DATE(YEAR(A33),MONTH(A33)+1,1)</f>
        <v>47270</v>
      </c>
      <c r="B34" s="5" t="str">
        <f aca="false">IF($A34&lt;Premissas!$C$25,"Obra",IF($A34=Premissas!$C$25,"Chaves",IF($A34&lt;Premissas!$C$27,"Mobiliando","Airbnb")))</f>
        <v>Airbnb</v>
      </c>
      <c r="C34" s="35" t="n">
        <f aca="false">(YEAR($A34)-YEAR(Premissas!$C$18))*12+MONTH($A34)-MONTH(Premissas!$C$18)</f>
        <v>33</v>
      </c>
      <c r="D34" s="16" t="n">
        <f aca="false">($A34=Premissas!$C$19)*Premissas!$C$8+(($A34=EDATE(Premissas!$C$19,1))+($A34=EDATE(Premissas!$C$19,2)))*Premissas!$C$9+AND($A34&gt;=Premissas!$C$20,$A34&lt;EDATE(Premissas!$C$20,Premissas!$C$21))*Premissas!$C$10+(($A34=Premissas!$C$22)+($A34=Premissas!$C$23)+($A34=Premissas!$C$24))*Premissas!$C$11+($A34=Premissas!$C$25)*Premissas!$C$12</f>
        <v>0</v>
      </c>
      <c r="E34" s="36" t="n">
        <f aca="false">(1+Premissas!$C$57)^C34</f>
        <v>1.15862865180432</v>
      </c>
      <c r="F34" s="16" t="n">
        <f aca="false">D34*E34</f>
        <v>0</v>
      </c>
      <c r="G34" s="16" t="n">
        <f aca="false">($A34=Premissas!$C$25)*Premissas!$C$34*Premissas!$C$14*(1+Premissas!$C$57)^C34</f>
        <v>0</v>
      </c>
      <c r="H34" s="16" t="n">
        <f aca="false">IF(AND($A34&gt;Premissas!$C$25,$A34&lt;Premissas!$C$27),Premissas!$C$35/MAX(1,Premissas!$C$26),0)</f>
        <v>0</v>
      </c>
      <c r="I34" s="35" t="n">
        <f aca="false">IF(AND($A34&gt;Premissas!$C$25,((YEAR($A34)-YEAR(Premissas!$C$25))*12+MONTH($A34)-MONTH(Premissas!$C$25))&lt;=Premissas!$C$32),((YEAR($A34)-YEAR(Premissas!$C$25))*12+MONTH($A34)-MONTH(Premissas!$C$25)),0)</f>
        <v>10</v>
      </c>
      <c r="J34" s="16" t="n">
        <f aca="false">IF(I34&gt;0,N33*(1+Premissas!$C$59),0)</f>
        <v>353277.859060511</v>
      </c>
      <c r="K34" s="16" t="n">
        <f aca="false">J34*Premissas!$C$58</f>
        <v>3352.180452998</v>
      </c>
      <c r="L34" s="16" t="n">
        <f aca="false">IF(I34&gt;0,J34/(Premissas!$C$32-I34+1),0)</f>
        <v>3182.68341495956</v>
      </c>
      <c r="M34" s="16" t="n">
        <f aca="false">K34+L34</f>
        <v>6534.86386795756</v>
      </c>
      <c r="N34" s="16" t="n">
        <f aca="false">IF($A34=Premissas!$C$25,Premissas!$C$13*E34,IF(I34&gt;0,J34-L34,0))</f>
        <v>350095.175645551</v>
      </c>
      <c r="O34" s="37" t="n">
        <f aca="false">IF($A34&gt;=Premissas!$C$27,Premissas!$C$39*IF(((YEAR($A34)-YEAR(Premissas!$C$27))*12+MONTH($A34)-MONTH(Premissas!$C$27))&lt;Premissas!$C$41,Premissas!$C$42,1),0)</f>
        <v>0.62</v>
      </c>
      <c r="P34" s="16" t="n">
        <f aca="false">O34*Premissas!$C$38*Premissas!$C$40*(1+Premissas!$C$60)^((YEAR($A34)-YEAR(Premissas!$C$19))*12+MONTH($A34)-MONTH(Premissas!$C$19))</f>
        <v>4703.32168593799</v>
      </c>
      <c r="Q34" s="16" t="n">
        <f aca="false">P34*Premissas!$C$43</f>
        <v>752.531469750078</v>
      </c>
      <c r="R34" s="16" t="n">
        <f aca="false">P34*Premissas!$C$44</f>
        <v>940.664337187598</v>
      </c>
      <c r="S34" s="16" t="n">
        <f aca="false">IF($A34&gt;=Premissas!$C$25,Premissas!$C$45*(1+Premissas!$C$60)^((YEAR($A34)-YEAR(Premissas!$C$19))*12+MONTH($A34)-MONTH(Premissas!$C$19)),0)</f>
        <v>824.56551296248</v>
      </c>
      <c r="T34" s="16" t="n">
        <f aca="false">IF($A34&gt;=Premissas!$C$27,Premissas!$C$46*(1+Premissas!$C$60)^((YEAR($A34)-YEAR(Premissas!$C$19))*12+MONTH($A34)-MONTH(Premissas!$C$19)),0)</f>
        <v>329.826205184992</v>
      </c>
      <c r="U34" s="16" t="n">
        <f aca="false">IF($A34&gt;=Premissas!$C$27,Premissas!$C$47*(1+Premissas!$C$60)^((YEAR($A34)-YEAR(Premissas!$C$19))*12+MONTH($A34)-MONTH(Premissas!$C$19)),0)</f>
        <v>164.913102592496</v>
      </c>
      <c r="V34" s="16" t="n">
        <f aca="false">IF($A34&gt;=Premissas!$C$27,MAX(0,P34-Q34-R34-S34)*Premissas!$C$49,0)</f>
        <v>601.029100660404</v>
      </c>
      <c r="W34" s="16" t="n">
        <f aca="false">P34-Q34-R34-S34-T34-U34-V34</f>
        <v>1089.79195759994</v>
      </c>
      <c r="X34" s="16" t="n">
        <f aca="false">W34-F34-G34-H34-M34</f>
        <v>-5445.07191035762</v>
      </c>
      <c r="Y34" s="16" t="n">
        <f aca="false">Y33+X34</f>
        <v>-256518.411630744</v>
      </c>
      <c r="Z34" s="16" t="n">
        <f aca="false">Premissas!$C$14*(1+Premissas!$C$57)^((YEAR(Premissas!$C$19)-YEAR(Premissas!$C$18))*12+MONTH(Premissas!$C$19)-MONTH(Premissas!$C$18))*(1+Premissas!$C$61)^((YEAR($A34)-YEAR(Premissas!$C$19))*12+MONTH($A34)-MONTH(Premissas!$C$19))</f>
        <v>538064.483994373</v>
      </c>
      <c r="AA34" s="16" t="n">
        <f aca="false">IF($A34&gt;=Premissas!$C$25,Z34*(1-Premissas!$C$53)-N34-Premissas!$C$54*MAX(0,Z34*(1-Premissas!$C$53)-(Premissas!$C$14*(1+Premissas!$C$57)^((YEAR(Premissas!$C$25)-YEAR(Premissas!$C$18))*12+MONTH(Premissas!$C$25)-MONTH(Premissas!$C$18))*(1+Premissas!$C$34))),"")</f>
        <v>155685.439309159</v>
      </c>
      <c r="AB34" s="16" t="n">
        <f aca="false">IF($A34&gt;=Premissas!$C$25,Y34+AA34,"")</f>
        <v>-100832.972321585</v>
      </c>
      <c r="AC34" s="20" t="str">
        <f aca="false">IF(AND($A34&gt;=Premissas!$C$27,W34&gt;=M34),$A34,"")</f>
        <v/>
      </c>
      <c r="AD34" s="20" t="str">
        <f aca="false">IF(AND($A34&gt;=Premissas!$C$27,Y34&gt;=0),$A34,"")</f>
        <v/>
      </c>
      <c r="AE34" s="20" t="str">
        <f aca="false">IF(AND($A34&gt;=Premissas!$C$25,N(AB34)&gt;=0),$A34,"")</f>
        <v/>
      </c>
    </row>
    <row r="35" customFormat="false" ht="15" hidden="false" customHeight="false" outlineLevel="0" collapsed="false">
      <c r="A35" s="20" t="n">
        <f aca="false">DATE(YEAR(A34),MONTH(A34)+1,1)</f>
        <v>47300</v>
      </c>
      <c r="B35" s="5" t="str">
        <f aca="false">IF($A35&lt;Premissas!$C$25,"Obra",IF($A35=Premissas!$C$25,"Chaves",IF($A35&lt;Premissas!$C$27,"Mobiliando","Airbnb")))</f>
        <v>Airbnb</v>
      </c>
      <c r="C35" s="35" t="n">
        <f aca="false">(YEAR($A35)-YEAR(Premissas!$C$18))*12+MONTH($A35)-MONTH(Premissas!$C$18)</f>
        <v>34</v>
      </c>
      <c r="D35" s="16" t="n">
        <f aca="false">($A35=Premissas!$C$19)*Premissas!$C$8+(($A35=EDATE(Premissas!$C$19,1))+($A35=EDATE(Premissas!$C$19,2)))*Premissas!$C$9+AND($A35&gt;=Premissas!$C$20,$A35&lt;EDATE(Premissas!$C$20,Premissas!$C$21))*Premissas!$C$10+(($A35=Premissas!$C$22)+($A35=Premissas!$C$23)+($A35=Premissas!$C$24))*Premissas!$C$11+($A35=Premissas!$C$25)*Premissas!$C$12</f>
        <v>0</v>
      </c>
      <c r="E35" s="36" t="n">
        <f aca="false">(1+Premissas!$C$57)^C35</f>
        <v>1.16380969029184</v>
      </c>
      <c r="F35" s="16" t="n">
        <f aca="false">D35*E35</f>
        <v>0</v>
      </c>
      <c r="G35" s="16" t="n">
        <f aca="false">($A35=Premissas!$C$25)*Premissas!$C$34*Premissas!$C$14*(1+Premissas!$C$57)^C35</f>
        <v>0</v>
      </c>
      <c r="H35" s="16" t="n">
        <f aca="false">IF(AND($A35&gt;Premissas!$C$25,$A35&lt;Premissas!$C$27),Premissas!$C$35/MAX(1,Premissas!$C$26),0)</f>
        <v>0</v>
      </c>
      <c r="I35" s="35" t="n">
        <f aca="false">IF(AND($A35&gt;Premissas!$C$25,((YEAR($A35)-YEAR(Premissas!$C$25))*12+MONTH($A35)-MONTH(Premissas!$C$25))&lt;=Premissas!$C$32),((YEAR($A35)-YEAR(Premissas!$C$25))*12+MONTH($A35)-MONTH(Premissas!$C$25)),0)</f>
        <v>11</v>
      </c>
      <c r="J35" s="16" t="n">
        <f aca="false">IF(I35&gt;0,N34*(1+Premissas!$C$59),0)</f>
        <v>351241.296149618</v>
      </c>
      <c r="K35" s="16" t="n">
        <f aca="false">J35*Premissas!$C$58</f>
        <v>3332.85592923829</v>
      </c>
      <c r="L35" s="16" t="n">
        <f aca="false">IF(I35&gt;0,J35/(Premissas!$C$32-I35+1),0)</f>
        <v>3193.10269226926</v>
      </c>
      <c r="M35" s="16" t="n">
        <f aca="false">K35+L35</f>
        <v>6525.95862150754</v>
      </c>
      <c r="N35" s="16" t="n">
        <f aca="false">IF($A35=Premissas!$C$25,Premissas!$C$13*E35,IF(I35&gt;0,J35-L35,0))</f>
        <v>348048.193457349</v>
      </c>
      <c r="O35" s="37" t="n">
        <f aca="false">IF($A35&gt;=Premissas!$C$27,Premissas!$C$39*IF(((YEAR($A35)-YEAR(Premissas!$C$27))*12+MONTH($A35)-MONTH(Premissas!$C$27))&lt;Premissas!$C$41,Premissas!$C$42,1),0)</f>
        <v>0.62</v>
      </c>
      <c r="P35" s="16" t="n">
        <f aca="false">O35*Premissas!$C$38*Premissas!$C$40*(1+Premissas!$C$60)^((YEAR($A35)-YEAR(Premissas!$C$19))*12+MONTH($A35)-MONTH(Premissas!$C$19))</f>
        <v>4718.71913724972</v>
      </c>
      <c r="Q35" s="16" t="n">
        <f aca="false">P35*Premissas!$C$43</f>
        <v>754.995061959955</v>
      </c>
      <c r="R35" s="16" t="n">
        <f aca="false">P35*Premissas!$C$44</f>
        <v>943.743827449944</v>
      </c>
      <c r="S35" s="16" t="n">
        <f aca="false">IF($A35&gt;=Premissas!$C$25,Premissas!$C$45*(1+Premissas!$C$60)^((YEAR($A35)-YEAR(Premissas!$C$19))*12+MONTH($A35)-MONTH(Premissas!$C$19)),0)</f>
        <v>827.264925885295</v>
      </c>
      <c r="T35" s="16" t="n">
        <f aca="false">IF($A35&gt;=Premissas!$C$27,Premissas!$C$46*(1+Premissas!$C$60)^((YEAR($A35)-YEAR(Premissas!$C$19))*12+MONTH($A35)-MONTH(Premissas!$C$19)),0)</f>
        <v>330.905970354118</v>
      </c>
      <c r="U35" s="16" t="n">
        <f aca="false">IF($A35&gt;=Premissas!$C$27,Premissas!$C$47*(1+Premissas!$C$60)^((YEAR($A35)-YEAR(Premissas!$C$19))*12+MONTH($A35)-MONTH(Premissas!$C$19)),0)</f>
        <v>165.452985177059</v>
      </c>
      <c r="V35" s="16" t="n">
        <f aca="false">IF($A35&gt;=Premissas!$C$27,MAX(0,P35-Q35-R35-S35)*Premissas!$C$49,0)</f>
        <v>602.996713537495</v>
      </c>
      <c r="W35" s="16" t="n">
        <f aca="false">P35-Q35-R35-S35-T35-U35-V35</f>
        <v>1093.35965288585</v>
      </c>
      <c r="X35" s="16" t="n">
        <f aca="false">W35-F35-G35-H35-M35</f>
        <v>-5432.59896862169</v>
      </c>
      <c r="Y35" s="16" t="n">
        <f aca="false">Y34+X35</f>
        <v>-261951.010599366</v>
      </c>
      <c r="Z35" s="16" t="n">
        <f aca="false">Premissas!$C$14*(1+Premissas!$C$57)^((YEAR(Premissas!$C$19)-YEAR(Premissas!$C$18))*12+MONTH(Premissas!$C$19)-MONTH(Premissas!$C$18))*(1+Premissas!$C$61)^((YEAR($A35)-YEAR(Premissas!$C$19))*12+MONTH($A35)-MONTH(Premissas!$C$19))</f>
        <v>540256.625305751</v>
      </c>
      <c r="AA35" s="16" t="n">
        <f aca="false">IF($A35&gt;=Premissas!$C$25,Z35*(1-Premissas!$C$53)-N35-Premissas!$C$54*MAX(0,Z35*(1-Premissas!$C$53)-(Premissas!$C$14*(1+Premissas!$C$57)^((YEAR(Premissas!$C$25)-YEAR(Premissas!$C$18))*12+MONTH(Premissas!$C$25)-MONTH(Premissas!$C$18))*(1+Premissas!$C$34))),"")</f>
        <v>159793.034330057</v>
      </c>
      <c r="AB35" s="16" t="n">
        <f aca="false">IF($A35&gt;=Premissas!$C$25,Y35+AA35,"")</f>
        <v>-102157.976269309</v>
      </c>
      <c r="AC35" s="20" t="str">
        <f aca="false">IF(AND($A35&gt;=Premissas!$C$27,W35&gt;=M35),$A35,"")</f>
        <v/>
      </c>
      <c r="AD35" s="20" t="str">
        <f aca="false">IF(AND($A35&gt;=Premissas!$C$27,Y35&gt;=0),$A35,"")</f>
        <v/>
      </c>
      <c r="AE35" s="20" t="str">
        <f aca="false">IF(AND($A35&gt;=Premissas!$C$25,N(AB35)&gt;=0),$A35,"")</f>
        <v/>
      </c>
    </row>
    <row r="36" customFormat="false" ht="15" hidden="false" customHeight="false" outlineLevel="0" collapsed="false">
      <c r="A36" s="20" t="n">
        <f aca="false">DATE(YEAR(A35),MONTH(A35)+1,1)</f>
        <v>47331</v>
      </c>
      <c r="B36" s="5" t="str">
        <f aca="false">IF($A36&lt;Premissas!$C$25,"Obra",IF($A36=Premissas!$C$25,"Chaves",IF($A36&lt;Premissas!$C$27,"Mobiliando","Airbnb")))</f>
        <v>Airbnb</v>
      </c>
      <c r="C36" s="35" t="n">
        <f aca="false">(YEAR($A36)-YEAR(Premissas!$C$18))*12+MONTH($A36)-MONTH(Premissas!$C$18)</f>
        <v>35</v>
      </c>
      <c r="D36" s="16" t="n">
        <f aca="false">($A36=Premissas!$C$19)*Premissas!$C$8+(($A36=EDATE(Premissas!$C$19,1))+($A36=EDATE(Premissas!$C$19,2)))*Premissas!$C$9+AND($A36&gt;=Premissas!$C$20,$A36&lt;EDATE(Premissas!$C$20,Premissas!$C$21))*Premissas!$C$10+(($A36=Premissas!$C$22)+($A36=Premissas!$C$23)+($A36=Premissas!$C$24))*Premissas!$C$11+($A36=Premissas!$C$25)*Premissas!$C$12</f>
        <v>0</v>
      </c>
      <c r="E36" s="36" t="n">
        <f aca="false">(1+Premissas!$C$57)^C36</f>
        <v>1.16901389682357</v>
      </c>
      <c r="F36" s="16" t="n">
        <f aca="false">D36*E36</f>
        <v>0</v>
      </c>
      <c r="G36" s="16" t="n">
        <f aca="false">($A36=Premissas!$C$25)*Premissas!$C$34*Premissas!$C$14*(1+Premissas!$C$57)^C36</f>
        <v>0</v>
      </c>
      <c r="H36" s="16" t="n">
        <f aca="false">IF(AND($A36&gt;Premissas!$C$25,$A36&lt;Premissas!$C$27),Premissas!$C$35/MAX(1,Premissas!$C$26),0)</f>
        <v>0</v>
      </c>
      <c r="I36" s="35" t="n">
        <f aca="false">IF(AND($A36&gt;Premissas!$C$25,((YEAR($A36)-YEAR(Premissas!$C$25))*12+MONTH($A36)-MONTH(Premissas!$C$25))&lt;=Premissas!$C$32),((YEAR($A36)-YEAR(Premissas!$C$25))*12+MONTH($A36)-MONTH(Premissas!$C$25)),0)</f>
        <v>12</v>
      </c>
      <c r="J36" s="16" t="n">
        <f aca="false">IF(I36&gt;0,N35*(1+Premissas!$C$59),0)</f>
        <v>349187.612674393</v>
      </c>
      <c r="K36" s="16" t="n">
        <f aca="false">J36*Premissas!$C$58</f>
        <v>3313.3689519887</v>
      </c>
      <c r="L36" s="16" t="n">
        <f aca="false">IF(I36&gt;0,J36/(Premissas!$C$32-I36+1),0)</f>
        <v>3203.55607958158</v>
      </c>
      <c r="M36" s="16" t="n">
        <f aca="false">K36+L36</f>
        <v>6516.92503157028</v>
      </c>
      <c r="N36" s="16" t="n">
        <f aca="false">IF($A36=Premissas!$C$25,Premissas!$C$13*E36,IF(I36&gt;0,J36-L36,0))</f>
        <v>345984.056594811</v>
      </c>
      <c r="O36" s="37" t="n">
        <f aca="false">IF($A36&gt;=Premissas!$C$27,Premissas!$C$39*IF(((YEAR($A36)-YEAR(Premissas!$C$27))*12+MONTH($A36)-MONTH(Premissas!$C$27))&lt;Premissas!$C$41,Premissas!$C$42,1),0)</f>
        <v>0.62</v>
      </c>
      <c r="P36" s="16" t="n">
        <f aca="false">O36*Premissas!$C$38*Premissas!$C$40*(1+Premissas!$C$60)^((YEAR($A36)-YEAR(Premissas!$C$19))*12+MONTH($A36)-MONTH(Premissas!$C$19))</f>
        <v>4734.16699581036</v>
      </c>
      <c r="Q36" s="16" t="n">
        <f aca="false">P36*Premissas!$C$43</f>
        <v>757.466719329657</v>
      </c>
      <c r="R36" s="16" t="n">
        <f aca="false">P36*Premissas!$C$44</f>
        <v>946.833399162072</v>
      </c>
      <c r="S36" s="16" t="n">
        <f aca="false">IF($A36&gt;=Premissas!$C$25,Premissas!$C$45*(1+Premissas!$C$60)^((YEAR($A36)-YEAR(Premissas!$C$19))*12+MONTH($A36)-MONTH(Premissas!$C$19)),0)</f>
        <v>829.973175983583</v>
      </c>
      <c r="T36" s="16" t="n">
        <f aca="false">IF($A36&gt;=Premissas!$C$27,Premissas!$C$46*(1+Premissas!$C$60)^((YEAR($A36)-YEAR(Premissas!$C$19))*12+MONTH($A36)-MONTH(Premissas!$C$19)),0)</f>
        <v>331.989270393433</v>
      </c>
      <c r="U36" s="16" t="n">
        <f aca="false">IF($A36&gt;=Premissas!$C$27,Premissas!$C$47*(1+Premissas!$C$60)^((YEAR($A36)-YEAR(Premissas!$C$19))*12+MONTH($A36)-MONTH(Premissas!$C$19)),0)</f>
        <v>165.994635196717</v>
      </c>
      <c r="V36" s="16" t="n">
        <f aca="false">IF($A36&gt;=Premissas!$C$27,MAX(0,P36-Q36-R36-S36)*Premissas!$C$49,0)</f>
        <v>604.970767867138</v>
      </c>
      <c r="W36" s="16" t="n">
        <f aca="false">P36-Q36-R36-S36-T36-U36-V36</f>
        <v>1096.93902787776</v>
      </c>
      <c r="X36" s="16" t="n">
        <f aca="false">W36-F36-G36-H36-M36</f>
        <v>-5419.98600369252</v>
      </c>
      <c r="Y36" s="16" t="n">
        <f aca="false">Y35+X36</f>
        <v>-267370.996603058</v>
      </c>
      <c r="Z36" s="16" t="n">
        <f aca="false">Premissas!$C$14*(1+Premissas!$C$57)^((YEAR(Premissas!$C$19)-YEAR(Premissas!$C$18))*12+MONTH(Premissas!$C$19)-MONTH(Premissas!$C$18))*(1+Premissas!$C$61)^((YEAR($A36)-YEAR(Premissas!$C$19))*12+MONTH($A36)-MONTH(Premissas!$C$19))</f>
        <v>542457.697672183</v>
      </c>
      <c r="AA36" s="16" t="n">
        <f aca="false">IF($A36&gt;=Premissas!$C$25,Z36*(1-Premissas!$C$53)-N36-Premissas!$C$54*MAX(0,Z36*(1-Premissas!$C$53)-(Premissas!$C$14*(1+Premissas!$C$57)^((YEAR(Premissas!$C$25)-YEAR(Premissas!$C$18))*12+MONTH(Premissas!$C$25)-MONTH(Premissas!$C$18))*(1+Premissas!$C$34))),"")</f>
        <v>163926.179217041</v>
      </c>
      <c r="AB36" s="16" t="n">
        <f aca="false">IF($A36&gt;=Premissas!$C$25,Y36+AA36,"")</f>
        <v>-103444.817386018</v>
      </c>
      <c r="AC36" s="20" t="str">
        <f aca="false">IF(AND($A36&gt;=Premissas!$C$27,W36&gt;=M36),$A36,"")</f>
        <v/>
      </c>
      <c r="AD36" s="20" t="str">
        <f aca="false">IF(AND($A36&gt;=Premissas!$C$27,Y36&gt;=0),$A36,"")</f>
        <v/>
      </c>
      <c r="AE36" s="20" t="str">
        <f aca="false">IF(AND($A36&gt;=Premissas!$C$25,N(AB36)&gt;=0),$A36,"")</f>
        <v/>
      </c>
    </row>
    <row r="37" customFormat="false" ht="15" hidden="false" customHeight="false" outlineLevel="0" collapsed="false">
      <c r="A37" s="20" t="n">
        <f aca="false">DATE(YEAR(A36),MONTH(A36)+1,1)</f>
        <v>47362</v>
      </c>
      <c r="B37" s="5" t="str">
        <f aca="false">IF($A37&lt;Premissas!$C$25,"Obra",IF($A37=Premissas!$C$25,"Chaves",IF($A37&lt;Premissas!$C$27,"Mobiliando","Airbnb")))</f>
        <v>Airbnb</v>
      </c>
      <c r="C37" s="35" t="n">
        <f aca="false">(YEAR($A37)-YEAR(Premissas!$C$18))*12+MONTH($A37)-MONTH(Premissas!$C$18)</f>
        <v>36</v>
      </c>
      <c r="D37" s="16" t="n">
        <f aca="false">($A37=Premissas!$C$19)*Premissas!$C$8+(($A37=EDATE(Premissas!$C$19,1))+($A37=EDATE(Premissas!$C$19,2)))*Premissas!$C$9+AND($A37&gt;=Premissas!$C$20,$A37&lt;EDATE(Premissas!$C$20,Premissas!$C$21))*Premissas!$C$10+(($A37=Premissas!$C$22)+($A37=Premissas!$C$23)+($A37=Premissas!$C$24))*Premissas!$C$11+($A37=Premissas!$C$25)*Premissas!$C$12</f>
        <v>0</v>
      </c>
      <c r="E37" s="36" t="n">
        <f aca="false">(1+Premissas!$C$57)^C37</f>
        <v>1.174241375</v>
      </c>
      <c r="F37" s="16" t="n">
        <f aca="false">D37*E37</f>
        <v>0</v>
      </c>
      <c r="G37" s="16" t="n">
        <f aca="false">($A37=Premissas!$C$25)*Premissas!$C$34*Premissas!$C$14*(1+Premissas!$C$57)^C37</f>
        <v>0</v>
      </c>
      <c r="H37" s="16" t="n">
        <f aca="false">IF(AND($A37&gt;Premissas!$C$25,$A37&lt;Premissas!$C$27),Premissas!$C$35/MAX(1,Premissas!$C$26),0)</f>
        <v>0</v>
      </c>
      <c r="I37" s="35" t="n">
        <f aca="false">IF(AND($A37&gt;Premissas!$C$25,((YEAR($A37)-YEAR(Premissas!$C$25))*12+MONTH($A37)-MONTH(Premissas!$C$25))&lt;=Premissas!$C$32),((YEAR($A37)-YEAR(Premissas!$C$25))*12+MONTH($A37)-MONTH(Premissas!$C$25)),0)</f>
        <v>13</v>
      </c>
      <c r="J37" s="16" t="n">
        <f aca="false">IF(I37&gt;0,N36*(1+Premissas!$C$59),0)</f>
        <v>347116.718364892</v>
      </c>
      <c r="K37" s="16" t="n">
        <f aca="false">J37*Premissas!$C$58</f>
        <v>3293.71866469644</v>
      </c>
      <c r="L37" s="16" t="n">
        <f aca="false">IF(I37&gt;0,J37/(Premissas!$C$32-I37+1),0)</f>
        <v>3214.04368856382</v>
      </c>
      <c r="M37" s="16" t="n">
        <f aca="false">K37+L37</f>
        <v>6507.76235326026</v>
      </c>
      <c r="N37" s="16" t="n">
        <f aca="false">IF($A37=Premissas!$C$25,Premissas!$C$13*E37,IF(I37&gt;0,J37-L37,0))</f>
        <v>343902.674676328</v>
      </c>
      <c r="O37" s="37" t="n">
        <f aca="false">IF($A37&gt;=Premissas!$C$27,Premissas!$C$39*IF(((YEAR($A37)-YEAR(Premissas!$C$27))*12+MONTH($A37)-MONTH(Premissas!$C$27))&lt;Premissas!$C$41,Premissas!$C$42,1),0)</f>
        <v>0.62</v>
      </c>
      <c r="P37" s="16" t="n">
        <f aca="false">O37*Premissas!$C$38*Premissas!$C$40*(1+Premissas!$C$60)^((YEAR($A37)-YEAR(Premissas!$C$19))*12+MONTH($A37)-MONTH(Premissas!$C$19))</f>
        <v>4749.66542664012</v>
      </c>
      <c r="Q37" s="16" t="n">
        <f aca="false">P37*Premissas!$C$43</f>
        <v>759.946468262419</v>
      </c>
      <c r="R37" s="16" t="n">
        <f aca="false">P37*Premissas!$C$44</f>
        <v>949.933085328023</v>
      </c>
      <c r="S37" s="16" t="n">
        <f aca="false">IF($A37&gt;=Premissas!$C$25,Premissas!$C$45*(1+Premissas!$C$60)^((YEAR($A37)-YEAR(Premissas!$C$19))*12+MONTH($A37)-MONTH(Premissas!$C$19)),0)</f>
        <v>832.690292187959</v>
      </c>
      <c r="T37" s="16" t="n">
        <f aca="false">IF($A37&gt;=Premissas!$C$27,Premissas!$C$46*(1+Premissas!$C$60)^((YEAR($A37)-YEAR(Premissas!$C$19))*12+MONTH($A37)-MONTH(Premissas!$C$19)),0)</f>
        <v>333.076116875183</v>
      </c>
      <c r="U37" s="16" t="n">
        <f aca="false">IF($A37&gt;=Premissas!$C$27,Premissas!$C$47*(1+Premissas!$C$60)^((YEAR($A37)-YEAR(Premissas!$C$19))*12+MONTH($A37)-MONTH(Premissas!$C$19)),0)</f>
        <v>166.538058437592</v>
      </c>
      <c r="V37" s="16" t="n">
        <f aca="false">IF($A37&gt;=Premissas!$C$27,MAX(0,P37-Q37-R37-S37)*Premissas!$C$49,0)</f>
        <v>606.951284736972</v>
      </c>
      <c r="W37" s="16" t="n">
        <f aca="false">P37-Q37-R37-S37-T37-U37-V37</f>
        <v>1100.53012081197</v>
      </c>
      <c r="X37" s="16" t="n">
        <f aca="false">W37-F37-G37-H37-M37</f>
        <v>-5407.23223244829</v>
      </c>
      <c r="Y37" s="16" t="n">
        <f aca="false">Y36+X37</f>
        <v>-272778.228835507</v>
      </c>
      <c r="Z37" s="16" t="n">
        <f aca="false">Premissas!$C$14*(1+Premissas!$C$57)^((YEAR(Premissas!$C$19)-YEAR(Premissas!$C$18))*12+MONTH(Premissas!$C$19)-MONTH(Premissas!$C$18))*(1+Premissas!$C$61)^((YEAR($A37)-YEAR(Premissas!$C$19))*12+MONTH($A37)-MONTH(Premissas!$C$19))</f>
        <v>544667.737479892</v>
      </c>
      <c r="AA37" s="16" t="n">
        <f aca="false">IF($A37&gt;=Premissas!$C$25,Z37*(1-Premissas!$C$53)-N37-Premissas!$C$54*MAX(0,Z37*(1-Premissas!$C$53)-(Premissas!$C$14*(1+Premissas!$C$57)^((YEAR(Premissas!$C$25)-YEAR(Premissas!$C$18))*12+MONTH(Premissas!$C$25)-MONTH(Premissas!$C$18))*(1+Premissas!$C$34))),"")</f>
        <v>168084.99855477</v>
      </c>
      <c r="AB37" s="16" t="n">
        <f aca="false">IF($A37&gt;=Premissas!$C$25,Y37+AA37,"")</f>
        <v>-104693.230280736</v>
      </c>
      <c r="AC37" s="20" t="str">
        <f aca="false">IF(AND($A37&gt;=Premissas!$C$27,W37&gt;=M37),$A37,"")</f>
        <v/>
      </c>
      <c r="AD37" s="20" t="str">
        <f aca="false">IF(AND($A37&gt;=Premissas!$C$27,Y37&gt;=0),$A37,"")</f>
        <v/>
      </c>
      <c r="AE37" s="20" t="str">
        <f aca="false">IF(AND($A37&gt;=Premissas!$C$25,N(AB37)&gt;=0),$A37,"")</f>
        <v/>
      </c>
    </row>
    <row r="38" customFormat="false" ht="15" hidden="false" customHeight="false" outlineLevel="0" collapsed="false">
      <c r="A38" s="20" t="n">
        <f aca="false">DATE(YEAR(A37),MONTH(A37)+1,1)</f>
        <v>47392</v>
      </c>
      <c r="B38" s="5" t="str">
        <f aca="false">IF($A38&lt;Premissas!$C$25,"Obra",IF($A38=Premissas!$C$25,"Chaves",IF($A38&lt;Premissas!$C$27,"Mobiliando","Airbnb")))</f>
        <v>Airbnb</v>
      </c>
      <c r="C38" s="35" t="n">
        <f aca="false">(YEAR($A38)-YEAR(Premissas!$C$18))*12+MONTH($A38)-MONTH(Premissas!$C$18)</f>
        <v>37</v>
      </c>
      <c r="D38" s="16" t="n">
        <f aca="false">($A38=Premissas!$C$19)*Premissas!$C$8+(($A38=EDATE(Premissas!$C$19,1))+($A38=EDATE(Premissas!$C$19,2)))*Premissas!$C$9+AND($A38&gt;=Premissas!$C$20,$A38&lt;EDATE(Premissas!$C$20,Premissas!$C$21))*Premissas!$C$10+(($A38=Premissas!$C$22)+($A38=Premissas!$C$23)+($A38=Premissas!$C$24))*Premissas!$C$11+($A38=Premissas!$C$25)*Premissas!$C$12</f>
        <v>0</v>
      </c>
      <c r="E38" s="36" t="n">
        <f aca="false">(1+Premissas!$C$57)^C38</f>
        <v>1.17949222888494</v>
      </c>
      <c r="F38" s="16" t="n">
        <f aca="false">D38*E38</f>
        <v>0</v>
      </c>
      <c r="G38" s="16" t="n">
        <f aca="false">($A38=Premissas!$C$25)*Premissas!$C$34*Premissas!$C$14*(1+Premissas!$C$57)^C38</f>
        <v>0</v>
      </c>
      <c r="H38" s="16" t="n">
        <f aca="false">IF(AND($A38&gt;Premissas!$C$25,$A38&lt;Premissas!$C$27),Premissas!$C$35/MAX(1,Premissas!$C$26),0)</f>
        <v>0</v>
      </c>
      <c r="I38" s="35" t="n">
        <f aca="false">IF(AND($A38&gt;Premissas!$C$25,((YEAR($A38)-YEAR(Premissas!$C$25))*12+MONTH($A38)-MONTH(Premissas!$C$25))&lt;=Premissas!$C$32),((YEAR($A38)-YEAR(Premissas!$C$25))*12+MONTH($A38)-MONTH(Premissas!$C$25)),0)</f>
        <v>14</v>
      </c>
      <c r="J38" s="16" t="n">
        <f aca="false">IF(I38&gt;0,N37*(1+Premissas!$C$59),0)</f>
        <v>345028.522543621</v>
      </c>
      <c r="K38" s="16" t="n">
        <f aca="false">J38*Premissas!$C$58</f>
        <v>3273.90420694154</v>
      </c>
      <c r="L38" s="16" t="n">
        <f aca="false">IF(I38&gt;0,J38/(Premissas!$C$32-I38+1),0)</f>
        <v>3224.56563124879</v>
      </c>
      <c r="M38" s="16" t="n">
        <f aca="false">K38+L38</f>
        <v>6498.46983819033</v>
      </c>
      <c r="N38" s="16" t="n">
        <f aca="false">IF($A38=Premissas!$C$25,Premissas!$C$13*E38,IF(I38&gt;0,J38-L38,0))</f>
        <v>341803.956912372</v>
      </c>
      <c r="O38" s="37" t="n">
        <f aca="false">IF($A38&gt;=Premissas!$C$27,Premissas!$C$39*IF(((YEAR($A38)-YEAR(Premissas!$C$27))*12+MONTH($A38)-MONTH(Premissas!$C$27))&lt;Premissas!$C$41,Premissas!$C$42,1),0)</f>
        <v>0.62</v>
      </c>
      <c r="P38" s="16" t="n">
        <f aca="false">O38*Premissas!$C$38*Premissas!$C$40*(1+Premissas!$C$60)^((YEAR($A38)-YEAR(Premissas!$C$19))*12+MONTH($A38)-MONTH(Premissas!$C$19))</f>
        <v>4765.21459529944</v>
      </c>
      <c r="Q38" s="16" t="n">
        <f aca="false">P38*Premissas!$C$43</f>
        <v>762.434335247911</v>
      </c>
      <c r="R38" s="16" t="n">
        <f aca="false">P38*Premissas!$C$44</f>
        <v>953.042919059889</v>
      </c>
      <c r="S38" s="16" t="n">
        <f aca="false">IF($A38&gt;=Premissas!$C$25,Premissas!$C$45*(1+Premissas!$C$60)^((YEAR($A38)-YEAR(Premissas!$C$19))*12+MONTH($A38)-MONTH(Premissas!$C$19)),0)</f>
        <v>835.416303523745</v>
      </c>
      <c r="T38" s="16" t="n">
        <f aca="false">IF($A38&gt;=Premissas!$C$27,Premissas!$C$46*(1+Premissas!$C$60)^((YEAR($A38)-YEAR(Premissas!$C$19))*12+MONTH($A38)-MONTH(Premissas!$C$19)),0)</f>
        <v>334.166521409498</v>
      </c>
      <c r="U38" s="16" t="n">
        <f aca="false">IF($A38&gt;=Premissas!$C$27,Premissas!$C$47*(1+Premissas!$C$60)^((YEAR($A38)-YEAR(Premissas!$C$19))*12+MONTH($A38)-MONTH(Premissas!$C$19)),0)</f>
        <v>167.083260704749</v>
      </c>
      <c r="V38" s="16" t="n">
        <f aca="false">IF($A38&gt;=Premissas!$C$27,MAX(0,P38-Q38-R38-S38)*Premissas!$C$49,0)</f>
        <v>608.938285303672</v>
      </c>
      <c r="W38" s="16" t="n">
        <f aca="false">P38-Q38-R38-S38-T38-U38-V38</f>
        <v>1104.13297004998</v>
      </c>
      <c r="X38" s="16" t="n">
        <f aca="false">W38-F38-G38-H38-M38</f>
        <v>-5394.33686814035</v>
      </c>
      <c r="Y38" s="16" t="n">
        <f aca="false">Y37+X38</f>
        <v>-278172.565703647</v>
      </c>
      <c r="Z38" s="16" t="n">
        <f aca="false">Premissas!$C$14*(1+Premissas!$C$57)^((YEAR(Premissas!$C$19)-YEAR(Premissas!$C$18))*12+MONTH(Premissas!$C$19)-MONTH(Premissas!$C$18))*(1+Premissas!$C$61)^((YEAR($A38)-YEAR(Premissas!$C$19))*12+MONTH($A38)-MONTH(Premissas!$C$19))</f>
        <v>546886.781263345</v>
      </c>
      <c r="AA38" s="16" t="n">
        <f aca="false">IF($A38&gt;=Premissas!$C$25,Z38*(1-Premissas!$C$53)-N38-Premissas!$C$54*MAX(0,Z38*(1-Premissas!$C$53)-(Premissas!$C$14*(1+Premissas!$C$57)^((YEAR(Premissas!$C$25)-YEAR(Premissas!$C$18))*12+MONTH(Premissas!$C$25)-MONTH(Premissas!$C$18))*(1+Premissas!$C$34))),"")</f>
        <v>172269.617475172</v>
      </c>
      <c r="AB38" s="16" t="n">
        <f aca="false">IF($A38&gt;=Premissas!$C$25,Y38+AA38,"")</f>
        <v>-105902.948228475</v>
      </c>
      <c r="AC38" s="20" t="str">
        <f aca="false">IF(AND($A38&gt;=Premissas!$C$27,W38&gt;=M38),$A38,"")</f>
        <v/>
      </c>
      <c r="AD38" s="20" t="str">
        <f aca="false">IF(AND($A38&gt;=Premissas!$C$27,Y38&gt;=0),$A38,"")</f>
        <v/>
      </c>
      <c r="AE38" s="20" t="str">
        <f aca="false">IF(AND($A38&gt;=Premissas!$C$25,N(AB38)&gt;=0),$A38,"")</f>
        <v/>
      </c>
    </row>
    <row r="39" customFormat="false" ht="15" hidden="false" customHeight="false" outlineLevel="0" collapsed="false">
      <c r="A39" s="20" t="n">
        <f aca="false">DATE(YEAR(A38),MONTH(A38)+1,1)</f>
        <v>47423</v>
      </c>
      <c r="B39" s="5" t="str">
        <f aca="false">IF($A39&lt;Premissas!$C$25,"Obra",IF($A39=Premissas!$C$25,"Chaves",IF($A39&lt;Premissas!$C$27,"Mobiliando","Airbnb")))</f>
        <v>Airbnb</v>
      </c>
      <c r="C39" s="35" t="n">
        <f aca="false">(YEAR($A39)-YEAR(Premissas!$C$18))*12+MONTH($A39)-MONTH(Premissas!$C$18)</f>
        <v>38</v>
      </c>
      <c r="D39" s="16" t="n">
        <f aca="false">($A39=Premissas!$C$19)*Premissas!$C$8+(($A39=EDATE(Premissas!$C$19,1))+($A39=EDATE(Premissas!$C$19,2)))*Premissas!$C$9+AND($A39&gt;=Premissas!$C$20,$A39&lt;EDATE(Premissas!$C$20,Premissas!$C$21))*Premissas!$C$10+(($A39=Premissas!$C$22)+($A39=Premissas!$C$23)+($A39=Premissas!$C$24))*Premissas!$C$11+($A39=Premissas!$C$25)*Premissas!$C$12</f>
        <v>0</v>
      </c>
      <c r="E39" s="36" t="n">
        <f aca="false">(1+Premissas!$C$57)^C39</f>
        <v>1.1847665630075</v>
      </c>
      <c r="F39" s="16" t="n">
        <f aca="false">D39*E39</f>
        <v>0</v>
      </c>
      <c r="G39" s="16" t="n">
        <f aca="false">($A39=Premissas!$C$25)*Premissas!$C$34*Premissas!$C$14*(1+Premissas!$C$57)^C39</f>
        <v>0</v>
      </c>
      <c r="H39" s="16" t="n">
        <f aca="false">IF(AND($A39&gt;Premissas!$C$25,$A39&lt;Premissas!$C$27),Premissas!$C$35/MAX(1,Premissas!$C$26),0)</f>
        <v>0</v>
      </c>
      <c r="I39" s="35" t="n">
        <f aca="false">IF(AND($A39&gt;Premissas!$C$25,((YEAR($A39)-YEAR(Premissas!$C$25))*12+MONTH($A39)-MONTH(Premissas!$C$25))&lt;=Premissas!$C$32),((YEAR($A39)-YEAR(Premissas!$C$25))*12+MONTH($A39)-MONTH(Premissas!$C$25)),0)</f>
        <v>15</v>
      </c>
      <c r="J39" s="16" t="n">
        <f aca="false">IF(I39&gt;0,N38*(1+Premissas!$C$59),0)</f>
        <v>342922.934123829</v>
      </c>
      <c r="K39" s="16" t="n">
        <f aca="false">J39*Premissas!$C$58</f>
        <v>3253.92471442068</v>
      </c>
      <c r="L39" s="16" t="n">
        <f aca="false">IF(I39&gt;0,J39/(Premissas!$C$32-I39+1),0)</f>
        <v>3235.12202003612</v>
      </c>
      <c r="M39" s="16" t="n">
        <f aca="false">K39+L39</f>
        <v>6489.0467344568</v>
      </c>
      <c r="N39" s="16" t="n">
        <f aca="false">IF($A39=Premissas!$C$25,Premissas!$C$13*E39,IF(I39&gt;0,J39-L39,0))</f>
        <v>339687.812103793</v>
      </c>
      <c r="O39" s="37" t="n">
        <f aca="false">IF($A39&gt;=Premissas!$C$27,Premissas!$C$39*IF(((YEAR($A39)-YEAR(Premissas!$C$27))*12+MONTH($A39)-MONTH(Premissas!$C$27))&lt;Premissas!$C$41,Premissas!$C$42,1),0)</f>
        <v>0.62</v>
      </c>
      <c r="P39" s="16" t="n">
        <f aca="false">O39*Premissas!$C$38*Premissas!$C$40*(1+Premissas!$C$60)^((YEAR($A39)-YEAR(Premissas!$C$19))*12+MONTH($A39)-MONTH(Premissas!$C$19))</f>
        <v>4780.81466789079</v>
      </c>
      <c r="Q39" s="16" t="n">
        <f aca="false">P39*Premissas!$C$43</f>
        <v>764.930346862526</v>
      </c>
      <c r="R39" s="16" t="n">
        <f aca="false">P39*Premissas!$C$44</f>
        <v>956.162933578158</v>
      </c>
      <c r="S39" s="16" t="n">
        <f aca="false">IF($A39&gt;=Premissas!$C$25,Premissas!$C$45*(1+Premissas!$C$60)^((YEAR($A39)-YEAR(Premissas!$C$19))*12+MONTH($A39)-MONTH(Premissas!$C$19)),0)</f>
        <v>838.151239111288</v>
      </c>
      <c r="T39" s="16" t="n">
        <f aca="false">IF($A39&gt;=Premissas!$C$27,Premissas!$C$46*(1+Premissas!$C$60)^((YEAR($A39)-YEAR(Premissas!$C$19))*12+MONTH($A39)-MONTH(Premissas!$C$19)),0)</f>
        <v>335.260495644515</v>
      </c>
      <c r="U39" s="16" t="n">
        <f aca="false">IF($A39&gt;=Premissas!$C$27,Premissas!$C$47*(1+Premissas!$C$60)^((YEAR($A39)-YEAR(Premissas!$C$19))*12+MONTH($A39)-MONTH(Premissas!$C$19)),0)</f>
        <v>167.630247822258</v>
      </c>
      <c r="V39" s="16" t="n">
        <f aca="false">IF($A39&gt;=Premissas!$C$27,MAX(0,P39-Q39-R39-S39)*Premissas!$C$49,0)</f>
        <v>610.931790793175</v>
      </c>
      <c r="W39" s="16" t="n">
        <f aca="false">P39-Q39-R39-S39-T39-U39-V39</f>
        <v>1107.74761407887</v>
      </c>
      <c r="X39" s="16" t="n">
        <f aca="false">W39-F39-G39-H39-M39</f>
        <v>-5381.29912037793</v>
      </c>
      <c r="Y39" s="16" t="n">
        <f aca="false">Y38+X39</f>
        <v>-283553.864824025</v>
      </c>
      <c r="Z39" s="16" t="n">
        <f aca="false">Premissas!$C$14*(1+Premissas!$C$57)^((YEAR(Premissas!$C$19)-YEAR(Premissas!$C$18))*12+MONTH(Premissas!$C$19)-MONTH(Premissas!$C$18))*(1+Premissas!$C$61)^((YEAR($A39)-YEAR(Premissas!$C$19))*12+MONTH($A39)-MONTH(Premissas!$C$19))</f>
        <v>549114.865705853</v>
      </c>
      <c r="AA39" s="16" t="n">
        <f aca="false">IF($A39&gt;=Premissas!$C$25,Z39*(1-Premissas!$C$53)-N39-Premissas!$C$54*MAX(0,Z39*(1-Premissas!$C$53)-(Premissas!$C$14*(1+Premissas!$C$57)^((YEAR(Premissas!$C$25)-YEAR(Premissas!$C$18))*12+MONTH(Premissas!$C$25)-MONTH(Premissas!$C$18))*(1+Premissas!$C$34))),"")</f>
        <v>176480.161659709</v>
      </c>
      <c r="AB39" s="16" t="n">
        <f aca="false">IF($A39&gt;=Premissas!$C$25,Y39+AA39,"")</f>
        <v>-107073.703164316</v>
      </c>
      <c r="AC39" s="20" t="str">
        <f aca="false">IF(AND($A39&gt;=Premissas!$C$27,W39&gt;=M39),$A39,"")</f>
        <v/>
      </c>
      <c r="AD39" s="20" t="str">
        <f aca="false">IF(AND($A39&gt;=Premissas!$C$27,Y39&gt;=0),$A39,"")</f>
        <v/>
      </c>
      <c r="AE39" s="20" t="str">
        <f aca="false">IF(AND($A39&gt;=Premissas!$C$25,N(AB39)&gt;=0),$A39,"")</f>
        <v/>
      </c>
    </row>
    <row r="40" customFormat="false" ht="15" hidden="false" customHeight="false" outlineLevel="0" collapsed="false">
      <c r="A40" s="20" t="n">
        <f aca="false">DATE(YEAR(A39),MONTH(A39)+1,1)</f>
        <v>47453</v>
      </c>
      <c r="B40" s="5" t="str">
        <f aca="false">IF($A40&lt;Premissas!$C$25,"Obra",IF($A40=Premissas!$C$25,"Chaves",IF($A40&lt;Premissas!$C$27,"Mobiliando","Airbnb")))</f>
        <v>Airbnb</v>
      </c>
      <c r="C40" s="35" t="n">
        <f aca="false">(YEAR($A40)-YEAR(Premissas!$C$18))*12+MONTH($A40)-MONTH(Premissas!$C$18)</f>
        <v>39</v>
      </c>
      <c r="D40" s="16" t="n">
        <f aca="false">($A40=Premissas!$C$19)*Premissas!$C$8+(($A40=EDATE(Premissas!$C$19,1))+($A40=EDATE(Premissas!$C$19,2)))*Premissas!$C$9+AND($A40&gt;=Premissas!$C$20,$A40&lt;EDATE(Premissas!$C$20,Premissas!$C$21))*Premissas!$C$10+(($A40=Premissas!$C$22)+($A40=Premissas!$C$23)+($A40=Premissas!$C$24))*Premissas!$C$11+($A40=Premissas!$C$25)*Premissas!$C$12</f>
        <v>0</v>
      </c>
      <c r="E40" s="36" t="n">
        <f aca="false">(1+Premissas!$C$57)^C40</f>
        <v>1.19006448236425</v>
      </c>
      <c r="F40" s="16" t="n">
        <f aca="false">D40*E40</f>
        <v>0</v>
      </c>
      <c r="G40" s="16" t="n">
        <f aca="false">($A40=Premissas!$C$25)*Premissas!$C$34*Premissas!$C$14*(1+Premissas!$C$57)^C40</f>
        <v>0</v>
      </c>
      <c r="H40" s="16" t="n">
        <f aca="false">IF(AND($A40&gt;Premissas!$C$25,$A40&lt;Premissas!$C$27),Premissas!$C$35/MAX(1,Premissas!$C$26),0)</f>
        <v>0</v>
      </c>
      <c r="I40" s="35" t="n">
        <f aca="false">IF(AND($A40&gt;Premissas!$C$25,((YEAR($A40)-YEAR(Premissas!$C$25))*12+MONTH($A40)-MONTH(Premissas!$C$25))&lt;=Premissas!$C$32),((YEAR($A40)-YEAR(Premissas!$C$25))*12+MONTH($A40)-MONTH(Premissas!$C$25)),0)</f>
        <v>16</v>
      </c>
      <c r="J40" s="16" t="n">
        <f aca="false">IF(I40&gt;0,N39*(1+Premissas!$C$59),0)</f>
        <v>340799.861607805</v>
      </c>
      <c r="K40" s="16" t="n">
        <f aca="false">J40*Premissas!$C$58</f>
        <v>3233.77931893102</v>
      </c>
      <c r="L40" s="16" t="n">
        <f aca="false">IF(I40&gt;0,J40/(Premissas!$C$32-I40+1),0)</f>
        <v>3245.71296769338</v>
      </c>
      <c r="M40" s="16" t="n">
        <f aca="false">K40+L40</f>
        <v>6479.4922866244</v>
      </c>
      <c r="N40" s="16" t="n">
        <f aca="false">IF($A40=Premissas!$C$25,Premissas!$C$13*E40,IF(I40&gt;0,J40-L40,0))</f>
        <v>337554.148640112</v>
      </c>
      <c r="O40" s="37" t="n">
        <f aca="false">IF($A40&gt;=Premissas!$C$27,Premissas!$C$39*IF(((YEAR($A40)-YEAR(Premissas!$C$27))*12+MONTH($A40)-MONTH(Premissas!$C$27))&lt;Premissas!$C$41,Premissas!$C$42,1),0)</f>
        <v>0.62</v>
      </c>
      <c r="P40" s="16" t="n">
        <f aca="false">O40*Premissas!$C$38*Premissas!$C$40*(1+Premissas!$C$60)^((YEAR($A40)-YEAR(Premissas!$C$19))*12+MONTH($A40)-MONTH(Premissas!$C$19))</f>
        <v>4796.46581106038</v>
      </c>
      <c r="Q40" s="16" t="n">
        <f aca="false">P40*Premissas!$C$43</f>
        <v>767.434529769661</v>
      </c>
      <c r="R40" s="16" t="n">
        <f aca="false">P40*Premissas!$C$44</f>
        <v>959.293162212077</v>
      </c>
      <c r="S40" s="16" t="n">
        <f aca="false">IF($A40&gt;=Premissas!$C$25,Premissas!$C$45*(1+Premissas!$C$60)^((YEAR($A40)-YEAR(Premissas!$C$19))*12+MONTH($A40)-MONTH(Premissas!$C$19)),0)</f>
        <v>840.895128166266</v>
      </c>
      <c r="T40" s="16" t="n">
        <f aca="false">IF($A40&gt;=Premissas!$C$27,Premissas!$C$46*(1+Premissas!$C$60)^((YEAR($A40)-YEAR(Premissas!$C$19))*12+MONTH($A40)-MONTH(Premissas!$C$19)),0)</f>
        <v>336.358051266507</v>
      </c>
      <c r="U40" s="16" t="n">
        <f aca="false">IF($A40&gt;=Premissas!$C$27,Premissas!$C$47*(1+Premissas!$C$60)^((YEAR($A40)-YEAR(Premissas!$C$19))*12+MONTH($A40)-MONTH(Premissas!$C$19)),0)</f>
        <v>168.179025633253</v>
      </c>
      <c r="V40" s="16" t="n">
        <f aca="false">IF($A40&gt;=Premissas!$C$27,MAX(0,P40-Q40-R40-S40)*Premissas!$C$49,0)</f>
        <v>612.931822500904</v>
      </c>
      <c r="W40" s="16" t="n">
        <f aca="false">P40-Q40-R40-S40-T40-U40-V40</f>
        <v>1111.37409151171</v>
      </c>
      <c r="X40" s="16" t="n">
        <f aca="false">W40-F40-G40-H40-M40</f>
        <v>-5368.11819511269</v>
      </c>
      <c r="Y40" s="16" t="n">
        <f aca="false">Y39+X40</f>
        <v>-288921.983019138</v>
      </c>
      <c r="Z40" s="16" t="n">
        <f aca="false">Premissas!$C$14*(1+Premissas!$C$57)^((YEAR(Premissas!$C$19)-YEAR(Premissas!$C$18))*12+MONTH(Premissas!$C$19)-MONTH(Premissas!$C$18))*(1+Premissas!$C$61)^((YEAR($A40)-YEAR(Premissas!$C$19))*12+MONTH($A40)-MONTH(Premissas!$C$19))</f>
        <v>551352.02764018</v>
      </c>
      <c r="AA40" s="16" t="n">
        <f aca="false">IF($A40&gt;=Premissas!$C$25,Z40*(1-Premissas!$C$53)-N40-Premissas!$C$54*MAX(0,Z40*(1-Premissas!$C$53)-(Premissas!$C$14*(1+Premissas!$C$57)^((YEAR(Premissas!$C$25)-YEAR(Premissas!$C$18))*12+MONTH(Premissas!$C$25)-MONTH(Premissas!$C$18))*(1+Premissas!$C$34))),"")</f>
        <v>180716.757341657</v>
      </c>
      <c r="AB40" s="16" t="n">
        <f aca="false">IF($A40&gt;=Premissas!$C$25,Y40+AA40,"")</f>
        <v>-108205.22567748</v>
      </c>
      <c r="AC40" s="20" t="str">
        <f aca="false">IF(AND($A40&gt;=Premissas!$C$27,W40&gt;=M40),$A40,"")</f>
        <v/>
      </c>
      <c r="AD40" s="20" t="str">
        <f aca="false">IF(AND($A40&gt;=Premissas!$C$27,Y40&gt;=0),$A40,"")</f>
        <v/>
      </c>
      <c r="AE40" s="20" t="str">
        <f aca="false">IF(AND($A40&gt;=Premissas!$C$25,N(AB40)&gt;=0),$A40,"")</f>
        <v/>
      </c>
    </row>
    <row r="41" customFormat="false" ht="15" hidden="false" customHeight="false" outlineLevel="0" collapsed="false">
      <c r="A41" s="29" t="n">
        <f aca="false">DATE(YEAR(A40),MONTH(A40)+1,1)</f>
        <v>47484</v>
      </c>
      <c r="B41" s="30" t="str">
        <f aca="false">IF($A41&lt;Premissas!$C$25,"Obra",IF($A41=Premissas!$C$25,"Chaves",IF($A41&lt;Premissas!$C$27,"Mobiliando","Airbnb")))</f>
        <v>Airbnb</v>
      </c>
      <c r="C41" s="31" t="n">
        <f aca="false">(YEAR($A41)-YEAR(Premissas!$C$18))*12+MONTH($A41)-MONTH(Premissas!$C$18)</f>
        <v>40</v>
      </c>
      <c r="D41" s="32" t="n">
        <f aca="false">($A41=Premissas!$C$19)*Premissas!$C$8+(($A41=EDATE(Premissas!$C$19,1))+($A41=EDATE(Premissas!$C$19,2)))*Premissas!$C$9+AND($A41&gt;=Premissas!$C$20,$A41&lt;EDATE(Premissas!$C$20,Premissas!$C$21))*Premissas!$C$10+(($A41=Premissas!$C$22)+($A41=Premissas!$C$23)+($A41=Premissas!$C$24))*Premissas!$C$11+($A41=Premissas!$C$25)*Premissas!$C$12</f>
        <v>0</v>
      </c>
      <c r="E41" s="33" t="n">
        <f aca="false">(1+Premissas!$C$57)^C41</f>
        <v>1.19538609242125</v>
      </c>
      <c r="F41" s="32" t="n">
        <f aca="false">D41*E41</f>
        <v>0</v>
      </c>
      <c r="G41" s="32" t="n">
        <f aca="false">($A41=Premissas!$C$25)*Premissas!$C$34*Premissas!$C$14*(1+Premissas!$C$57)^C41</f>
        <v>0</v>
      </c>
      <c r="H41" s="32" t="n">
        <f aca="false">IF(AND($A41&gt;Premissas!$C$25,$A41&lt;Premissas!$C$27),Premissas!$C$35/MAX(1,Premissas!$C$26),0)</f>
        <v>0</v>
      </c>
      <c r="I41" s="31" t="n">
        <f aca="false">IF(AND($A41&gt;Premissas!$C$25,((YEAR($A41)-YEAR(Premissas!$C$25))*12+MONTH($A41)-MONTH(Premissas!$C$25))&lt;=Premissas!$C$32),((YEAR($A41)-YEAR(Premissas!$C$25))*12+MONTH($A41)-MONTH(Premissas!$C$25)),0)</f>
        <v>17</v>
      </c>
      <c r="J41" s="32" t="n">
        <f aca="false">IF(I41&gt;0,N40*(1+Premissas!$C$59),0)</f>
        <v>338659.213085161</v>
      </c>
      <c r="K41" s="32" t="n">
        <f aca="false">J41*Premissas!$C$58</f>
        <v>3213.46714835393</v>
      </c>
      <c r="L41" s="32" t="n">
        <f aca="false">IF(I41&gt;0,J41/(Premissas!$C$32-I41+1),0)</f>
        <v>3256.33858735732</v>
      </c>
      <c r="M41" s="32" t="n">
        <f aca="false">K41+L41</f>
        <v>6469.80573571125</v>
      </c>
      <c r="N41" s="32" t="n">
        <f aca="false">IF($A41=Premissas!$C$25,Premissas!$C$13*E41,IF(I41&gt;0,J41-L41,0))</f>
        <v>335402.874497804</v>
      </c>
      <c r="O41" s="34" t="n">
        <f aca="false">IF($A41&gt;=Premissas!$C$27,Premissas!$C$39*IF(((YEAR($A41)-YEAR(Premissas!$C$27))*12+MONTH($A41)-MONTH(Premissas!$C$27))&lt;Premissas!$C$41,Premissas!$C$42,1),0)</f>
        <v>0.62</v>
      </c>
      <c r="P41" s="32" t="n">
        <f aca="false">O41*Premissas!$C$38*Premissas!$C$40*(1+Premissas!$C$60)^((YEAR($A41)-YEAR(Premissas!$C$19))*12+MONTH($A41)-MONTH(Premissas!$C$19))</f>
        <v>4812.16819200001</v>
      </c>
      <c r="Q41" s="32" t="n">
        <f aca="false">P41*Premissas!$C$43</f>
        <v>769.946910720002</v>
      </c>
      <c r="R41" s="32" t="n">
        <f aca="false">P41*Premissas!$C$44</f>
        <v>962.433638400002</v>
      </c>
      <c r="S41" s="32" t="n">
        <f aca="false">IF($A41&gt;=Premissas!$C$25,Premissas!$C$45*(1+Premissas!$C$60)^((YEAR($A41)-YEAR(Premissas!$C$19))*12+MONTH($A41)-MONTH(Premissas!$C$19)),0)</f>
        <v>843.648000000002</v>
      </c>
      <c r="T41" s="32" t="n">
        <f aca="false">IF($A41&gt;=Premissas!$C$27,Premissas!$C$46*(1+Premissas!$C$60)^((YEAR($A41)-YEAR(Premissas!$C$19))*12+MONTH($A41)-MONTH(Premissas!$C$19)),0)</f>
        <v>337.459200000001</v>
      </c>
      <c r="U41" s="32" t="n">
        <f aca="false">IF($A41&gt;=Premissas!$C$27,Premissas!$C$47*(1+Premissas!$C$60)^((YEAR($A41)-YEAR(Premissas!$C$19))*12+MONTH($A41)-MONTH(Premissas!$C$19)),0)</f>
        <v>168.7296</v>
      </c>
      <c r="V41" s="32" t="n">
        <f aca="false">IF($A41&gt;=Premissas!$C$27,MAX(0,P41-Q41-R41-S41)*Premissas!$C$49,0)</f>
        <v>614.938401792001</v>
      </c>
      <c r="W41" s="32" t="n">
        <f aca="false">P41-Q41-R41-S41-T41-U41-V41</f>
        <v>1115.012441088</v>
      </c>
      <c r="X41" s="32" t="n">
        <f aca="false">W41-F41-G41-H41-M41</f>
        <v>-5354.79329462325</v>
      </c>
      <c r="Y41" s="32" t="n">
        <f aca="false">Y40+X41</f>
        <v>-294276.776313761</v>
      </c>
      <c r="Z41" s="32" t="n">
        <f aca="false">Premissas!$C$14*(1+Premissas!$C$57)^((YEAR(Premissas!$C$19)-YEAR(Premissas!$C$18))*12+MONTH(Premissas!$C$19)-MONTH(Premissas!$C$18))*(1+Premissas!$C$61)^((YEAR($A41)-YEAR(Premissas!$C$19))*12+MONTH($A41)-MONTH(Premissas!$C$19))</f>
        <v>553598.304049151</v>
      </c>
      <c r="AA41" s="32" t="n">
        <f aca="false">IF($A41&gt;=Premissas!$C$25,Z41*(1-Premissas!$C$53)-N41-Premissas!$C$54*MAX(0,Z41*(1-Premissas!$C$53)-(Premissas!$C$14*(1+Premissas!$C$57)^((YEAR(Premissas!$C$25)-YEAR(Premissas!$C$18))*12+MONTH(Premissas!$C$25)-MONTH(Premissas!$C$18))*(1+Premissas!$C$34))),"")</f>
        <v>184979.531308398</v>
      </c>
      <c r="AB41" s="32" t="n">
        <f aca="false">IF($A41&gt;=Premissas!$C$25,Y41+AA41,"")</f>
        <v>-109297.245005363</v>
      </c>
      <c r="AC41" s="29" t="str">
        <f aca="false">IF(AND($A41&gt;=Premissas!$C$27,W41&gt;=M41),$A41,"")</f>
        <v/>
      </c>
      <c r="AD41" s="29" t="str">
        <f aca="false">IF(AND($A41&gt;=Premissas!$C$27,Y41&gt;=0),$A41,"")</f>
        <v/>
      </c>
      <c r="AE41" s="29" t="str">
        <f aca="false">IF(AND($A41&gt;=Premissas!$C$25,N(AB41)&gt;=0),$A41,"")</f>
        <v/>
      </c>
    </row>
    <row r="42" customFormat="false" ht="15" hidden="false" customHeight="false" outlineLevel="0" collapsed="false">
      <c r="A42" s="20" t="n">
        <f aca="false">DATE(YEAR(A41),MONTH(A41)+1,1)</f>
        <v>47515</v>
      </c>
      <c r="B42" s="5" t="str">
        <f aca="false">IF($A42&lt;Premissas!$C$25,"Obra",IF($A42=Premissas!$C$25,"Chaves",IF($A42&lt;Premissas!$C$27,"Mobiliando","Airbnb")))</f>
        <v>Airbnb</v>
      </c>
      <c r="C42" s="35" t="n">
        <f aca="false">(YEAR($A42)-YEAR(Premissas!$C$18))*12+MONTH($A42)-MONTH(Premissas!$C$18)</f>
        <v>41</v>
      </c>
      <c r="D42" s="16" t="n">
        <f aca="false">($A42=Premissas!$C$19)*Premissas!$C$8+(($A42=EDATE(Premissas!$C$19,1))+($A42=EDATE(Premissas!$C$19,2)))*Premissas!$C$9+AND($A42&gt;=Premissas!$C$20,$A42&lt;EDATE(Premissas!$C$20,Premissas!$C$21))*Premissas!$C$10+(($A42=Premissas!$C$22)+($A42=Premissas!$C$23)+($A42=Premissas!$C$24))*Premissas!$C$11+($A42=Premissas!$C$25)*Premissas!$C$12</f>
        <v>0</v>
      </c>
      <c r="E42" s="36" t="n">
        <f aca="false">(1+Premissas!$C$57)^C42</f>
        <v>1.20073149911618</v>
      </c>
      <c r="F42" s="16" t="n">
        <f aca="false">D42*E42</f>
        <v>0</v>
      </c>
      <c r="G42" s="16" t="n">
        <f aca="false">($A42=Premissas!$C$25)*Premissas!$C$34*Premissas!$C$14*(1+Premissas!$C$57)^C42</f>
        <v>0</v>
      </c>
      <c r="H42" s="16" t="n">
        <f aca="false">IF(AND($A42&gt;Premissas!$C$25,$A42&lt;Premissas!$C$27),Premissas!$C$35/MAX(1,Premissas!$C$26),0)</f>
        <v>0</v>
      </c>
      <c r="I42" s="35" t="n">
        <f aca="false">IF(AND($A42&gt;Premissas!$C$25,((YEAR($A42)-YEAR(Premissas!$C$25))*12+MONTH($A42)-MONTH(Premissas!$C$25))&lt;=Premissas!$C$32),((YEAR($A42)-YEAR(Premissas!$C$25))*12+MONTH($A42)-MONTH(Premissas!$C$25)),0)</f>
        <v>18</v>
      </c>
      <c r="J42" s="16" t="n">
        <f aca="false">IF(I42&gt;0,N41*(1+Premissas!$C$59),0)</f>
        <v>336500.896231111</v>
      </c>
      <c r="K42" s="16" t="n">
        <f aca="false">J42*Premissas!$C$58</f>
        <v>3192.98732663863</v>
      </c>
      <c r="L42" s="16" t="n">
        <f aca="false">IF(I42&gt;0,J42/(Premissas!$C$32-I42+1),0)</f>
        <v>3266.99899253506</v>
      </c>
      <c r="M42" s="16" t="n">
        <f aca="false">K42+L42</f>
        <v>6459.98631917369</v>
      </c>
      <c r="N42" s="16" t="n">
        <f aca="false">IF($A42=Premissas!$C$25,Premissas!$C$13*E42,IF(I42&gt;0,J42-L42,0))</f>
        <v>333233.897238576</v>
      </c>
      <c r="O42" s="37" t="n">
        <f aca="false">IF($A42&gt;=Premissas!$C$27,Premissas!$C$39*IF(((YEAR($A42)-YEAR(Premissas!$C$27))*12+MONTH($A42)-MONTH(Premissas!$C$27))&lt;Premissas!$C$41,Premissas!$C$42,1),0)</f>
        <v>0.62</v>
      </c>
      <c r="P42" s="16" t="n">
        <f aca="false">O42*Premissas!$C$38*Premissas!$C$40*(1+Premissas!$C$60)^((YEAR($A42)-YEAR(Premissas!$C$19))*12+MONTH($A42)-MONTH(Premissas!$C$19))</f>
        <v>4827.92197844879</v>
      </c>
      <c r="Q42" s="16" t="n">
        <f aca="false">P42*Premissas!$C$43</f>
        <v>772.467516551807</v>
      </c>
      <c r="R42" s="16" t="n">
        <f aca="false">P42*Premissas!$C$44</f>
        <v>965.584395689758</v>
      </c>
      <c r="S42" s="16" t="n">
        <f aca="false">IF($A42&gt;=Premissas!$C$25,Premissas!$C$45*(1+Premissas!$C$60)^((YEAR($A42)-YEAR(Premissas!$C$19))*12+MONTH($A42)-MONTH(Premissas!$C$19)),0)</f>
        <v>846.409884019774</v>
      </c>
      <c r="T42" s="16" t="n">
        <f aca="false">IF($A42&gt;=Premissas!$C$27,Premissas!$C$46*(1+Premissas!$C$60)^((YEAR($A42)-YEAR(Premissas!$C$19))*12+MONTH($A42)-MONTH(Premissas!$C$19)),0)</f>
        <v>338.56395360791</v>
      </c>
      <c r="U42" s="16" t="n">
        <f aca="false">IF($A42&gt;=Premissas!$C$27,Premissas!$C$47*(1+Premissas!$C$60)^((YEAR($A42)-YEAR(Premissas!$C$19))*12+MONTH($A42)-MONTH(Premissas!$C$19)),0)</f>
        <v>169.281976803955</v>
      </c>
      <c r="V42" s="16" t="n">
        <f aca="false">IF($A42&gt;=Premissas!$C$27,MAX(0,P42-Q42-R42-S42)*Premissas!$C$49,0)</f>
        <v>616.95155010155</v>
      </c>
      <c r="W42" s="16" t="n">
        <f aca="false">P42-Q42-R42-S42-T42-U42-V42</f>
        <v>1118.66270167404</v>
      </c>
      <c r="X42" s="16" t="n">
        <f aca="false">W42-F42-G42-H42-M42</f>
        <v>-5341.32361749965</v>
      </c>
      <c r="Y42" s="16" t="n">
        <f aca="false">Y41+X42</f>
        <v>-299618.099931261</v>
      </c>
      <c r="Z42" s="16" t="n">
        <f aca="false">Premissas!$C$14*(1+Premissas!$C$57)^((YEAR(Premissas!$C$19)-YEAR(Premissas!$C$18))*12+MONTH(Premissas!$C$19)-MONTH(Premissas!$C$18))*(1+Premissas!$C$61)^((YEAR($A42)-YEAR(Premissas!$C$19))*12+MONTH($A42)-MONTH(Premissas!$C$19))</f>
        <v>555853.732066266</v>
      </c>
      <c r="AA42" s="16" t="n">
        <f aca="false">IF($A42&gt;=Premissas!$C$25,Z42*(1-Premissas!$C$53)-N42-Premissas!$C$54*MAX(0,Z42*(1-Premissas!$C$53)-(Premissas!$C$14*(1+Premissas!$C$57)^((YEAR(Premissas!$C$25)-YEAR(Premissas!$C$18))*12+MONTH(Premissas!$C$25)-MONTH(Premissas!$C$18))*(1+Premissas!$C$34))),"")</f>
        <v>189268.610903713</v>
      </c>
      <c r="AB42" s="16" t="n">
        <f aca="false">IF($A42&gt;=Premissas!$C$25,Y42+AA42,"")</f>
        <v>-110349.489027547</v>
      </c>
      <c r="AC42" s="20" t="str">
        <f aca="false">IF(AND($A42&gt;=Premissas!$C$27,W42&gt;=M42),$A42,"")</f>
        <v/>
      </c>
      <c r="AD42" s="20" t="str">
        <f aca="false">IF(AND($A42&gt;=Premissas!$C$27,Y42&gt;=0),$A42,"")</f>
        <v/>
      </c>
      <c r="AE42" s="20" t="str">
        <f aca="false">IF(AND($A42&gt;=Premissas!$C$25,N(AB42)&gt;=0),$A42,"")</f>
        <v/>
      </c>
    </row>
    <row r="43" customFormat="false" ht="15" hidden="false" customHeight="false" outlineLevel="0" collapsed="false">
      <c r="A43" s="20" t="n">
        <f aca="false">DATE(YEAR(A42),MONTH(A42)+1,1)</f>
        <v>47543</v>
      </c>
      <c r="B43" s="5" t="str">
        <f aca="false">IF($A43&lt;Premissas!$C$25,"Obra",IF($A43=Premissas!$C$25,"Chaves",IF($A43&lt;Premissas!$C$27,"Mobiliando","Airbnb")))</f>
        <v>Airbnb</v>
      </c>
      <c r="C43" s="35" t="n">
        <f aca="false">(YEAR($A43)-YEAR(Premissas!$C$18))*12+MONTH($A43)-MONTH(Premissas!$C$18)</f>
        <v>42</v>
      </c>
      <c r="D43" s="16" t="n">
        <f aca="false">($A43=Premissas!$C$19)*Premissas!$C$8+(($A43=EDATE(Premissas!$C$19,1))+($A43=EDATE(Premissas!$C$19,2)))*Premissas!$C$9+AND($A43&gt;=Premissas!$C$20,$A43&lt;EDATE(Premissas!$C$20,Premissas!$C$21))*Premissas!$C$10+(($A43=Premissas!$C$22)+($A43=Premissas!$C$23)+($A43=Premissas!$C$24))*Premissas!$C$11+($A43=Premissas!$C$25)*Premissas!$C$12</f>
        <v>0</v>
      </c>
      <c r="E43" s="36" t="n">
        <f aca="false">(1+Premissas!$C$57)^C43</f>
        <v>1.20610080886044</v>
      </c>
      <c r="F43" s="16" t="n">
        <f aca="false">D43*E43</f>
        <v>0</v>
      </c>
      <c r="G43" s="16" t="n">
        <f aca="false">($A43=Premissas!$C$25)*Premissas!$C$34*Premissas!$C$14*(1+Premissas!$C$57)^C43</f>
        <v>0</v>
      </c>
      <c r="H43" s="16" t="n">
        <f aca="false">IF(AND($A43&gt;Premissas!$C$25,$A43&lt;Premissas!$C$27),Premissas!$C$35/MAX(1,Premissas!$C$26),0)</f>
        <v>0</v>
      </c>
      <c r="I43" s="35" t="n">
        <f aca="false">IF(AND($A43&gt;Premissas!$C$25,((YEAR($A43)-YEAR(Premissas!$C$25))*12+MONTH($A43)-MONTH(Premissas!$C$25))&lt;=Premissas!$C$32),((YEAR($A43)-YEAR(Premissas!$C$25))*12+MONTH($A43)-MONTH(Premissas!$C$25)),0)</f>
        <v>19</v>
      </c>
      <c r="J43" s="16" t="n">
        <f aca="false">IF(I43&gt;0,N42*(1+Premissas!$C$59),0)</f>
        <v>334324.818304743</v>
      </c>
      <c r="K43" s="16" t="n">
        <f aca="false">J43*Premissas!$C$58</f>
        <v>3172.33897378581</v>
      </c>
      <c r="L43" s="16" t="n">
        <f aca="false">IF(I43&gt;0,J43/(Premissas!$C$32-I43+1),0)</f>
        <v>3277.69429710533</v>
      </c>
      <c r="M43" s="16" t="n">
        <f aca="false">K43+L43</f>
        <v>6450.03327089114</v>
      </c>
      <c r="N43" s="16" t="n">
        <f aca="false">IF($A43=Premissas!$C$25,Premissas!$C$13*E43,IF(I43&gt;0,J43-L43,0))</f>
        <v>331047.124007638</v>
      </c>
      <c r="O43" s="37" t="n">
        <f aca="false">IF($A43&gt;=Premissas!$C$27,Premissas!$C$39*IF(((YEAR($A43)-YEAR(Premissas!$C$27))*12+MONTH($A43)-MONTH(Premissas!$C$27))&lt;Premissas!$C$41,Premissas!$C$42,1),0)</f>
        <v>0.62</v>
      </c>
      <c r="P43" s="16" t="n">
        <f aca="false">O43*Premissas!$C$38*Premissas!$C$40*(1+Premissas!$C$60)^((YEAR($A43)-YEAR(Premissas!$C$19))*12+MONTH($A43)-MONTH(Premissas!$C$19))</f>
        <v>4843.72733869499</v>
      </c>
      <c r="Q43" s="16" t="n">
        <f aca="false">P43*Premissas!$C$43</f>
        <v>774.996374191199</v>
      </c>
      <c r="R43" s="16" t="n">
        <f aca="false">P43*Premissas!$C$44</f>
        <v>968.745467738998</v>
      </c>
      <c r="S43" s="16" t="n">
        <f aca="false">IF($A43&gt;=Premissas!$C$25,Premissas!$C$45*(1+Premissas!$C$60)^((YEAR($A43)-YEAR(Premissas!$C$19))*12+MONTH($A43)-MONTH(Premissas!$C$19)),0)</f>
        <v>849.180809729136</v>
      </c>
      <c r="T43" s="16" t="n">
        <f aca="false">IF($A43&gt;=Premissas!$C$27,Premissas!$C$46*(1+Premissas!$C$60)^((YEAR($A43)-YEAR(Premissas!$C$19))*12+MONTH($A43)-MONTH(Premissas!$C$19)),0)</f>
        <v>339.672323891654</v>
      </c>
      <c r="U43" s="16" t="n">
        <f aca="false">IF($A43&gt;=Premissas!$C$27,Premissas!$C$47*(1+Premissas!$C$60)^((YEAR($A43)-YEAR(Premissas!$C$19))*12+MONTH($A43)-MONTH(Premissas!$C$19)),0)</f>
        <v>169.836161945827</v>
      </c>
      <c r="V43" s="16" t="n">
        <f aca="false">IF($A43&gt;=Premissas!$C$27,MAX(0,P43-Q43-R43-S43)*Premissas!$C$49,0)</f>
        <v>618.971288934806</v>
      </c>
      <c r="W43" s="16" t="n">
        <f aca="false">P43-Q43-R43-S43-T43-U43-V43</f>
        <v>1122.32491226337</v>
      </c>
      <c r="X43" s="16" t="n">
        <f aca="false">W43-F43-G43-H43-M43</f>
        <v>-5327.70835862776</v>
      </c>
      <c r="Y43" s="16" t="n">
        <f aca="false">Y42+X43</f>
        <v>-304945.808289888</v>
      </c>
      <c r="Z43" s="16" t="n">
        <f aca="false">Premissas!$C$14*(1+Premissas!$C$57)^((YEAR(Premissas!$C$19)-YEAR(Premissas!$C$18))*12+MONTH(Premissas!$C$19)-MONTH(Premissas!$C$18))*(1+Premissas!$C$61)^((YEAR($A43)-YEAR(Premissas!$C$19))*12+MONTH($A43)-MONTH(Premissas!$C$19))</f>
        <v>558118.348976306</v>
      </c>
      <c r="AA43" s="16" t="n">
        <f aca="false">IF($A43&gt;=Premissas!$C$25,Z43*(1-Premissas!$C$53)-N43-Premissas!$C$54*MAX(0,Z43*(1-Premissas!$C$53)-(Premissas!$C$14*(1+Premissas!$C$57)^((YEAR(Premissas!$C$25)-YEAR(Premissas!$C$18))*12+MONTH(Premissas!$C$25)-MONTH(Premissas!$C$18))*(1+Premissas!$C$34))),"")</f>
        <v>193584.12403009</v>
      </c>
      <c r="AB43" s="16" t="n">
        <f aca="false">IF($A43&gt;=Premissas!$C$25,Y43+AA43,"")</f>
        <v>-111361.684259798</v>
      </c>
      <c r="AC43" s="20" t="str">
        <f aca="false">IF(AND($A43&gt;=Premissas!$C$27,W43&gt;=M43),$A43,"")</f>
        <v/>
      </c>
      <c r="AD43" s="20" t="str">
        <f aca="false">IF(AND($A43&gt;=Premissas!$C$27,Y43&gt;=0),$A43,"")</f>
        <v/>
      </c>
      <c r="AE43" s="20" t="str">
        <f aca="false">IF(AND($A43&gt;=Premissas!$C$25,N(AB43)&gt;=0),$A43,"")</f>
        <v/>
      </c>
    </row>
    <row r="44" customFormat="false" ht="15" hidden="false" customHeight="false" outlineLevel="0" collapsed="false">
      <c r="A44" s="20" t="n">
        <f aca="false">DATE(YEAR(A43),MONTH(A43)+1,1)</f>
        <v>47574</v>
      </c>
      <c r="B44" s="5" t="str">
        <f aca="false">IF($A44&lt;Premissas!$C$25,"Obra",IF($A44=Premissas!$C$25,"Chaves",IF($A44&lt;Premissas!$C$27,"Mobiliando","Airbnb")))</f>
        <v>Airbnb</v>
      </c>
      <c r="C44" s="35" t="n">
        <f aca="false">(YEAR($A44)-YEAR(Premissas!$C$18))*12+MONTH($A44)-MONTH(Premissas!$C$18)</f>
        <v>43</v>
      </c>
      <c r="D44" s="16" t="n">
        <f aca="false">($A44=Premissas!$C$19)*Premissas!$C$8+(($A44=EDATE(Premissas!$C$19,1))+($A44=EDATE(Premissas!$C$19,2)))*Premissas!$C$9+AND($A44&gt;=Premissas!$C$20,$A44&lt;EDATE(Premissas!$C$20,Premissas!$C$21))*Premissas!$C$10+(($A44=Premissas!$C$22)+($A44=Premissas!$C$23)+($A44=Premissas!$C$24))*Premissas!$C$11+($A44=Premissas!$C$25)*Premissas!$C$12</f>
        <v>0</v>
      </c>
      <c r="E44" s="36" t="n">
        <f aca="false">(1+Premissas!$C$57)^C44</f>
        <v>1.21149412854126</v>
      </c>
      <c r="F44" s="16" t="n">
        <f aca="false">D44*E44</f>
        <v>0</v>
      </c>
      <c r="G44" s="16" t="n">
        <f aca="false">($A44=Premissas!$C$25)*Premissas!$C$34*Premissas!$C$14*(1+Premissas!$C$57)^C44</f>
        <v>0</v>
      </c>
      <c r="H44" s="16" t="n">
        <f aca="false">IF(AND($A44&gt;Premissas!$C$25,$A44&lt;Premissas!$C$27),Premissas!$C$35/MAX(1,Premissas!$C$26),0)</f>
        <v>0</v>
      </c>
      <c r="I44" s="35" t="n">
        <f aca="false">IF(AND($A44&gt;Premissas!$C$25,((YEAR($A44)-YEAR(Premissas!$C$25))*12+MONTH($A44)-MONTH(Premissas!$C$25))&lt;=Premissas!$C$32),((YEAR($A44)-YEAR(Premissas!$C$25))*12+MONTH($A44)-MONTH(Premissas!$C$25)),0)</f>
        <v>20</v>
      </c>
      <c r="J44" s="16" t="n">
        <f aca="false">IF(I44&gt;0,N43*(1+Premissas!$C$59),0)</f>
        <v>332130.886147284</v>
      </c>
      <c r="K44" s="16" t="n">
        <f aca="false">J44*Premissas!$C$58</f>
        <v>3151.52120583116</v>
      </c>
      <c r="L44" s="16" t="n">
        <f aca="false">IF(I44&gt;0,J44/(Premissas!$C$32-I44+1),0)</f>
        <v>3288.42461531965</v>
      </c>
      <c r="M44" s="16" t="n">
        <f aca="false">K44+L44</f>
        <v>6439.9458211508</v>
      </c>
      <c r="N44" s="16" t="n">
        <f aca="false">IF($A44=Premissas!$C$25,Premissas!$C$13*E44,IF(I44&gt;0,J44-L44,0))</f>
        <v>328842.461531965</v>
      </c>
      <c r="O44" s="37" t="n">
        <f aca="false">IF($A44&gt;=Premissas!$C$27,Premissas!$C$39*IF(((YEAR($A44)-YEAR(Premissas!$C$27))*12+MONTH($A44)-MONTH(Premissas!$C$27))&lt;Premissas!$C$41,Premissas!$C$42,1),0)</f>
        <v>0.62</v>
      </c>
      <c r="P44" s="16" t="n">
        <f aca="false">O44*Premissas!$C$38*Premissas!$C$40*(1+Premissas!$C$60)^((YEAR($A44)-YEAR(Premissas!$C$19))*12+MONTH($A44)-MONTH(Premissas!$C$19))</f>
        <v>4859.5844415778</v>
      </c>
      <c r="Q44" s="16" t="n">
        <f aca="false">P44*Premissas!$C$43</f>
        <v>777.533510652448</v>
      </c>
      <c r="R44" s="16" t="n">
        <f aca="false">P44*Premissas!$C$44</f>
        <v>971.91688831556</v>
      </c>
      <c r="S44" s="16" t="n">
        <f aca="false">IF($A44&gt;=Premissas!$C$25,Premissas!$C$45*(1+Premissas!$C$60)^((YEAR($A44)-YEAR(Premissas!$C$19))*12+MONTH($A44)-MONTH(Premissas!$C$19)),0)</f>
        <v>851.960806728226</v>
      </c>
      <c r="T44" s="16" t="n">
        <f aca="false">IF($A44&gt;=Premissas!$C$27,Premissas!$C$46*(1+Premissas!$C$60)^((YEAR($A44)-YEAR(Premissas!$C$19))*12+MONTH($A44)-MONTH(Premissas!$C$19)),0)</f>
        <v>340.78432269129</v>
      </c>
      <c r="U44" s="16" t="n">
        <f aca="false">IF($A44&gt;=Premissas!$C$27,Premissas!$C$47*(1+Premissas!$C$60)^((YEAR($A44)-YEAR(Premissas!$C$19))*12+MONTH($A44)-MONTH(Premissas!$C$19)),0)</f>
        <v>170.392161345645</v>
      </c>
      <c r="V44" s="16" t="n">
        <f aca="false">IF($A44&gt;=Premissas!$C$27,MAX(0,P44-Q44-R44-S44)*Premissas!$C$49,0)</f>
        <v>620.997639867431</v>
      </c>
      <c r="W44" s="16" t="n">
        <f aca="false">P44-Q44-R44-S44-T44-U44-V44</f>
        <v>1125.9991119772</v>
      </c>
      <c r="X44" s="16" t="n">
        <f aca="false">W44-F44-G44-H44-M44</f>
        <v>-5313.9467091736</v>
      </c>
      <c r="Y44" s="16" t="n">
        <f aca="false">Y43+X44</f>
        <v>-310259.754999062</v>
      </c>
      <c r="Z44" s="16" t="n">
        <f aca="false">Premissas!$C$14*(1+Premissas!$C$57)^((YEAR(Premissas!$C$19)-YEAR(Premissas!$C$18))*12+MONTH(Premissas!$C$19)-MONTH(Premissas!$C$18))*(1+Premissas!$C$61)^((YEAR($A44)-YEAR(Premissas!$C$19))*12+MONTH($A44)-MONTH(Premissas!$C$19))</f>
        <v>560392.192215961</v>
      </c>
      <c r="AA44" s="16" t="n">
        <f aca="false">IF($A44&gt;=Premissas!$C$25,Z44*(1-Premissas!$C$53)-N44-Premissas!$C$54*MAX(0,Z44*(1-Premissas!$C$53)-(Premissas!$C$14*(1+Premissas!$C$57)^((YEAR(Premissas!$C$25)-YEAR(Premissas!$C$18))*12+MONTH(Premissas!$C$25)-MONTH(Premissas!$C$18))*(1+Premissas!$C$34))),"")</f>
        <v>197926.199151039</v>
      </c>
      <c r="AB44" s="16" t="n">
        <f aca="false">IF($A44&gt;=Premissas!$C$25,Y44+AA44,"")</f>
        <v>-112333.555848023</v>
      </c>
      <c r="AC44" s="20" t="str">
        <f aca="false">IF(AND($A44&gt;=Premissas!$C$27,W44&gt;=M44),$A44,"")</f>
        <v/>
      </c>
      <c r="AD44" s="20" t="str">
        <f aca="false">IF(AND($A44&gt;=Premissas!$C$27,Y44&gt;=0),$A44,"")</f>
        <v/>
      </c>
      <c r="AE44" s="20" t="str">
        <f aca="false">IF(AND($A44&gt;=Premissas!$C$25,N(AB44)&gt;=0),$A44,"")</f>
        <v/>
      </c>
    </row>
    <row r="45" customFormat="false" ht="15" hidden="false" customHeight="false" outlineLevel="0" collapsed="false">
      <c r="A45" s="20" t="n">
        <f aca="false">DATE(YEAR(A44),MONTH(A44)+1,1)</f>
        <v>47604</v>
      </c>
      <c r="B45" s="5" t="str">
        <f aca="false">IF($A45&lt;Premissas!$C$25,"Obra",IF($A45=Premissas!$C$25,"Chaves",IF($A45&lt;Premissas!$C$27,"Mobiliando","Airbnb")))</f>
        <v>Airbnb</v>
      </c>
      <c r="C45" s="35" t="n">
        <f aca="false">(YEAR($A45)-YEAR(Premissas!$C$18))*12+MONTH($A45)-MONTH(Premissas!$C$18)</f>
        <v>44</v>
      </c>
      <c r="D45" s="16" t="n">
        <f aca="false">($A45=Premissas!$C$19)*Premissas!$C$8+(($A45=EDATE(Premissas!$C$19,1))+($A45=EDATE(Premissas!$C$19,2)))*Premissas!$C$9+AND($A45&gt;=Premissas!$C$20,$A45&lt;EDATE(Premissas!$C$20,Premissas!$C$21))*Premissas!$C$10+(($A45=Premissas!$C$22)+($A45=Premissas!$C$23)+($A45=Premissas!$C$24))*Premissas!$C$11+($A45=Premissas!$C$25)*Premissas!$C$12</f>
        <v>0</v>
      </c>
      <c r="E45" s="36" t="n">
        <f aca="false">(1+Premissas!$C$57)^C45</f>
        <v>1.21691156552386</v>
      </c>
      <c r="F45" s="16" t="n">
        <f aca="false">D45*E45</f>
        <v>0</v>
      </c>
      <c r="G45" s="16" t="n">
        <f aca="false">($A45=Premissas!$C$25)*Premissas!$C$34*Premissas!$C$14*(1+Premissas!$C$57)^C45</f>
        <v>0</v>
      </c>
      <c r="H45" s="16" t="n">
        <f aca="false">IF(AND($A45&gt;Premissas!$C$25,$A45&lt;Premissas!$C$27),Premissas!$C$35/MAX(1,Premissas!$C$26),0)</f>
        <v>0</v>
      </c>
      <c r="I45" s="35" t="n">
        <f aca="false">IF(AND($A45&gt;Premissas!$C$25,((YEAR($A45)-YEAR(Premissas!$C$25))*12+MONTH($A45)-MONTH(Premissas!$C$25))&lt;=Premissas!$C$32),((YEAR($A45)-YEAR(Premissas!$C$25))*12+MONTH($A45)-MONTH(Premissas!$C$25)),0)</f>
        <v>21</v>
      </c>
      <c r="J45" s="16" t="n">
        <f aca="false">IF(I45&gt;0,N44*(1+Premissas!$C$59),0)</f>
        <v>329919.006180358</v>
      </c>
      <c r="K45" s="16" t="n">
        <f aca="false">J45*Premissas!$C$58</f>
        <v>3130.53313482884</v>
      </c>
      <c r="L45" s="16" t="n">
        <f aca="false">IF(I45&gt;0,J45/(Premissas!$C$32-I45+1),0)</f>
        <v>3299.19006180358</v>
      </c>
      <c r="M45" s="16" t="n">
        <f aca="false">K45+L45</f>
        <v>6429.72319663242</v>
      </c>
      <c r="N45" s="16" t="n">
        <f aca="false">IF($A45=Premissas!$C$25,Premissas!$C$13*E45,IF(I45&gt;0,J45-L45,0))</f>
        <v>326619.816118555</v>
      </c>
      <c r="O45" s="37" t="n">
        <f aca="false">IF($A45&gt;=Premissas!$C$27,Premissas!$C$39*IF(((YEAR($A45)-YEAR(Premissas!$C$27))*12+MONTH($A45)-MONTH(Premissas!$C$27))&lt;Premissas!$C$41,Premissas!$C$42,1),0)</f>
        <v>0.62</v>
      </c>
      <c r="P45" s="16" t="n">
        <f aca="false">O45*Premissas!$C$38*Premissas!$C$40*(1+Premissas!$C$60)^((YEAR($A45)-YEAR(Premissas!$C$19))*12+MONTH($A45)-MONTH(Premissas!$C$19))</f>
        <v>4875.49345648915</v>
      </c>
      <c r="Q45" s="16" t="n">
        <f aca="false">P45*Premissas!$C$43</f>
        <v>780.078953038264</v>
      </c>
      <c r="R45" s="16" t="n">
        <f aca="false">P45*Premissas!$C$44</f>
        <v>975.09869129783</v>
      </c>
      <c r="S45" s="16" t="n">
        <f aca="false">IF($A45&gt;=Premissas!$C$25,Premissas!$C$45*(1+Premissas!$C$60)^((YEAR($A45)-YEAR(Premissas!$C$19))*12+MONTH($A45)-MONTH(Premissas!$C$19)),0)</f>
        <v>854.749904714087</v>
      </c>
      <c r="T45" s="16" t="n">
        <f aca="false">IF($A45&gt;=Premissas!$C$27,Premissas!$C$46*(1+Premissas!$C$60)^((YEAR($A45)-YEAR(Premissas!$C$19))*12+MONTH($A45)-MONTH(Premissas!$C$19)),0)</f>
        <v>341.899961885635</v>
      </c>
      <c r="U45" s="16" t="n">
        <f aca="false">IF($A45&gt;=Premissas!$C$27,Premissas!$C$47*(1+Premissas!$C$60)^((YEAR($A45)-YEAR(Premissas!$C$19))*12+MONTH($A45)-MONTH(Premissas!$C$19)),0)</f>
        <v>170.949980942817</v>
      </c>
      <c r="V45" s="16" t="n">
        <f aca="false">IF($A45&gt;=Premissas!$C$27,MAX(0,P45-Q45-R45-S45)*Premissas!$C$49,0)</f>
        <v>623.030624545717</v>
      </c>
      <c r="W45" s="16" t="n">
        <f aca="false">P45-Q45-R45-S45-T45-U45-V45</f>
        <v>1129.6853400648</v>
      </c>
      <c r="X45" s="16" t="n">
        <f aca="false">W45-F45-G45-H45-M45</f>
        <v>-5300.03785656762</v>
      </c>
      <c r="Y45" s="16" t="n">
        <f aca="false">Y44+X45</f>
        <v>-315559.79285563</v>
      </c>
      <c r="Z45" s="16" t="n">
        <f aca="false">Premissas!$C$14*(1+Premissas!$C$57)^((YEAR(Premissas!$C$19)-YEAR(Premissas!$C$18))*12+MONTH(Premissas!$C$19)-MONTH(Premissas!$C$18))*(1+Premissas!$C$61)^((YEAR($A45)-YEAR(Premissas!$C$19))*12+MONTH($A45)-MONTH(Premissas!$C$19))</f>
        <v>562675.299374439</v>
      </c>
      <c r="AA45" s="16" t="n">
        <f aca="false">IF($A45&gt;=Premissas!$C$25,Z45*(1-Premissas!$C$53)-N45-Premissas!$C$54*MAX(0,Z45*(1-Premissas!$C$53)-(Premissas!$C$14*(1+Premissas!$C$57)^((YEAR(Premissas!$C$25)-YEAR(Premissas!$C$18))*12+MONTH(Premissas!$C$25)-MONTH(Premissas!$C$18))*(1+Premissas!$C$34))),"")</f>
        <v>202294.965293418</v>
      </c>
      <c r="AB45" s="16" t="n">
        <f aca="false">IF($A45&gt;=Premissas!$C$25,Y45+AA45,"")</f>
        <v>-113264.827562211</v>
      </c>
      <c r="AC45" s="20" t="str">
        <f aca="false">IF(AND($A45&gt;=Premissas!$C$27,W45&gt;=M45),$A45,"")</f>
        <v/>
      </c>
      <c r="AD45" s="20" t="str">
        <f aca="false">IF(AND($A45&gt;=Premissas!$C$27,Y45&gt;=0),$A45,"")</f>
        <v/>
      </c>
      <c r="AE45" s="20" t="str">
        <f aca="false">IF(AND($A45&gt;=Premissas!$C$25,N(AB45)&gt;=0),$A45,"")</f>
        <v/>
      </c>
    </row>
    <row r="46" customFormat="false" ht="15" hidden="false" customHeight="false" outlineLevel="0" collapsed="false">
      <c r="A46" s="20" t="n">
        <f aca="false">DATE(YEAR(A45),MONTH(A45)+1,1)</f>
        <v>47635</v>
      </c>
      <c r="B46" s="5" t="str">
        <f aca="false">IF($A46&lt;Premissas!$C$25,"Obra",IF($A46=Premissas!$C$25,"Chaves",IF($A46&lt;Premissas!$C$27,"Mobiliando","Airbnb")))</f>
        <v>Airbnb</v>
      </c>
      <c r="C46" s="35" t="n">
        <f aca="false">(YEAR($A46)-YEAR(Premissas!$C$18))*12+MONTH($A46)-MONTH(Premissas!$C$18)</f>
        <v>45</v>
      </c>
      <c r="D46" s="16" t="n">
        <f aca="false">($A46=Premissas!$C$19)*Premissas!$C$8+(($A46=EDATE(Premissas!$C$19,1))+($A46=EDATE(Premissas!$C$19,2)))*Premissas!$C$9+AND($A46&gt;=Premissas!$C$20,$A46&lt;EDATE(Premissas!$C$20,Premissas!$C$21))*Premissas!$C$10+(($A46=Premissas!$C$22)+($A46=Premissas!$C$23)+($A46=Premissas!$C$24))*Premissas!$C$11+($A46=Premissas!$C$25)*Premissas!$C$12</f>
        <v>0</v>
      </c>
      <c r="E46" s="36" t="n">
        <f aca="false">(1+Premissas!$C$57)^C46</f>
        <v>1.22235322765355</v>
      </c>
      <c r="F46" s="16" t="n">
        <f aca="false">D46*E46</f>
        <v>0</v>
      </c>
      <c r="G46" s="16" t="n">
        <f aca="false">($A46=Premissas!$C$25)*Premissas!$C$34*Premissas!$C$14*(1+Premissas!$C$57)^C46</f>
        <v>0</v>
      </c>
      <c r="H46" s="16" t="n">
        <f aca="false">IF(AND($A46&gt;Premissas!$C$25,$A46&lt;Premissas!$C$27),Premissas!$C$35/MAX(1,Premissas!$C$26),0)</f>
        <v>0</v>
      </c>
      <c r="I46" s="35" t="n">
        <f aca="false">IF(AND($A46&gt;Premissas!$C$25,((YEAR($A46)-YEAR(Premissas!$C$25))*12+MONTH($A46)-MONTH(Premissas!$C$25))&lt;=Premissas!$C$32),((YEAR($A46)-YEAR(Premissas!$C$25))*12+MONTH($A46)-MONTH(Premissas!$C$25)),0)</f>
        <v>22</v>
      </c>
      <c r="J46" s="16" t="n">
        <f aca="false">IF(I46&gt;0,N45*(1+Premissas!$C$59),0)</f>
        <v>327689.084404236</v>
      </c>
      <c r="K46" s="16" t="n">
        <f aca="false">J46*Premissas!$C$58</f>
        <v>3109.37386883491</v>
      </c>
      <c r="L46" s="16" t="n">
        <f aca="false">IF(I46&gt;0,J46/(Premissas!$C$32-I46+1),0)</f>
        <v>3309.99075155794</v>
      </c>
      <c r="M46" s="16" t="n">
        <f aca="false">K46+L46</f>
        <v>6419.36462039285</v>
      </c>
      <c r="N46" s="16" t="n">
        <f aca="false">IF($A46=Premissas!$C$25,Premissas!$C$13*E46,IF(I46&gt;0,J46-L46,0))</f>
        <v>324379.093652678</v>
      </c>
      <c r="O46" s="37" t="n">
        <f aca="false">IF($A46&gt;=Premissas!$C$27,Premissas!$C$39*IF(((YEAR($A46)-YEAR(Premissas!$C$27))*12+MONTH($A46)-MONTH(Premissas!$C$27))&lt;Premissas!$C$41,Premissas!$C$42,1),0)</f>
        <v>0.62</v>
      </c>
      <c r="P46" s="16" t="n">
        <f aca="false">O46*Premissas!$C$38*Premissas!$C$40*(1+Premissas!$C$60)^((YEAR($A46)-YEAR(Premissas!$C$19))*12+MONTH($A46)-MONTH(Premissas!$C$19))</f>
        <v>4891.45455337551</v>
      </c>
      <c r="Q46" s="16" t="n">
        <f aca="false">P46*Premissas!$C$43</f>
        <v>782.632728540081</v>
      </c>
      <c r="R46" s="16" t="n">
        <f aca="false">P46*Premissas!$C$44</f>
        <v>978.290910675102</v>
      </c>
      <c r="S46" s="16" t="n">
        <f aca="false">IF($A46&gt;=Premissas!$C$25,Premissas!$C$45*(1+Premissas!$C$60)^((YEAR($A46)-YEAR(Premissas!$C$19))*12+MONTH($A46)-MONTH(Premissas!$C$19)),0)</f>
        <v>857.54813348098</v>
      </c>
      <c r="T46" s="16" t="n">
        <f aca="false">IF($A46&gt;=Premissas!$C$27,Premissas!$C$46*(1+Premissas!$C$60)^((YEAR($A46)-YEAR(Premissas!$C$19))*12+MONTH($A46)-MONTH(Premissas!$C$19)),0)</f>
        <v>343.019253392392</v>
      </c>
      <c r="U46" s="16" t="n">
        <f aca="false">IF($A46&gt;=Premissas!$C$27,Premissas!$C$47*(1+Premissas!$C$60)^((YEAR($A46)-YEAR(Premissas!$C$19))*12+MONTH($A46)-MONTH(Premissas!$C$19)),0)</f>
        <v>171.509626696196</v>
      </c>
      <c r="V46" s="16" t="n">
        <f aca="false">IF($A46&gt;=Premissas!$C$27,MAX(0,P46-Q46-R46-S46)*Premissas!$C$49,0)</f>
        <v>625.07026468682</v>
      </c>
      <c r="W46" s="16" t="n">
        <f aca="false">P46-Q46-R46-S46-T46-U46-V46</f>
        <v>1133.38363590394</v>
      </c>
      <c r="X46" s="16" t="n">
        <f aca="false">W46-F46-G46-H46-M46</f>
        <v>-5285.98098448891</v>
      </c>
      <c r="Y46" s="16" t="n">
        <f aca="false">Y45+X46</f>
        <v>-320845.773840119</v>
      </c>
      <c r="Z46" s="16" t="n">
        <f aca="false">Premissas!$C$14*(1+Premissas!$C$57)^((YEAR(Premissas!$C$19)-YEAR(Premissas!$C$18))*12+MONTH(Premissas!$C$19)-MONTH(Premissas!$C$18))*(1+Premissas!$C$61)^((YEAR($A46)-YEAR(Premissas!$C$19))*12+MONTH($A46)-MONTH(Premissas!$C$19))</f>
        <v>564967.708194092</v>
      </c>
      <c r="AA46" s="16" t="n">
        <f aca="false">IF($A46&gt;=Premissas!$C$25,Z46*(1-Premissas!$C$53)-N46-Premissas!$C$54*MAX(0,Z46*(1-Premissas!$C$53)-(Premissas!$C$14*(1+Premissas!$C$57)^((YEAR(Premissas!$C$25)-YEAR(Premissas!$C$18))*12+MONTH(Premissas!$C$25)-MONTH(Premissas!$C$18))*(1+Premissas!$C$34))),"")</f>
        <v>206690.552049768</v>
      </c>
      <c r="AB46" s="16" t="n">
        <f aca="false">IF($A46&gt;=Premissas!$C$25,Y46+AA46,"")</f>
        <v>-114155.221790351</v>
      </c>
      <c r="AC46" s="20" t="str">
        <f aca="false">IF(AND($A46&gt;=Premissas!$C$27,W46&gt;=M46),$A46,"")</f>
        <v/>
      </c>
      <c r="AD46" s="20" t="str">
        <f aca="false">IF(AND($A46&gt;=Premissas!$C$27,Y46&gt;=0),$A46,"")</f>
        <v/>
      </c>
      <c r="AE46" s="20" t="str">
        <f aca="false">IF(AND($A46&gt;=Premissas!$C$25,N(AB46)&gt;=0),$A46,"")</f>
        <v/>
      </c>
    </row>
    <row r="47" customFormat="false" ht="15" hidden="false" customHeight="false" outlineLevel="0" collapsed="false">
      <c r="A47" s="20" t="n">
        <f aca="false">DATE(YEAR(A46),MONTH(A46)+1,1)</f>
        <v>47665</v>
      </c>
      <c r="B47" s="5" t="str">
        <f aca="false">IF($A47&lt;Premissas!$C$25,"Obra",IF($A47=Premissas!$C$25,"Chaves",IF($A47&lt;Premissas!$C$27,"Mobiliando","Airbnb")))</f>
        <v>Airbnb</v>
      </c>
      <c r="C47" s="35" t="n">
        <f aca="false">(YEAR($A47)-YEAR(Premissas!$C$18))*12+MONTH($A47)-MONTH(Premissas!$C$18)</f>
        <v>46</v>
      </c>
      <c r="D47" s="16" t="n">
        <f aca="false">($A47=Premissas!$C$19)*Premissas!$C$8+(($A47=EDATE(Premissas!$C$19,1))+($A47=EDATE(Premissas!$C$19,2)))*Premissas!$C$9+AND($A47&gt;=Premissas!$C$20,$A47&lt;EDATE(Premissas!$C$20,Premissas!$C$21))*Premissas!$C$10+(($A47=Premissas!$C$22)+($A47=Premissas!$C$23)+($A47=Premissas!$C$24))*Premissas!$C$11+($A47=Premissas!$C$25)*Premissas!$C$12</f>
        <v>0</v>
      </c>
      <c r="E47" s="36" t="n">
        <f aca="false">(1+Premissas!$C$57)^C47</f>
        <v>1.2278192232579</v>
      </c>
      <c r="F47" s="16" t="n">
        <f aca="false">D47*E47</f>
        <v>0</v>
      </c>
      <c r="G47" s="16" t="n">
        <f aca="false">($A47=Premissas!$C$25)*Premissas!$C$34*Premissas!$C$14*(1+Premissas!$C$57)^C47</f>
        <v>0</v>
      </c>
      <c r="H47" s="16" t="n">
        <f aca="false">IF(AND($A47&gt;Premissas!$C$25,$A47&lt;Premissas!$C$27),Premissas!$C$35/MAX(1,Premissas!$C$26),0)</f>
        <v>0</v>
      </c>
      <c r="I47" s="35" t="n">
        <f aca="false">IF(AND($A47&gt;Premissas!$C$25,((YEAR($A47)-YEAR(Premissas!$C$25))*12+MONTH($A47)-MONTH(Premissas!$C$25))&lt;=Premissas!$C$32),((YEAR($A47)-YEAR(Premissas!$C$25))*12+MONTH($A47)-MONTH(Premissas!$C$25)),0)</f>
        <v>23</v>
      </c>
      <c r="J47" s="16" t="n">
        <f aca="false">IF(I47&gt;0,N46*(1+Premissas!$C$59),0)</f>
        <v>325441.026396083</v>
      </c>
      <c r="K47" s="16" t="n">
        <f aca="false">J47*Premissas!$C$58</f>
        <v>3088.04251189061</v>
      </c>
      <c r="L47" s="16" t="n">
        <f aca="false">IF(I47&gt;0,J47/(Premissas!$C$32-I47+1),0)</f>
        <v>3320.82679996003</v>
      </c>
      <c r="M47" s="16" t="n">
        <f aca="false">K47+L47</f>
        <v>6408.86931185063</v>
      </c>
      <c r="N47" s="16" t="n">
        <f aca="false">IF($A47=Premissas!$C$25,Premissas!$C$13*E47,IF(I47&gt;0,J47-L47,0))</f>
        <v>322120.199596123</v>
      </c>
      <c r="O47" s="37" t="n">
        <f aca="false">IF($A47&gt;=Premissas!$C$27,Premissas!$C$39*IF(((YEAR($A47)-YEAR(Premissas!$C$27))*12+MONTH($A47)-MONTH(Premissas!$C$27))&lt;Premissas!$C$41,Premissas!$C$42,1),0)</f>
        <v>0.62</v>
      </c>
      <c r="P47" s="16" t="n">
        <f aca="false">O47*Premissas!$C$38*Premissas!$C$40*(1+Premissas!$C$60)^((YEAR($A47)-YEAR(Premissas!$C$19))*12+MONTH($A47)-MONTH(Premissas!$C$19))</f>
        <v>4907.46790273971</v>
      </c>
      <c r="Q47" s="16" t="n">
        <f aca="false">P47*Premissas!$C$43</f>
        <v>785.194864438354</v>
      </c>
      <c r="R47" s="16" t="n">
        <f aca="false">P47*Premissas!$C$44</f>
        <v>981.493580547943</v>
      </c>
      <c r="S47" s="16" t="n">
        <f aca="false">IF($A47&gt;=Premissas!$C$25,Premissas!$C$45*(1+Premissas!$C$60)^((YEAR($A47)-YEAR(Premissas!$C$19))*12+MONTH($A47)-MONTH(Premissas!$C$19)),0)</f>
        <v>860.355522920707</v>
      </c>
      <c r="T47" s="16" t="n">
        <f aca="false">IF($A47&gt;=Premissas!$C$27,Premissas!$C$46*(1+Premissas!$C$60)^((YEAR($A47)-YEAR(Premissas!$C$19))*12+MONTH($A47)-MONTH(Premissas!$C$19)),0)</f>
        <v>344.142209168283</v>
      </c>
      <c r="U47" s="16" t="n">
        <f aca="false">IF($A47&gt;=Premissas!$C$27,Premissas!$C$47*(1+Premissas!$C$60)^((YEAR($A47)-YEAR(Premissas!$C$19))*12+MONTH($A47)-MONTH(Premissas!$C$19)),0)</f>
        <v>172.071104584141</v>
      </c>
      <c r="V47" s="16" t="n">
        <f aca="false">IF($A47&gt;=Premissas!$C$27,MAX(0,P47-Q47-R47-S47)*Premissas!$C$49,0)</f>
        <v>627.116582078995</v>
      </c>
      <c r="W47" s="16" t="n">
        <f aca="false">P47-Q47-R47-S47-T47-U47-V47</f>
        <v>1137.09403900129</v>
      </c>
      <c r="X47" s="16" t="n">
        <f aca="false">W47-F47-G47-H47-M47</f>
        <v>-5271.77527284935</v>
      </c>
      <c r="Y47" s="16" t="n">
        <f aca="false">Y46+X47</f>
        <v>-326117.549112968</v>
      </c>
      <c r="Z47" s="16" t="n">
        <f aca="false">Premissas!$C$14*(1+Premissas!$C$57)^((YEAR(Premissas!$C$19)-YEAR(Premissas!$C$18))*12+MONTH(Premissas!$C$19)-MONTH(Premissas!$C$18))*(1+Premissas!$C$61)^((YEAR($A47)-YEAR(Premissas!$C$19))*12+MONTH($A47)-MONTH(Premissas!$C$19))</f>
        <v>567269.456571039</v>
      </c>
      <c r="AA47" s="16" t="n">
        <f aca="false">IF($A47&gt;=Premissas!$C$25,Z47*(1-Premissas!$C$53)-N47-Premissas!$C$54*MAX(0,Z47*(1-Premissas!$C$53)-(Premissas!$C$14*(1+Premissas!$C$57)^((YEAR(Premissas!$C$25)-YEAR(Premissas!$C$18))*12+MONTH(Premissas!$C$25)-MONTH(Premissas!$C$18))*(1+Premissas!$C$34))),"")</f>
        <v>211113.089580654</v>
      </c>
      <c r="AB47" s="16" t="n">
        <f aca="false">IF($A47&gt;=Premissas!$C$25,Y47+AA47,"")</f>
        <v>-115004.459532314</v>
      </c>
      <c r="AC47" s="20" t="str">
        <f aca="false">IF(AND($A47&gt;=Premissas!$C$27,W47&gt;=M47),$A47,"")</f>
        <v/>
      </c>
      <c r="AD47" s="20" t="str">
        <f aca="false">IF(AND($A47&gt;=Premissas!$C$27,Y47&gt;=0),$A47,"")</f>
        <v/>
      </c>
      <c r="AE47" s="20" t="str">
        <f aca="false">IF(AND($A47&gt;=Premissas!$C$25,N(AB47)&gt;=0),$A47,"")</f>
        <v/>
      </c>
    </row>
    <row r="48" customFormat="false" ht="15" hidden="false" customHeight="false" outlineLevel="0" collapsed="false">
      <c r="A48" s="20" t="n">
        <f aca="false">DATE(YEAR(A47),MONTH(A47)+1,1)</f>
        <v>47696</v>
      </c>
      <c r="B48" s="5" t="str">
        <f aca="false">IF($A48&lt;Premissas!$C$25,"Obra",IF($A48=Premissas!$C$25,"Chaves",IF($A48&lt;Premissas!$C$27,"Mobiliando","Airbnb")))</f>
        <v>Airbnb</v>
      </c>
      <c r="C48" s="35" t="n">
        <f aca="false">(YEAR($A48)-YEAR(Premissas!$C$18))*12+MONTH($A48)-MONTH(Premissas!$C$18)</f>
        <v>47</v>
      </c>
      <c r="D48" s="16" t="n">
        <f aca="false">($A48=Premissas!$C$19)*Premissas!$C$8+(($A48=EDATE(Premissas!$C$19,1))+($A48=EDATE(Premissas!$C$19,2)))*Premissas!$C$9+AND($A48&gt;=Premissas!$C$20,$A48&lt;EDATE(Premissas!$C$20,Premissas!$C$21))*Premissas!$C$10+(($A48=Premissas!$C$22)+($A48=Premissas!$C$23)+($A48=Premissas!$C$24))*Premissas!$C$11+($A48=Premissas!$C$25)*Premissas!$C$12</f>
        <v>0</v>
      </c>
      <c r="E48" s="36" t="n">
        <f aca="false">(1+Premissas!$C$57)^C48</f>
        <v>1.23330966114886</v>
      </c>
      <c r="F48" s="16" t="n">
        <f aca="false">D48*E48</f>
        <v>0</v>
      </c>
      <c r="G48" s="16" t="n">
        <f aca="false">($A48=Premissas!$C$25)*Premissas!$C$34*Premissas!$C$14*(1+Premissas!$C$57)^C48</f>
        <v>0</v>
      </c>
      <c r="H48" s="16" t="n">
        <f aca="false">IF(AND($A48&gt;Premissas!$C$25,$A48&lt;Premissas!$C$27),Premissas!$C$35/MAX(1,Premissas!$C$26),0)</f>
        <v>0</v>
      </c>
      <c r="I48" s="35" t="n">
        <f aca="false">IF(AND($A48&gt;Premissas!$C$25,((YEAR($A48)-YEAR(Premissas!$C$25))*12+MONTH($A48)-MONTH(Premissas!$C$25))&lt;=Premissas!$C$32),((YEAR($A48)-YEAR(Premissas!$C$25))*12+MONTH($A48)-MONTH(Premissas!$C$25)),0)</f>
        <v>24</v>
      </c>
      <c r="J48" s="16" t="n">
        <f aca="false">IF(I48&gt;0,N47*(1+Premissas!$C$59),0)</f>
        <v>323174.73730819</v>
      </c>
      <c r="K48" s="16" t="n">
        <f aca="false">J48*Premissas!$C$58</f>
        <v>3066.53816400569</v>
      </c>
      <c r="L48" s="16" t="n">
        <f aca="false">IF(I48&gt;0,J48/(Premissas!$C$32-I48+1),0)</f>
        <v>3331.69832276485</v>
      </c>
      <c r="M48" s="16" t="n">
        <f aca="false">K48+L48</f>
        <v>6398.23648677054</v>
      </c>
      <c r="N48" s="16" t="n">
        <f aca="false">IF($A48=Premissas!$C$25,Premissas!$C$13*E48,IF(I48&gt;0,J48-L48,0))</f>
        <v>319843.038985426</v>
      </c>
      <c r="O48" s="37" t="n">
        <f aca="false">IF($A48&gt;=Premissas!$C$27,Premissas!$C$39*IF(((YEAR($A48)-YEAR(Premissas!$C$27))*12+MONTH($A48)-MONTH(Premissas!$C$27))&lt;Premissas!$C$41,Premissas!$C$42,1),0)</f>
        <v>0.62</v>
      </c>
      <c r="P48" s="16" t="n">
        <f aca="false">O48*Premissas!$C$38*Premissas!$C$40*(1+Premissas!$C$60)^((YEAR($A48)-YEAR(Premissas!$C$19))*12+MONTH($A48)-MONTH(Premissas!$C$19))</f>
        <v>4923.53367564278</v>
      </c>
      <c r="Q48" s="16" t="n">
        <f aca="false">P48*Premissas!$C$43</f>
        <v>787.765388102844</v>
      </c>
      <c r="R48" s="16" t="n">
        <f aca="false">P48*Premissas!$C$44</f>
        <v>984.706735128555</v>
      </c>
      <c r="S48" s="16" t="n">
        <f aca="false">IF($A48&gt;=Premissas!$C$25,Premissas!$C$45*(1+Premissas!$C$60)^((YEAR($A48)-YEAR(Premissas!$C$19))*12+MONTH($A48)-MONTH(Premissas!$C$19)),0)</f>
        <v>863.172103022927</v>
      </c>
      <c r="T48" s="16" t="n">
        <f aca="false">IF($A48&gt;=Premissas!$C$27,Premissas!$C$46*(1+Premissas!$C$60)^((YEAR($A48)-YEAR(Premissas!$C$19))*12+MONTH($A48)-MONTH(Premissas!$C$19)),0)</f>
        <v>345.268841209171</v>
      </c>
      <c r="U48" s="16" t="n">
        <f aca="false">IF($A48&gt;=Premissas!$C$27,Premissas!$C$47*(1+Premissas!$C$60)^((YEAR($A48)-YEAR(Premissas!$C$19))*12+MONTH($A48)-MONTH(Premissas!$C$19)),0)</f>
        <v>172.634420604585</v>
      </c>
      <c r="V48" s="16" t="n">
        <f aca="false">IF($A48&gt;=Premissas!$C$27,MAX(0,P48-Q48-R48-S48)*Premissas!$C$49,0)</f>
        <v>629.169598581824</v>
      </c>
      <c r="W48" s="16" t="n">
        <f aca="false">P48-Q48-R48-S48-T48-U48-V48</f>
        <v>1140.81658899287</v>
      </c>
      <c r="X48" s="16" t="n">
        <f aca="false">W48-F48-G48-H48-M48</f>
        <v>-5257.41989777767</v>
      </c>
      <c r="Y48" s="16" t="n">
        <f aca="false">Y47+X48</f>
        <v>-331374.969010746</v>
      </c>
      <c r="Z48" s="16" t="n">
        <f aca="false">Premissas!$C$14*(1+Premissas!$C$57)^((YEAR(Premissas!$C$19)-YEAR(Premissas!$C$18))*12+MONTH(Premissas!$C$19)-MONTH(Premissas!$C$18))*(1+Premissas!$C$61)^((YEAR($A48)-YEAR(Premissas!$C$19))*12+MONTH($A48)-MONTH(Premissas!$C$19))</f>
        <v>569580.582555792</v>
      </c>
      <c r="AA48" s="16" t="n">
        <f aca="false">IF($A48&gt;=Premissas!$C$25,Z48*(1-Premissas!$C$53)-N48-Premissas!$C$54*MAX(0,Z48*(1-Premissas!$C$53)-(Premissas!$C$14*(1+Premissas!$C$57)^((YEAR(Premissas!$C$25)-YEAR(Premissas!$C$18))*12+MONTH(Premissas!$C$25)-MONTH(Premissas!$C$18))*(1+Premissas!$C$34))),"")</f>
        <v>215562.708617019</v>
      </c>
      <c r="AB48" s="16" t="n">
        <f aca="false">IF($A48&gt;=Premissas!$C$25,Y48+AA48,"")</f>
        <v>-115812.260393727</v>
      </c>
      <c r="AC48" s="20" t="str">
        <f aca="false">IF(AND($A48&gt;=Premissas!$C$27,W48&gt;=M48),$A48,"")</f>
        <v/>
      </c>
      <c r="AD48" s="20" t="str">
        <f aca="false">IF(AND($A48&gt;=Premissas!$C$27,Y48&gt;=0),$A48,"")</f>
        <v/>
      </c>
      <c r="AE48" s="20" t="str">
        <f aca="false">IF(AND($A48&gt;=Premissas!$C$25,N(AB48)&gt;=0),$A48,"")</f>
        <v/>
      </c>
    </row>
    <row r="49" customFormat="false" ht="15" hidden="false" customHeight="false" outlineLevel="0" collapsed="false">
      <c r="A49" s="20" t="n">
        <f aca="false">DATE(YEAR(A48),MONTH(A48)+1,1)</f>
        <v>47727</v>
      </c>
      <c r="B49" s="5" t="str">
        <f aca="false">IF($A49&lt;Premissas!$C$25,"Obra",IF($A49=Premissas!$C$25,"Chaves",IF($A49&lt;Premissas!$C$27,"Mobiliando","Airbnb")))</f>
        <v>Airbnb</v>
      </c>
      <c r="C49" s="35" t="n">
        <f aca="false">(YEAR($A49)-YEAR(Premissas!$C$18))*12+MONTH($A49)-MONTH(Premissas!$C$18)</f>
        <v>48</v>
      </c>
      <c r="D49" s="16" t="n">
        <f aca="false">($A49=Premissas!$C$19)*Premissas!$C$8+(($A49=EDATE(Premissas!$C$19,1))+($A49=EDATE(Premissas!$C$19,2)))*Premissas!$C$9+AND($A49&gt;=Premissas!$C$20,$A49&lt;EDATE(Premissas!$C$20,Premissas!$C$21))*Premissas!$C$10+(($A49=Premissas!$C$22)+($A49=Premissas!$C$23)+($A49=Premissas!$C$24))*Premissas!$C$11+($A49=Premissas!$C$25)*Premissas!$C$12</f>
        <v>0</v>
      </c>
      <c r="E49" s="36" t="n">
        <f aca="false">(1+Premissas!$C$57)^C49</f>
        <v>1.238824650625</v>
      </c>
      <c r="F49" s="16" t="n">
        <f aca="false">D49*E49</f>
        <v>0</v>
      </c>
      <c r="G49" s="16" t="n">
        <f aca="false">($A49=Premissas!$C$25)*Premissas!$C$34*Premissas!$C$14*(1+Premissas!$C$57)^C49</f>
        <v>0</v>
      </c>
      <c r="H49" s="16" t="n">
        <f aca="false">IF(AND($A49&gt;Premissas!$C$25,$A49&lt;Premissas!$C$27),Premissas!$C$35/MAX(1,Premissas!$C$26),0)</f>
        <v>0</v>
      </c>
      <c r="I49" s="35" t="n">
        <f aca="false">IF(AND($A49&gt;Premissas!$C$25,((YEAR($A49)-YEAR(Premissas!$C$25))*12+MONTH($A49)-MONTH(Premissas!$C$25))&lt;=Premissas!$C$32),((YEAR($A49)-YEAR(Premissas!$C$25))*12+MONTH($A49)-MONTH(Premissas!$C$25)),0)</f>
        <v>25</v>
      </c>
      <c r="J49" s="16" t="n">
        <f aca="false">IF(I49&gt;0,N48*(1+Premissas!$C$59),0)</f>
        <v>320890.121866212</v>
      </c>
      <c r="K49" s="16" t="n">
        <f aca="false">J49*Premissas!$C$58</f>
        <v>3044.8599211416</v>
      </c>
      <c r="L49" s="16" t="n">
        <f aca="false">IF(I49&gt;0,J49/(Premissas!$C$32-I49+1),0)</f>
        <v>3342.60543610637</v>
      </c>
      <c r="M49" s="16" t="n">
        <f aca="false">K49+L49</f>
        <v>6387.46535724797</v>
      </c>
      <c r="N49" s="16" t="n">
        <f aca="false">IF($A49=Premissas!$C$25,Premissas!$C$13*E49,IF(I49&gt;0,J49-L49,0))</f>
        <v>317547.516430105</v>
      </c>
      <c r="O49" s="37" t="n">
        <f aca="false">IF($A49&gt;=Premissas!$C$27,Premissas!$C$39*IF(((YEAR($A49)-YEAR(Premissas!$C$27))*12+MONTH($A49)-MONTH(Premissas!$C$27))&lt;Premissas!$C$41,Premissas!$C$42,1),0)</f>
        <v>0.62</v>
      </c>
      <c r="P49" s="16" t="n">
        <f aca="false">O49*Premissas!$C$38*Premissas!$C$40*(1+Premissas!$C$60)^((YEAR($A49)-YEAR(Premissas!$C$19))*12+MONTH($A49)-MONTH(Premissas!$C$19))</f>
        <v>4939.65204370572</v>
      </c>
      <c r="Q49" s="16" t="n">
        <f aca="false">P49*Premissas!$C$43</f>
        <v>790.344326992916</v>
      </c>
      <c r="R49" s="16" t="n">
        <f aca="false">P49*Premissas!$C$44</f>
        <v>987.930408741145</v>
      </c>
      <c r="S49" s="16" t="n">
        <f aca="false">IF($A49&gt;=Premissas!$C$25,Premissas!$C$45*(1+Premissas!$C$60)^((YEAR($A49)-YEAR(Premissas!$C$19))*12+MONTH($A49)-MONTH(Premissas!$C$19)),0)</f>
        <v>865.997903875477</v>
      </c>
      <c r="T49" s="16" t="n">
        <f aca="false">IF($A49&gt;=Premissas!$C$27,Premissas!$C$46*(1+Premissas!$C$60)^((YEAR($A49)-YEAR(Premissas!$C$19))*12+MONTH($A49)-MONTH(Premissas!$C$19)),0)</f>
        <v>346.399161550191</v>
      </c>
      <c r="U49" s="16" t="n">
        <f aca="false">IF($A49&gt;=Premissas!$C$27,Premissas!$C$47*(1+Premissas!$C$60)^((YEAR($A49)-YEAR(Premissas!$C$19))*12+MONTH($A49)-MONTH(Premissas!$C$19)),0)</f>
        <v>173.199580775095</v>
      </c>
      <c r="V49" s="16" t="n">
        <f aca="false">IF($A49&gt;=Premissas!$C$27,MAX(0,P49-Q49-R49-S49)*Premissas!$C$49,0)</f>
        <v>631.229336126451</v>
      </c>
      <c r="W49" s="16" t="n">
        <f aca="false">P49-Q49-R49-S49-T49-U49-V49</f>
        <v>1144.55132564445</v>
      </c>
      <c r="X49" s="16" t="n">
        <f aca="false">W49-F49-G49-H49-M49</f>
        <v>-5242.91403160352</v>
      </c>
      <c r="Y49" s="16" t="n">
        <f aca="false">Y48+X49</f>
        <v>-336617.883042349</v>
      </c>
      <c r="Z49" s="16" t="n">
        <f aca="false">Premissas!$C$14*(1+Premissas!$C$57)^((YEAR(Premissas!$C$19)-YEAR(Premissas!$C$18))*12+MONTH(Premissas!$C$19)-MONTH(Premissas!$C$18))*(1+Premissas!$C$61)^((YEAR($A49)-YEAR(Premissas!$C$19))*12+MONTH($A49)-MONTH(Premissas!$C$19))</f>
        <v>571901.124353887</v>
      </c>
      <c r="AA49" s="16" t="n">
        <f aca="false">IF($A49&gt;=Premissas!$C$25,Z49*(1-Premissas!$C$53)-N49-Premissas!$C$54*MAX(0,Z49*(1-Premissas!$C$53)-(Premissas!$C$14*(1+Premissas!$C$57)^((YEAR(Premissas!$C$25)-YEAR(Premissas!$C$18))*12+MONTH(Premissas!$C$25)-MONTH(Premissas!$C$18))*(1+Premissas!$C$34))),"")</f>
        <v>220039.540462549</v>
      </c>
      <c r="AB49" s="16" t="n">
        <f aca="false">IF($A49&gt;=Premissas!$C$25,Y49+AA49,"")</f>
        <v>-116578.3425798</v>
      </c>
      <c r="AC49" s="20" t="str">
        <f aca="false">IF(AND($A49&gt;=Premissas!$C$27,W49&gt;=M49),$A49,"")</f>
        <v/>
      </c>
      <c r="AD49" s="20" t="str">
        <f aca="false">IF(AND($A49&gt;=Premissas!$C$27,Y49&gt;=0),$A49,"")</f>
        <v/>
      </c>
      <c r="AE49" s="20" t="str">
        <f aca="false">IF(AND($A49&gt;=Premissas!$C$25,N(AB49)&gt;=0),$A49,"")</f>
        <v/>
      </c>
    </row>
    <row r="50" customFormat="false" ht="15" hidden="false" customHeight="false" outlineLevel="0" collapsed="false">
      <c r="A50" s="20" t="n">
        <f aca="false">DATE(YEAR(A49),MONTH(A49)+1,1)</f>
        <v>47757</v>
      </c>
      <c r="B50" s="5" t="str">
        <f aca="false">IF($A50&lt;Premissas!$C$25,"Obra",IF($A50=Premissas!$C$25,"Chaves",IF($A50&lt;Premissas!$C$27,"Mobiliando","Airbnb")))</f>
        <v>Airbnb</v>
      </c>
      <c r="C50" s="35" t="n">
        <f aca="false">(YEAR($A50)-YEAR(Premissas!$C$18))*12+MONTH($A50)-MONTH(Premissas!$C$18)</f>
        <v>49</v>
      </c>
      <c r="D50" s="16" t="n">
        <f aca="false">($A50=Premissas!$C$19)*Premissas!$C$8+(($A50=EDATE(Premissas!$C$19,1))+($A50=EDATE(Premissas!$C$19,2)))*Premissas!$C$9+AND($A50&gt;=Premissas!$C$20,$A50&lt;EDATE(Premissas!$C$20,Premissas!$C$21))*Premissas!$C$10+(($A50=Premissas!$C$22)+($A50=Premissas!$C$23)+($A50=Premissas!$C$24))*Premissas!$C$11+($A50=Premissas!$C$25)*Premissas!$C$12</f>
        <v>0</v>
      </c>
      <c r="E50" s="36" t="n">
        <f aca="false">(1+Premissas!$C$57)^C50</f>
        <v>1.24436430147361</v>
      </c>
      <c r="F50" s="16" t="n">
        <f aca="false">D50*E50</f>
        <v>0</v>
      </c>
      <c r="G50" s="16" t="n">
        <f aca="false">($A50=Premissas!$C$25)*Premissas!$C$34*Premissas!$C$14*(1+Premissas!$C$57)^C50</f>
        <v>0</v>
      </c>
      <c r="H50" s="16" t="n">
        <f aca="false">IF(AND($A50&gt;Premissas!$C$25,$A50&lt;Premissas!$C$27),Premissas!$C$35/MAX(1,Premissas!$C$26),0)</f>
        <v>0</v>
      </c>
      <c r="I50" s="35" t="n">
        <f aca="false">IF(AND($A50&gt;Premissas!$C$25,((YEAR($A50)-YEAR(Premissas!$C$25))*12+MONTH($A50)-MONTH(Premissas!$C$25))&lt;=Premissas!$C$32),((YEAR($A50)-YEAR(Premissas!$C$25))*12+MONTH($A50)-MONTH(Premissas!$C$25)),0)</f>
        <v>26</v>
      </c>
      <c r="J50" s="16" t="n">
        <f aca="false">IF(I50&gt;0,N49*(1+Premissas!$C$59),0)</f>
        <v>318587.084367381</v>
      </c>
      <c r="K50" s="16" t="n">
        <f aca="false">J50*Premissas!$C$58</f>
        <v>3023.00687519462</v>
      </c>
      <c r="L50" s="16" t="n">
        <f aca="false">IF(I50&gt;0,J50/(Premissas!$C$32-I50+1),0)</f>
        <v>3353.54825649875</v>
      </c>
      <c r="M50" s="16" t="n">
        <f aca="false">K50+L50</f>
        <v>6376.55513169336</v>
      </c>
      <c r="N50" s="16" t="n">
        <f aca="false">IF($A50=Premissas!$C$25,Premissas!$C$13*E50,IF(I50&gt;0,J50-L50,0))</f>
        <v>315233.536110882</v>
      </c>
      <c r="O50" s="37" t="n">
        <f aca="false">IF($A50&gt;=Premissas!$C$27,Premissas!$C$39*IF(((YEAR($A50)-YEAR(Premissas!$C$27))*12+MONTH($A50)-MONTH(Premissas!$C$27))&lt;Premissas!$C$41,Premissas!$C$42,1),0)</f>
        <v>0.62</v>
      </c>
      <c r="P50" s="16" t="n">
        <f aca="false">O50*Premissas!$C$38*Premissas!$C$40*(1+Premissas!$C$60)^((YEAR($A50)-YEAR(Premissas!$C$19))*12+MONTH($A50)-MONTH(Premissas!$C$19))</f>
        <v>4955.82317911142</v>
      </c>
      <c r="Q50" s="16" t="n">
        <f aca="false">P50*Premissas!$C$43</f>
        <v>792.931708657828</v>
      </c>
      <c r="R50" s="16" t="n">
        <f aca="false">P50*Premissas!$C$44</f>
        <v>991.164635822285</v>
      </c>
      <c r="S50" s="16" t="n">
        <f aca="false">IF($A50&gt;=Premissas!$C$25,Premissas!$C$45*(1+Premissas!$C$60)^((YEAR($A50)-YEAR(Premissas!$C$19))*12+MONTH($A50)-MONTH(Premissas!$C$19)),0)</f>
        <v>868.832955664696</v>
      </c>
      <c r="T50" s="16" t="n">
        <f aca="false">IF($A50&gt;=Premissas!$C$27,Premissas!$C$46*(1+Premissas!$C$60)^((YEAR($A50)-YEAR(Premissas!$C$19))*12+MONTH($A50)-MONTH(Premissas!$C$19)),0)</f>
        <v>347.533182265878</v>
      </c>
      <c r="U50" s="16" t="n">
        <f aca="false">IF($A50&gt;=Premissas!$C$27,Premissas!$C$47*(1+Premissas!$C$60)^((YEAR($A50)-YEAR(Premissas!$C$19))*12+MONTH($A50)-MONTH(Premissas!$C$19)),0)</f>
        <v>173.766591132939</v>
      </c>
      <c r="V50" s="16" t="n">
        <f aca="false">IF($A50&gt;=Premissas!$C$27,MAX(0,P50-Q50-R50-S50)*Premissas!$C$49,0)</f>
        <v>633.29581671582</v>
      </c>
      <c r="W50" s="16" t="n">
        <f aca="false">P50-Q50-R50-S50-T50-U50-V50</f>
        <v>1148.29828885198</v>
      </c>
      <c r="X50" s="16" t="n">
        <f aca="false">W50-F50-G50-H50-M50</f>
        <v>-5228.25684284138</v>
      </c>
      <c r="Y50" s="16" t="n">
        <f aca="false">Y49+X50</f>
        <v>-341846.13988519</v>
      </c>
      <c r="Z50" s="16" t="n">
        <f aca="false">Premissas!$C$14*(1+Premissas!$C$57)^((YEAR(Premissas!$C$19)-YEAR(Premissas!$C$18))*12+MONTH(Premissas!$C$19)-MONTH(Premissas!$C$18))*(1+Premissas!$C$61)^((YEAR($A50)-YEAR(Premissas!$C$19))*12+MONTH($A50)-MONTH(Premissas!$C$19))</f>
        <v>574231.120326512</v>
      </c>
      <c r="AA50" s="16" t="n">
        <f aca="false">IF($A50&gt;=Premissas!$C$25,Z50*(1-Premissas!$C$53)-N50-Premissas!$C$54*MAX(0,Z50*(1-Premissas!$C$53)-(Premissas!$C$14*(1+Premissas!$C$57)^((YEAR(Premissas!$C$25)-YEAR(Premissas!$C$18))*12+MONTH(Premissas!$C$25)-MONTH(Premissas!$C$18))*(1+Premissas!$C$34))),"")</f>
        <v>224543.716996039</v>
      </c>
      <c r="AB50" s="16" t="n">
        <f aca="false">IF($A50&gt;=Premissas!$C$25,Y50+AA50,"")</f>
        <v>-117302.422889151</v>
      </c>
      <c r="AC50" s="20" t="str">
        <f aca="false">IF(AND($A50&gt;=Premissas!$C$27,W50&gt;=M50),$A50,"")</f>
        <v/>
      </c>
      <c r="AD50" s="20" t="str">
        <f aca="false">IF(AND($A50&gt;=Premissas!$C$27,Y50&gt;=0),$A50,"")</f>
        <v/>
      </c>
      <c r="AE50" s="20" t="str">
        <f aca="false">IF(AND($A50&gt;=Premissas!$C$25,N(AB50)&gt;=0),$A50,"")</f>
        <v/>
      </c>
    </row>
    <row r="51" customFormat="false" ht="15" hidden="false" customHeight="false" outlineLevel="0" collapsed="false">
      <c r="A51" s="20" t="n">
        <f aca="false">DATE(YEAR(A50),MONTH(A50)+1,1)</f>
        <v>47788</v>
      </c>
      <c r="B51" s="5" t="str">
        <f aca="false">IF($A51&lt;Premissas!$C$25,"Obra",IF($A51=Premissas!$C$25,"Chaves",IF($A51&lt;Premissas!$C$27,"Mobiliando","Airbnb")))</f>
        <v>Airbnb</v>
      </c>
      <c r="C51" s="35" t="n">
        <f aca="false">(YEAR($A51)-YEAR(Premissas!$C$18))*12+MONTH($A51)-MONTH(Premissas!$C$18)</f>
        <v>50</v>
      </c>
      <c r="D51" s="16" t="n">
        <f aca="false">($A51=Premissas!$C$19)*Premissas!$C$8+(($A51=EDATE(Premissas!$C$19,1))+($A51=EDATE(Premissas!$C$19,2)))*Premissas!$C$9+AND($A51&gt;=Premissas!$C$20,$A51&lt;EDATE(Premissas!$C$20,Premissas!$C$21))*Premissas!$C$10+(($A51=Premissas!$C$22)+($A51=Premissas!$C$23)+($A51=Premissas!$C$24))*Premissas!$C$11+($A51=Premissas!$C$25)*Premissas!$C$12</f>
        <v>0</v>
      </c>
      <c r="E51" s="36" t="n">
        <f aca="false">(1+Premissas!$C$57)^C51</f>
        <v>1.24992872397291</v>
      </c>
      <c r="F51" s="16" t="n">
        <f aca="false">D51*E51</f>
        <v>0</v>
      </c>
      <c r="G51" s="16" t="n">
        <f aca="false">($A51=Premissas!$C$25)*Premissas!$C$34*Premissas!$C$14*(1+Premissas!$C$57)^C51</f>
        <v>0</v>
      </c>
      <c r="H51" s="16" t="n">
        <f aca="false">IF(AND($A51&gt;Premissas!$C$25,$A51&lt;Premissas!$C$27),Premissas!$C$35/MAX(1,Premissas!$C$26),0)</f>
        <v>0</v>
      </c>
      <c r="I51" s="35" t="n">
        <f aca="false">IF(AND($A51&gt;Premissas!$C$25,((YEAR($A51)-YEAR(Premissas!$C$25))*12+MONTH($A51)-MONTH(Premissas!$C$25))&lt;=Premissas!$C$32),((YEAR($A51)-YEAR(Premissas!$C$25))*12+MONTH($A51)-MONTH(Premissas!$C$25)),0)</f>
        <v>27</v>
      </c>
      <c r="J51" s="16" t="n">
        <f aca="false">IF(I51&gt;0,N50*(1+Premissas!$C$59),0)</f>
        <v>316265.528678732</v>
      </c>
      <c r="K51" s="16" t="n">
        <f aca="false">J51*Premissas!$C$58</f>
        <v>3000.97811397892</v>
      </c>
      <c r="L51" s="16" t="n">
        <f aca="false">IF(I51&gt;0,J51/(Premissas!$C$32-I51+1),0)</f>
        <v>3364.52690083757</v>
      </c>
      <c r="M51" s="16" t="n">
        <f aca="false">K51+L51</f>
        <v>6365.50501481649</v>
      </c>
      <c r="N51" s="16" t="n">
        <f aca="false">IF($A51=Premissas!$C$25,Premissas!$C$13*E51,IF(I51&gt;0,J51-L51,0))</f>
        <v>312901.001777894</v>
      </c>
      <c r="O51" s="37" t="n">
        <f aca="false">IF($A51&gt;=Premissas!$C$27,Premissas!$C$39*IF(((YEAR($A51)-YEAR(Premissas!$C$27))*12+MONTH($A51)-MONTH(Premissas!$C$27))&lt;Premissas!$C$41,Premissas!$C$42,1),0)</f>
        <v>0.62</v>
      </c>
      <c r="P51" s="16" t="n">
        <f aca="false">O51*Premissas!$C$38*Premissas!$C$40*(1+Premissas!$C$60)^((YEAR($A51)-YEAR(Premissas!$C$19))*12+MONTH($A51)-MONTH(Premissas!$C$19))</f>
        <v>4972.04725460642</v>
      </c>
      <c r="Q51" s="16" t="n">
        <f aca="false">P51*Premissas!$C$43</f>
        <v>795.527560737028</v>
      </c>
      <c r="R51" s="16" t="n">
        <f aca="false">P51*Premissas!$C$44</f>
        <v>994.409450921285</v>
      </c>
      <c r="S51" s="16" t="n">
        <f aca="false">IF($A51&gt;=Premissas!$C$25,Premissas!$C$45*(1+Premissas!$C$60)^((YEAR($A51)-YEAR(Premissas!$C$19))*12+MONTH($A51)-MONTH(Premissas!$C$19)),0)</f>
        <v>871.677288675741</v>
      </c>
      <c r="T51" s="16" t="n">
        <f aca="false">IF($A51&gt;=Premissas!$C$27,Premissas!$C$46*(1+Premissas!$C$60)^((YEAR($A51)-YEAR(Premissas!$C$19))*12+MONTH($A51)-MONTH(Premissas!$C$19)),0)</f>
        <v>348.670915470296</v>
      </c>
      <c r="U51" s="16" t="n">
        <f aca="false">IF($A51&gt;=Premissas!$C$27,Premissas!$C$47*(1+Premissas!$C$60)^((YEAR($A51)-YEAR(Premissas!$C$19))*12+MONTH($A51)-MONTH(Premissas!$C$19)),0)</f>
        <v>174.335457735148</v>
      </c>
      <c r="V51" s="16" t="n">
        <f aca="false">IF($A51&gt;=Premissas!$C$27,MAX(0,P51-Q51-R51-S51)*Premissas!$C$49,0)</f>
        <v>635.369062424902</v>
      </c>
      <c r="W51" s="16" t="n">
        <f aca="false">P51-Q51-R51-S51-T51-U51-V51</f>
        <v>1152.05751864202</v>
      </c>
      <c r="X51" s="16" t="n">
        <f aca="false">W51-F51-G51-H51-M51</f>
        <v>-5213.44749617447</v>
      </c>
      <c r="Y51" s="16" t="n">
        <f aca="false">Y50+X51</f>
        <v>-347059.587381365</v>
      </c>
      <c r="Z51" s="16" t="n">
        <f aca="false">Premissas!$C$14*(1+Premissas!$C$57)^((YEAR(Premissas!$C$19)-YEAR(Premissas!$C$18))*12+MONTH(Premissas!$C$19)-MONTH(Premissas!$C$18))*(1+Premissas!$C$61)^((YEAR($A51)-YEAR(Premissas!$C$19))*12+MONTH($A51)-MONTH(Premissas!$C$19))</f>
        <v>576570.608991146</v>
      </c>
      <c r="AA51" s="16" t="n">
        <f aca="false">IF($A51&gt;=Premissas!$C$25,Z51*(1-Premissas!$C$53)-N51-Premissas!$C$54*MAX(0,Z51*(1-Premissas!$C$53)-(Premissas!$C$14*(1+Premissas!$C$57)^((YEAR(Premissas!$C$25)-YEAR(Premissas!$C$18))*12+MONTH(Premissas!$C$25)-MONTH(Premissas!$C$18))*(1+Premissas!$C$34))),"")</f>
        <v>228981.124317697</v>
      </c>
      <c r="AB51" s="16" t="n">
        <f aca="false">IF($A51&gt;=Premissas!$C$25,Y51+AA51,"")</f>
        <v>-118078.463063668</v>
      </c>
      <c r="AC51" s="20" t="str">
        <f aca="false">IF(AND($A51&gt;=Premissas!$C$27,W51&gt;=M51),$A51,"")</f>
        <v/>
      </c>
      <c r="AD51" s="20" t="str">
        <f aca="false">IF(AND($A51&gt;=Premissas!$C$27,Y51&gt;=0),$A51,"")</f>
        <v/>
      </c>
      <c r="AE51" s="20" t="str">
        <f aca="false">IF(AND($A51&gt;=Premissas!$C$25,N(AB51)&gt;=0),$A51,"")</f>
        <v/>
      </c>
    </row>
    <row r="52" customFormat="false" ht="15" hidden="false" customHeight="false" outlineLevel="0" collapsed="false">
      <c r="A52" s="20" t="n">
        <f aca="false">DATE(YEAR(A51),MONTH(A51)+1,1)</f>
        <v>47818</v>
      </c>
      <c r="B52" s="5" t="str">
        <f aca="false">IF($A52&lt;Premissas!$C$25,"Obra",IF($A52=Premissas!$C$25,"Chaves",IF($A52&lt;Premissas!$C$27,"Mobiliando","Airbnb")))</f>
        <v>Airbnb</v>
      </c>
      <c r="C52" s="35" t="n">
        <f aca="false">(YEAR($A52)-YEAR(Premissas!$C$18))*12+MONTH($A52)-MONTH(Premissas!$C$18)</f>
        <v>51</v>
      </c>
      <c r="D52" s="16" t="n">
        <f aca="false">($A52=Premissas!$C$19)*Premissas!$C$8+(($A52=EDATE(Premissas!$C$19,1))+($A52=EDATE(Premissas!$C$19,2)))*Premissas!$C$9+AND($A52&gt;=Premissas!$C$20,$A52&lt;EDATE(Premissas!$C$20,Premissas!$C$21))*Premissas!$C$10+(($A52=Premissas!$C$22)+($A52=Premissas!$C$23)+($A52=Premissas!$C$24))*Premissas!$C$11+($A52=Premissas!$C$25)*Premissas!$C$12</f>
        <v>0</v>
      </c>
      <c r="E52" s="36" t="n">
        <f aca="false">(1+Premissas!$C$57)^C52</f>
        <v>1.25551802889428</v>
      </c>
      <c r="F52" s="16" t="n">
        <f aca="false">D52*E52</f>
        <v>0</v>
      </c>
      <c r="G52" s="16" t="n">
        <f aca="false">($A52=Premissas!$C$25)*Premissas!$C$34*Premissas!$C$14*(1+Premissas!$C$57)^C52</f>
        <v>0</v>
      </c>
      <c r="H52" s="16" t="n">
        <f aca="false">IF(AND($A52&gt;Premissas!$C$25,$A52&lt;Premissas!$C$27),Premissas!$C$35/MAX(1,Premissas!$C$26),0)</f>
        <v>0</v>
      </c>
      <c r="I52" s="35" t="n">
        <f aca="false">IF(AND($A52&gt;Premissas!$C$25,((YEAR($A52)-YEAR(Premissas!$C$25))*12+MONTH($A52)-MONTH(Premissas!$C$25))&lt;=Premissas!$C$32),((YEAR($A52)-YEAR(Premissas!$C$25))*12+MONTH($A52)-MONTH(Premissas!$C$25)),0)</f>
        <v>28</v>
      </c>
      <c r="J52" s="16" t="n">
        <f aca="false">IF(I52&gt;0,N51*(1+Premissas!$C$59),0)</f>
        <v>313925.358235304</v>
      </c>
      <c r="K52" s="16" t="n">
        <f aca="false">J52*Premissas!$C$58</f>
        <v>2978.77272120961</v>
      </c>
      <c r="L52" s="16" t="n">
        <f aca="false">IF(I52&gt;0,J52/(Premissas!$C$32-I52+1),0)</f>
        <v>3375.54148640112</v>
      </c>
      <c r="M52" s="16" t="n">
        <f aca="false">K52+L52</f>
        <v>6354.31420761073</v>
      </c>
      <c r="N52" s="16" t="n">
        <f aca="false">IF($A52=Premissas!$C$25,Premissas!$C$13*E52,IF(I52&gt;0,J52-L52,0))</f>
        <v>310549.816748903</v>
      </c>
      <c r="O52" s="37" t="n">
        <f aca="false">IF($A52&gt;=Premissas!$C$27,Premissas!$C$39*IF(((YEAR($A52)-YEAR(Premissas!$C$27))*12+MONTH($A52)-MONTH(Premissas!$C$27))&lt;Premissas!$C$41,Premissas!$C$42,1),0)</f>
        <v>0.62</v>
      </c>
      <c r="P52" s="16" t="n">
        <f aca="false">O52*Premissas!$C$38*Premissas!$C$40*(1+Premissas!$C$60)^((YEAR($A52)-YEAR(Premissas!$C$19))*12+MONTH($A52)-MONTH(Premissas!$C$19))</f>
        <v>4988.3244435028</v>
      </c>
      <c r="Q52" s="16" t="n">
        <f aca="false">P52*Premissas!$C$43</f>
        <v>798.131910960448</v>
      </c>
      <c r="R52" s="16" t="n">
        <f aca="false">P52*Premissas!$C$44</f>
        <v>997.66488870056</v>
      </c>
      <c r="S52" s="16" t="n">
        <f aca="false">IF($A52&gt;=Premissas!$C$25,Premissas!$C$45*(1+Premissas!$C$60)^((YEAR($A52)-YEAR(Premissas!$C$19))*12+MONTH($A52)-MONTH(Premissas!$C$19)),0)</f>
        <v>874.530933292918</v>
      </c>
      <c r="T52" s="16" t="n">
        <f aca="false">IF($A52&gt;=Premissas!$C$27,Premissas!$C$46*(1+Premissas!$C$60)^((YEAR($A52)-YEAR(Premissas!$C$19))*12+MONTH($A52)-MONTH(Premissas!$C$19)),0)</f>
        <v>349.812373317167</v>
      </c>
      <c r="U52" s="16" t="n">
        <f aca="false">IF($A52&gt;=Premissas!$C$27,Premissas!$C$47*(1+Premissas!$C$60)^((YEAR($A52)-YEAR(Premissas!$C$19))*12+MONTH($A52)-MONTH(Premissas!$C$19)),0)</f>
        <v>174.906186658584</v>
      </c>
      <c r="V52" s="16" t="n">
        <f aca="false">IF($A52&gt;=Premissas!$C$27,MAX(0,P52-Q52-R52-S52)*Premissas!$C$49,0)</f>
        <v>637.449095400941</v>
      </c>
      <c r="W52" s="16" t="n">
        <f aca="false">P52-Q52-R52-S52-T52-U52-V52</f>
        <v>1155.82905517218</v>
      </c>
      <c r="X52" s="16" t="n">
        <f aca="false">W52-F52-G52-H52-M52</f>
        <v>-5198.48515243854</v>
      </c>
      <c r="Y52" s="16" t="n">
        <f aca="false">Y51+X52</f>
        <v>-352258.072533803</v>
      </c>
      <c r="Z52" s="16" t="n">
        <f aca="false">Premissas!$C$14*(1+Premissas!$C$57)^((YEAR(Premissas!$C$19)-YEAR(Premissas!$C$18))*12+MONTH(Premissas!$C$19)-MONTH(Premissas!$C$18))*(1+Premissas!$C$61)^((YEAR($A52)-YEAR(Premissas!$C$19))*12+MONTH($A52)-MONTH(Premissas!$C$19))</f>
        <v>578919.629022189</v>
      </c>
      <c r="AA52" s="16" t="n">
        <f aca="false">IF($A52&gt;=Premissas!$C$25,Z52*(1-Premissas!$C$53)-N52-Premissas!$C$54*MAX(0,Z52*(1-Premissas!$C$53)-(Premissas!$C$14*(1+Premissas!$C$57)^((YEAR(Premissas!$C$25)-YEAR(Premissas!$C$18))*12+MONTH(Premissas!$C$25)-MONTH(Premissas!$C$18))*(1+Premissas!$C$34))),"")</f>
        <v>233209.176351491</v>
      </c>
      <c r="AB52" s="16" t="n">
        <f aca="false">IF($A52&gt;=Premissas!$C$25,Y52+AA52,"")</f>
        <v>-119048.896182312</v>
      </c>
      <c r="AC52" s="20" t="str">
        <f aca="false">IF(AND($A52&gt;=Premissas!$C$27,W52&gt;=M52),$A52,"")</f>
        <v/>
      </c>
      <c r="AD52" s="20" t="str">
        <f aca="false">IF(AND($A52&gt;=Premissas!$C$27,Y52&gt;=0),$A52,"")</f>
        <v/>
      </c>
      <c r="AE52" s="20" t="str">
        <f aca="false">IF(AND($A52&gt;=Premissas!$C$25,N(AB52)&gt;=0),$A52,"")</f>
        <v/>
      </c>
    </row>
    <row r="53" customFormat="false" ht="15" hidden="false" customHeight="false" outlineLevel="0" collapsed="false">
      <c r="A53" s="29" t="n">
        <f aca="false">DATE(YEAR(A52),MONTH(A52)+1,1)</f>
        <v>47849</v>
      </c>
      <c r="B53" s="30" t="str">
        <f aca="false">IF($A53&lt;Premissas!$C$25,"Obra",IF($A53=Premissas!$C$25,"Chaves",IF($A53&lt;Premissas!$C$27,"Mobiliando","Airbnb")))</f>
        <v>Airbnb</v>
      </c>
      <c r="C53" s="31" t="n">
        <f aca="false">(YEAR($A53)-YEAR(Premissas!$C$18))*12+MONTH($A53)-MONTH(Premissas!$C$18)</f>
        <v>52</v>
      </c>
      <c r="D53" s="32" t="n">
        <f aca="false">($A53=Premissas!$C$19)*Premissas!$C$8+(($A53=EDATE(Premissas!$C$19,1))+($A53=EDATE(Premissas!$C$19,2)))*Premissas!$C$9+AND($A53&gt;=Premissas!$C$20,$A53&lt;EDATE(Premissas!$C$20,Premissas!$C$21))*Premissas!$C$10+(($A53=Premissas!$C$22)+($A53=Premissas!$C$23)+($A53=Premissas!$C$24))*Premissas!$C$11+($A53=Premissas!$C$25)*Premissas!$C$12</f>
        <v>0</v>
      </c>
      <c r="E53" s="33" t="n">
        <f aca="false">(1+Premissas!$C$57)^C53</f>
        <v>1.26113232750442</v>
      </c>
      <c r="F53" s="32" t="n">
        <f aca="false">D53*E53</f>
        <v>0</v>
      </c>
      <c r="G53" s="32" t="n">
        <f aca="false">($A53=Premissas!$C$25)*Premissas!$C$34*Premissas!$C$14*(1+Premissas!$C$57)^C53</f>
        <v>0</v>
      </c>
      <c r="H53" s="32" t="n">
        <f aca="false">IF(AND($A53&gt;Premissas!$C$25,$A53&lt;Premissas!$C$27),Premissas!$C$35/MAX(1,Premissas!$C$26),0)</f>
        <v>0</v>
      </c>
      <c r="I53" s="31" t="n">
        <f aca="false">IF(AND($A53&gt;Premissas!$C$25,((YEAR($A53)-YEAR(Premissas!$C$25))*12+MONTH($A53)-MONTH(Premissas!$C$25))&lt;=Premissas!$C$32),((YEAR($A53)-YEAR(Premissas!$C$25))*12+MONTH($A53)-MONTH(Premissas!$C$25)),0)</f>
        <v>29</v>
      </c>
      <c r="J53" s="32" t="n">
        <f aca="false">IF(I53&gt;0,N52*(1+Premissas!$C$59),0)</f>
        <v>311566.476038349</v>
      </c>
      <c r="K53" s="32" t="n">
        <f aca="false">J53*Premissas!$C$58</f>
        <v>2956.38977648562</v>
      </c>
      <c r="L53" s="32" t="n">
        <f aca="false">IF(I53&gt;0,J53/(Premissas!$C$32-I53+1),0)</f>
        <v>3386.59213085162</v>
      </c>
      <c r="M53" s="32" t="n">
        <f aca="false">K53+L53</f>
        <v>6342.98190733724</v>
      </c>
      <c r="N53" s="32" t="n">
        <f aca="false">IF($A53=Premissas!$C$25,Premissas!$C$13*E53,IF(I53&gt;0,J53-L53,0))</f>
        <v>308179.883907497</v>
      </c>
      <c r="O53" s="34" t="n">
        <f aca="false">IF($A53&gt;=Premissas!$C$27,Premissas!$C$39*IF(((YEAR($A53)-YEAR(Premissas!$C$27))*12+MONTH($A53)-MONTH(Premissas!$C$27))&lt;Premissas!$C$41,Premissas!$C$42,1),0)</f>
        <v>0.62</v>
      </c>
      <c r="P53" s="32" t="n">
        <f aca="false">O53*Premissas!$C$38*Premissas!$C$40*(1+Premissas!$C$60)^((YEAR($A53)-YEAR(Premissas!$C$19))*12+MONTH($A53)-MONTH(Premissas!$C$19))</f>
        <v>5004.65491968001</v>
      </c>
      <c r="Q53" s="32" t="n">
        <f aca="false">P53*Premissas!$C$43</f>
        <v>800.744787148802</v>
      </c>
      <c r="R53" s="32" t="n">
        <f aca="false">P53*Premissas!$C$44</f>
        <v>1000.930983936</v>
      </c>
      <c r="S53" s="32" t="n">
        <f aca="false">IF($A53&gt;=Premissas!$C$25,Premissas!$C$45*(1+Premissas!$C$60)^((YEAR($A53)-YEAR(Premissas!$C$19))*12+MONTH($A53)-MONTH(Premissas!$C$19)),0)</f>
        <v>877.393920000002</v>
      </c>
      <c r="T53" s="32" t="n">
        <f aca="false">IF($A53&gt;=Premissas!$C$27,Premissas!$C$46*(1+Premissas!$C$60)^((YEAR($A53)-YEAR(Premissas!$C$19))*12+MONTH($A53)-MONTH(Premissas!$C$19)),0)</f>
        <v>350.957568000001</v>
      </c>
      <c r="U53" s="32" t="n">
        <f aca="false">IF($A53&gt;=Premissas!$C$27,Premissas!$C$47*(1+Premissas!$C$60)^((YEAR($A53)-YEAR(Premissas!$C$19))*12+MONTH($A53)-MONTH(Premissas!$C$19)),0)</f>
        <v>175.478784</v>
      </c>
      <c r="V53" s="32" t="n">
        <f aca="false">IF($A53&gt;=Premissas!$C$27,MAX(0,P53-Q53-R53-S53)*Premissas!$C$49,0)</f>
        <v>639.535937863682</v>
      </c>
      <c r="W53" s="32" t="n">
        <f aca="false">P53-Q53-R53-S53-T53-U53-V53</f>
        <v>1159.61293873152</v>
      </c>
      <c r="X53" s="32" t="n">
        <f aca="false">W53-F53-G53-H53-M53</f>
        <v>-5183.36896860571</v>
      </c>
      <c r="Y53" s="32" t="n">
        <f aca="false">Y52+X53</f>
        <v>-357441.441502409</v>
      </c>
      <c r="Z53" s="32" t="n">
        <f aca="false">Premissas!$C$14*(1+Premissas!$C$57)^((YEAR(Premissas!$C$19)-YEAR(Premissas!$C$18))*12+MONTH(Premissas!$C$19)-MONTH(Premissas!$C$18))*(1+Premissas!$C$61)^((YEAR($A53)-YEAR(Premissas!$C$19))*12+MONTH($A53)-MONTH(Premissas!$C$19))</f>
        <v>581278.219251609</v>
      </c>
      <c r="AA53" s="32" t="n">
        <f aca="false">IF($A53&gt;=Premissas!$C$25,Z53*(1-Premissas!$C$53)-N53-Premissas!$C$54*MAX(0,Z53*(1-Premissas!$C$53)-(Premissas!$C$14*(1+Premissas!$C$57)^((YEAR(Premissas!$C$25)-YEAR(Premissas!$C$18))*12+MONTH(Premissas!$C$25)-MONTH(Premissas!$C$18))*(1+Premissas!$C$34))),"")</f>
        <v>237463.622786204</v>
      </c>
      <c r="AB53" s="32" t="n">
        <f aca="false">IF($A53&gt;=Premissas!$C$25,Y53+AA53,"")</f>
        <v>-119977.818716205</v>
      </c>
      <c r="AC53" s="29" t="str">
        <f aca="false">IF(AND($A53&gt;=Premissas!$C$27,W53&gt;=M53),$A53,"")</f>
        <v/>
      </c>
      <c r="AD53" s="29" t="str">
        <f aca="false">IF(AND($A53&gt;=Premissas!$C$27,Y53&gt;=0),$A53,"")</f>
        <v/>
      </c>
      <c r="AE53" s="29" t="str">
        <f aca="false">IF(AND($A53&gt;=Premissas!$C$25,N(AB53)&gt;=0),$A53,"")</f>
        <v/>
      </c>
    </row>
    <row r="54" customFormat="false" ht="15" hidden="false" customHeight="false" outlineLevel="0" collapsed="false">
      <c r="A54" s="20" t="n">
        <f aca="false">DATE(YEAR(A53),MONTH(A53)+1,1)</f>
        <v>47880</v>
      </c>
      <c r="B54" s="5" t="str">
        <f aca="false">IF($A54&lt;Premissas!$C$25,"Obra",IF($A54=Premissas!$C$25,"Chaves",IF($A54&lt;Premissas!$C$27,"Mobiliando","Airbnb")))</f>
        <v>Airbnb</v>
      </c>
      <c r="C54" s="35" t="n">
        <f aca="false">(YEAR($A54)-YEAR(Premissas!$C$18))*12+MONTH($A54)-MONTH(Premissas!$C$18)</f>
        <v>53</v>
      </c>
      <c r="D54" s="16" t="n">
        <f aca="false">($A54=Premissas!$C$19)*Premissas!$C$8+(($A54=EDATE(Premissas!$C$19,1))+($A54=EDATE(Premissas!$C$19,2)))*Premissas!$C$9+AND($A54&gt;=Premissas!$C$20,$A54&lt;EDATE(Premissas!$C$20,Premissas!$C$21))*Premissas!$C$10+(($A54=Premissas!$C$22)+($A54=Premissas!$C$23)+($A54=Premissas!$C$24))*Premissas!$C$11+($A54=Premissas!$C$25)*Premissas!$C$12</f>
        <v>0</v>
      </c>
      <c r="E54" s="36" t="n">
        <f aca="false">(1+Premissas!$C$57)^C54</f>
        <v>1.26677173156757</v>
      </c>
      <c r="F54" s="16" t="n">
        <f aca="false">D54*E54</f>
        <v>0</v>
      </c>
      <c r="G54" s="16" t="n">
        <f aca="false">($A54=Premissas!$C$25)*Premissas!$C$34*Premissas!$C$14*(1+Premissas!$C$57)^C54</f>
        <v>0</v>
      </c>
      <c r="H54" s="16" t="n">
        <f aca="false">IF(AND($A54&gt;Premissas!$C$25,$A54&lt;Premissas!$C$27),Premissas!$C$35/MAX(1,Premissas!$C$26),0)</f>
        <v>0</v>
      </c>
      <c r="I54" s="35" t="n">
        <f aca="false">IF(AND($A54&gt;Premissas!$C$25,((YEAR($A54)-YEAR(Premissas!$C$25))*12+MONTH($A54)-MONTH(Premissas!$C$25))&lt;=Premissas!$C$32),((YEAR($A54)-YEAR(Premissas!$C$25))*12+MONTH($A54)-MONTH(Premissas!$C$25)),0)</f>
        <v>30</v>
      </c>
      <c r="J54" s="16" t="n">
        <f aca="false">IF(I54&gt;0,N53*(1+Premissas!$C$59),0)</f>
        <v>309188.784653518</v>
      </c>
      <c r="K54" s="16" t="n">
        <f aca="false">J54*Premissas!$C$58</f>
        <v>2933.82835527262</v>
      </c>
      <c r="L54" s="16" t="n">
        <f aca="false">IF(I54&gt;0,J54/(Premissas!$C$32-I54+1),0)</f>
        <v>3397.67895223647</v>
      </c>
      <c r="M54" s="16" t="n">
        <f aca="false">K54+L54</f>
        <v>6331.50730750909</v>
      </c>
      <c r="N54" s="16" t="n">
        <f aca="false">IF($A54=Premissas!$C$25,Premissas!$C$13*E54,IF(I54&gt;0,J54-L54,0))</f>
        <v>305791.105701282</v>
      </c>
      <c r="O54" s="37" t="n">
        <f aca="false">IF($A54&gt;=Premissas!$C$27,Premissas!$C$39*IF(((YEAR($A54)-YEAR(Premissas!$C$27))*12+MONTH($A54)-MONTH(Premissas!$C$27))&lt;Premissas!$C$41,Premissas!$C$42,1),0)</f>
        <v>0.62</v>
      </c>
      <c r="P54" s="16" t="n">
        <f aca="false">O54*Premissas!$C$38*Premissas!$C$40*(1+Premissas!$C$60)^((YEAR($A54)-YEAR(Premissas!$C$19))*12+MONTH($A54)-MONTH(Premissas!$C$19))</f>
        <v>5021.03885758675</v>
      </c>
      <c r="Q54" s="16" t="n">
        <f aca="false">P54*Premissas!$C$43</f>
        <v>803.366217213879</v>
      </c>
      <c r="R54" s="16" t="n">
        <f aca="false">P54*Premissas!$C$44</f>
        <v>1004.20777151735</v>
      </c>
      <c r="S54" s="16" t="n">
        <f aca="false">IF($A54&gt;=Premissas!$C$25,Premissas!$C$45*(1+Premissas!$C$60)^((YEAR($A54)-YEAR(Premissas!$C$19))*12+MONTH($A54)-MONTH(Premissas!$C$19)),0)</f>
        <v>880.266279380566</v>
      </c>
      <c r="T54" s="16" t="n">
        <f aca="false">IF($A54&gt;=Premissas!$C$27,Premissas!$C$46*(1+Premissas!$C$60)^((YEAR($A54)-YEAR(Premissas!$C$19))*12+MONTH($A54)-MONTH(Premissas!$C$19)),0)</f>
        <v>352.106511752226</v>
      </c>
      <c r="U54" s="16" t="n">
        <f aca="false">IF($A54&gt;=Premissas!$C$27,Premissas!$C$47*(1+Premissas!$C$60)^((YEAR($A54)-YEAR(Premissas!$C$19))*12+MONTH($A54)-MONTH(Premissas!$C$19)),0)</f>
        <v>176.053255876113</v>
      </c>
      <c r="V54" s="16" t="n">
        <f aca="false">IF($A54&gt;=Premissas!$C$27,MAX(0,P54-Q54-R54-S54)*Premissas!$C$49,0)</f>
        <v>641.629612105612</v>
      </c>
      <c r="W54" s="16" t="n">
        <f aca="false">P54-Q54-R54-S54-T54-U54-V54</f>
        <v>1163.409209741</v>
      </c>
      <c r="X54" s="16" t="n">
        <f aca="false">W54-F54-G54-H54-M54</f>
        <v>-5168.09809776809</v>
      </c>
      <c r="Y54" s="16" t="n">
        <f aca="false">Y53+X54</f>
        <v>-362609.539600177</v>
      </c>
      <c r="Z54" s="16" t="n">
        <f aca="false">Premissas!$C$14*(1+Premissas!$C$57)^((YEAR(Premissas!$C$19)-YEAR(Premissas!$C$18))*12+MONTH(Premissas!$C$19)-MONTH(Premissas!$C$18))*(1+Premissas!$C$61)^((YEAR($A54)-YEAR(Premissas!$C$19))*12+MONTH($A54)-MONTH(Premissas!$C$19))</f>
        <v>583646.418669579</v>
      </c>
      <c r="AA54" s="16" t="n">
        <f aca="false">IF($A54&gt;=Premissas!$C$25,Z54*(1-Premissas!$C$53)-N54-Premissas!$C$54*MAX(0,Z54*(1-Premissas!$C$53)-(Premissas!$C$14*(1+Premissas!$C$57)^((YEAR(Premissas!$C$25)-YEAR(Premissas!$C$18))*12+MONTH(Premissas!$C$25)-MONTH(Premissas!$C$18))*(1+Premissas!$C$34))),"")</f>
        <v>241744.592327377</v>
      </c>
      <c r="AB54" s="16" t="n">
        <f aca="false">IF($A54&gt;=Premissas!$C$25,Y54+AA54,"")</f>
        <v>-120864.9472728</v>
      </c>
      <c r="AC54" s="20" t="str">
        <f aca="false">IF(AND($A54&gt;=Premissas!$C$27,W54&gt;=M54),$A54,"")</f>
        <v/>
      </c>
      <c r="AD54" s="20" t="str">
        <f aca="false">IF(AND($A54&gt;=Premissas!$C$27,Y54&gt;=0),$A54,"")</f>
        <v/>
      </c>
      <c r="AE54" s="20" t="str">
        <f aca="false">IF(AND($A54&gt;=Premissas!$C$25,N(AB54)&gt;=0),$A54,"")</f>
        <v/>
      </c>
    </row>
    <row r="55" customFormat="false" ht="15" hidden="false" customHeight="false" outlineLevel="0" collapsed="false">
      <c r="A55" s="20" t="n">
        <f aca="false">DATE(YEAR(A54),MONTH(A54)+1,1)</f>
        <v>47908</v>
      </c>
      <c r="B55" s="5" t="str">
        <f aca="false">IF($A55&lt;Premissas!$C$25,"Obra",IF($A55=Premissas!$C$25,"Chaves",IF($A55&lt;Premissas!$C$27,"Mobiliando","Airbnb")))</f>
        <v>Airbnb</v>
      </c>
      <c r="C55" s="35" t="n">
        <f aca="false">(YEAR($A55)-YEAR(Premissas!$C$18))*12+MONTH($A55)-MONTH(Premissas!$C$18)</f>
        <v>54</v>
      </c>
      <c r="D55" s="16" t="n">
        <f aca="false">($A55=Premissas!$C$19)*Premissas!$C$8+(($A55=EDATE(Premissas!$C$19,1))+($A55=EDATE(Premissas!$C$19,2)))*Premissas!$C$9+AND($A55&gt;=Premissas!$C$20,$A55&lt;EDATE(Premissas!$C$20,Premissas!$C$21))*Premissas!$C$10+(($A55=Premissas!$C$22)+($A55=Premissas!$C$23)+($A55=Premissas!$C$24))*Premissas!$C$11+($A55=Premissas!$C$25)*Premissas!$C$12</f>
        <v>0</v>
      </c>
      <c r="E55" s="36" t="n">
        <f aca="false">(1+Premissas!$C$57)^C55</f>
        <v>1.27243635334776</v>
      </c>
      <c r="F55" s="16" t="n">
        <f aca="false">D55*E55</f>
        <v>0</v>
      </c>
      <c r="G55" s="16" t="n">
        <f aca="false">($A55=Premissas!$C$25)*Premissas!$C$34*Premissas!$C$14*(1+Premissas!$C$57)^C55</f>
        <v>0</v>
      </c>
      <c r="H55" s="16" t="n">
        <f aca="false">IF(AND($A55&gt;Premissas!$C$25,$A55&lt;Premissas!$C$27),Premissas!$C$35/MAX(1,Premissas!$C$26),0)</f>
        <v>0</v>
      </c>
      <c r="I55" s="35" t="n">
        <f aca="false">IF(AND($A55&gt;Premissas!$C$25,((YEAR($A55)-YEAR(Premissas!$C$25))*12+MONTH($A55)-MONTH(Premissas!$C$25))&lt;=Premissas!$C$32),((YEAR($A55)-YEAR(Premissas!$C$25))*12+MONTH($A55)-MONTH(Premissas!$C$25)),0)</f>
        <v>31</v>
      </c>
      <c r="J55" s="16" t="n">
        <f aca="false">IF(I55&gt;0,N54*(1+Premissas!$C$59),0)</f>
        <v>306792.186209059</v>
      </c>
      <c r="K55" s="16" t="n">
        <f aca="false">J55*Premissas!$C$58</f>
        <v>2911.0875288858</v>
      </c>
      <c r="L55" s="16" t="n">
        <f aca="false">IF(I55&gt;0,J55/(Premissas!$C$32-I55+1),0)</f>
        <v>3408.80206898954</v>
      </c>
      <c r="M55" s="16" t="n">
        <f aca="false">K55+L55</f>
        <v>6319.88959787535</v>
      </c>
      <c r="N55" s="16" t="n">
        <f aca="false">IF($A55=Premissas!$C$25,Premissas!$C$13*E55,IF(I55&gt;0,J55-L55,0))</f>
        <v>303383.384140069</v>
      </c>
      <c r="O55" s="37" t="n">
        <f aca="false">IF($A55&gt;=Premissas!$C$27,Premissas!$C$39*IF(((YEAR($A55)-YEAR(Premissas!$C$27))*12+MONTH($A55)-MONTH(Premissas!$C$27))&lt;Premissas!$C$41,Premissas!$C$42,1),0)</f>
        <v>0.62</v>
      </c>
      <c r="P55" s="16" t="n">
        <f aca="false">O55*Premissas!$C$38*Premissas!$C$40*(1+Premissas!$C$60)^((YEAR($A55)-YEAR(Premissas!$C$19))*12+MONTH($A55)-MONTH(Premissas!$C$19))</f>
        <v>5037.47643224279</v>
      </c>
      <c r="Q55" s="16" t="n">
        <f aca="false">P55*Premissas!$C$43</f>
        <v>805.996229158847</v>
      </c>
      <c r="R55" s="16" t="n">
        <f aca="false">P55*Premissas!$C$44</f>
        <v>1007.49528644856</v>
      </c>
      <c r="S55" s="16" t="n">
        <f aca="false">IF($A55&gt;=Premissas!$C$25,Premissas!$C$45*(1+Premissas!$C$60)^((YEAR($A55)-YEAR(Premissas!$C$19))*12+MONTH($A55)-MONTH(Premissas!$C$19)),0)</f>
        <v>883.148042118302</v>
      </c>
      <c r="T55" s="16" t="n">
        <f aca="false">IF($A55&gt;=Premissas!$C$27,Premissas!$C$46*(1+Premissas!$C$60)^((YEAR($A55)-YEAR(Premissas!$C$19))*12+MONTH($A55)-MONTH(Premissas!$C$19)),0)</f>
        <v>353.259216847321</v>
      </c>
      <c r="U55" s="16" t="n">
        <f aca="false">IF($A55&gt;=Premissas!$C$27,Premissas!$C$47*(1+Premissas!$C$60)^((YEAR($A55)-YEAR(Premissas!$C$19))*12+MONTH($A55)-MONTH(Premissas!$C$19)),0)</f>
        <v>176.62960842366</v>
      </c>
      <c r="V55" s="16" t="n">
        <f aca="false">IF($A55&gt;=Premissas!$C$27,MAX(0,P55-Q55-R55-S55)*Premissas!$C$49,0)</f>
        <v>643.730140492199</v>
      </c>
      <c r="W55" s="16" t="n">
        <f aca="false">P55-Q55-R55-S55-T55-U55-V55</f>
        <v>1167.21790875391</v>
      </c>
      <c r="X55" s="16" t="n">
        <f aca="false">W55-F55-G55-H55-M55</f>
        <v>-5152.67168912144</v>
      </c>
      <c r="Y55" s="16" t="n">
        <f aca="false">Y54+X55</f>
        <v>-367762.211289299</v>
      </c>
      <c r="Z55" s="16" t="n">
        <f aca="false">Premissas!$C$14*(1+Premissas!$C$57)^((YEAR(Premissas!$C$19)-YEAR(Premissas!$C$18))*12+MONTH(Premissas!$C$19)-MONTH(Premissas!$C$18))*(1+Premissas!$C$61)^((YEAR($A55)-YEAR(Premissas!$C$19))*12+MONTH($A55)-MONTH(Premissas!$C$19))</f>
        <v>586024.266425122</v>
      </c>
      <c r="AA55" s="16" t="n">
        <f aca="false">IF($A55&gt;=Premissas!$C$25,Z55*(1-Premissas!$C$53)-N55-Premissas!$C$54*MAX(0,Z55*(1-Premissas!$C$53)-(Premissas!$C$14*(1+Premissas!$C$57)^((YEAR(Premissas!$C$25)-YEAR(Premissas!$C$18))*12+MONTH(Premissas!$C$25)-MONTH(Premissas!$C$18))*(1+Premissas!$C$34))),"")</f>
        <v>246052.214245268</v>
      </c>
      <c r="AB55" s="16" t="n">
        <f aca="false">IF($A55&gt;=Premissas!$C$25,Y55+AA55,"")</f>
        <v>-121709.99704403</v>
      </c>
      <c r="AC55" s="20" t="str">
        <f aca="false">IF(AND($A55&gt;=Premissas!$C$27,W55&gt;=M55),$A55,"")</f>
        <v/>
      </c>
      <c r="AD55" s="20" t="str">
        <f aca="false">IF(AND($A55&gt;=Premissas!$C$27,Y55&gt;=0),$A55,"")</f>
        <v/>
      </c>
      <c r="AE55" s="20" t="str">
        <f aca="false">IF(AND($A55&gt;=Premissas!$C$25,N(AB55)&gt;=0),$A55,"")</f>
        <v/>
      </c>
    </row>
    <row r="56" customFormat="false" ht="15" hidden="false" customHeight="false" outlineLevel="0" collapsed="false">
      <c r="A56" s="20" t="n">
        <f aca="false">DATE(YEAR(A55),MONTH(A55)+1,1)</f>
        <v>47939</v>
      </c>
      <c r="B56" s="5" t="str">
        <f aca="false">IF($A56&lt;Premissas!$C$25,"Obra",IF($A56=Premissas!$C$25,"Chaves",IF($A56&lt;Premissas!$C$27,"Mobiliando","Airbnb")))</f>
        <v>Airbnb</v>
      </c>
      <c r="C56" s="35" t="n">
        <f aca="false">(YEAR($A56)-YEAR(Premissas!$C$18))*12+MONTH($A56)-MONTH(Premissas!$C$18)</f>
        <v>55</v>
      </c>
      <c r="D56" s="16" t="n">
        <f aca="false">($A56=Premissas!$C$19)*Premissas!$C$8+(($A56=EDATE(Premissas!$C$19,1))+($A56=EDATE(Premissas!$C$19,2)))*Premissas!$C$9+AND($A56&gt;=Premissas!$C$20,$A56&lt;EDATE(Premissas!$C$20,Premissas!$C$21))*Premissas!$C$10+(($A56=Premissas!$C$22)+($A56=Premissas!$C$23)+($A56=Premissas!$C$24))*Premissas!$C$11+($A56=Premissas!$C$25)*Premissas!$C$12</f>
        <v>0</v>
      </c>
      <c r="E56" s="36" t="n">
        <f aca="false">(1+Premissas!$C$57)^C56</f>
        <v>1.27812630561103</v>
      </c>
      <c r="F56" s="16" t="n">
        <f aca="false">D56*E56</f>
        <v>0</v>
      </c>
      <c r="G56" s="16" t="n">
        <f aca="false">($A56=Premissas!$C$25)*Premissas!$C$34*Premissas!$C$14*(1+Premissas!$C$57)^C56</f>
        <v>0</v>
      </c>
      <c r="H56" s="16" t="n">
        <f aca="false">IF(AND($A56&gt;Premissas!$C$25,$A56&lt;Premissas!$C$27),Premissas!$C$35/MAX(1,Premissas!$C$26),0)</f>
        <v>0</v>
      </c>
      <c r="I56" s="35" t="n">
        <f aca="false">IF(AND($A56&gt;Premissas!$C$25,((YEAR($A56)-YEAR(Premissas!$C$25))*12+MONTH($A56)-MONTH(Premissas!$C$25))&lt;=Premissas!$C$32),((YEAR($A56)-YEAR(Premissas!$C$25))*12+MONTH($A56)-MONTH(Premissas!$C$25)),0)</f>
        <v>32</v>
      </c>
      <c r="J56" s="16" t="n">
        <f aca="false">IF(I56&gt;0,N55*(1+Premissas!$C$59),0)</f>
        <v>304376.582393987</v>
      </c>
      <c r="K56" s="16" t="n">
        <f aca="false">J56*Premissas!$C$58</f>
        <v>2888.1663644726</v>
      </c>
      <c r="L56" s="16" t="n">
        <f aca="false">IF(I56&gt;0,J56/(Premissas!$C$32-I56+1),0)</f>
        <v>3419.96159993244</v>
      </c>
      <c r="M56" s="16" t="n">
        <f aca="false">K56+L56</f>
        <v>6308.12796440503</v>
      </c>
      <c r="N56" s="16" t="n">
        <f aca="false">IF($A56=Premissas!$C$25,Premissas!$C$13*E56,IF(I56&gt;0,J56-L56,0))</f>
        <v>300956.620794054</v>
      </c>
      <c r="O56" s="37" t="n">
        <f aca="false">IF($A56&gt;=Premissas!$C$27,Premissas!$C$39*IF(((YEAR($A56)-YEAR(Premissas!$C$27))*12+MONTH($A56)-MONTH(Premissas!$C$27))&lt;Premissas!$C$41,Premissas!$C$42,1),0)</f>
        <v>0.62</v>
      </c>
      <c r="P56" s="16" t="n">
        <f aca="false">O56*Premissas!$C$38*Premissas!$C$40*(1+Premissas!$C$60)^((YEAR($A56)-YEAR(Premissas!$C$19))*12+MONTH($A56)-MONTH(Premissas!$C$19))</f>
        <v>5053.96781924092</v>
      </c>
      <c r="Q56" s="16" t="n">
        <f aca="false">P56*Premissas!$C$43</f>
        <v>808.634851078547</v>
      </c>
      <c r="R56" s="16" t="n">
        <f aca="false">P56*Premissas!$C$44</f>
        <v>1010.79356384818</v>
      </c>
      <c r="S56" s="16" t="n">
        <f aca="false">IF($A56&gt;=Premissas!$C$25,Premissas!$C$45*(1+Premissas!$C$60)^((YEAR($A56)-YEAR(Premissas!$C$19))*12+MONTH($A56)-MONTH(Premissas!$C$19)),0)</f>
        <v>886.039238997356</v>
      </c>
      <c r="T56" s="16" t="n">
        <f aca="false">IF($A56&gt;=Premissas!$C$27,Premissas!$C$46*(1+Premissas!$C$60)^((YEAR($A56)-YEAR(Premissas!$C$19))*12+MONTH($A56)-MONTH(Premissas!$C$19)),0)</f>
        <v>354.415695598942</v>
      </c>
      <c r="U56" s="16" t="n">
        <f aca="false">IF($A56&gt;=Premissas!$C$27,Premissas!$C$47*(1+Premissas!$C$60)^((YEAR($A56)-YEAR(Premissas!$C$19))*12+MONTH($A56)-MONTH(Premissas!$C$19)),0)</f>
        <v>177.207847799471</v>
      </c>
      <c r="V56" s="16" t="n">
        <f aca="false">IF($A56&gt;=Premissas!$C$27,MAX(0,P56-Q56-R56-S56)*Premissas!$C$49,0)</f>
        <v>645.837545462129</v>
      </c>
      <c r="W56" s="16" t="n">
        <f aca="false">P56-Q56-R56-S56-T56-U56-V56</f>
        <v>1171.03907645629</v>
      </c>
      <c r="X56" s="16" t="n">
        <f aca="false">W56-F56-G56-H56-M56</f>
        <v>-5137.08888794874</v>
      </c>
      <c r="Y56" s="16" t="n">
        <f aca="false">Y55+X56</f>
        <v>-372899.300177247</v>
      </c>
      <c r="Z56" s="16" t="n">
        <f aca="false">Premissas!$C$14*(1+Premissas!$C$57)^((YEAR(Premissas!$C$19)-YEAR(Premissas!$C$18))*12+MONTH(Premissas!$C$19)-MONTH(Premissas!$C$18))*(1+Premissas!$C$61)^((YEAR($A56)-YEAR(Premissas!$C$19))*12+MONTH($A56)-MONTH(Premissas!$C$19))</f>
        <v>588411.80182676</v>
      </c>
      <c r="AA56" s="16" t="n">
        <f aca="false">IF($A56&gt;=Premissas!$C$25,Z56*(1-Premissas!$C$53)-N56-Premissas!$C$54*MAX(0,Z56*(1-Premissas!$C$53)-(Premissas!$C$14*(1+Premissas!$C$57)^((YEAR(Premissas!$C$25)-YEAR(Premissas!$C$18))*12+MONTH(Premissas!$C$25)-MONTH(Premissas!$C$18))*(1+Premissas!$C$34))),"")</f>
        <v>250386.618377192</v>
      </c>
      <c r="AB56" s="16" t="n">
        <f aca="false">IF($A56&gt;=Premissas!$C$25,Y56+AA56,"")</f>
        <v>-122512.681800056</v>
      </c>
      <c r="AC56" s="20" t="str">
        <f aca="false">IF(AND($A56&gt;=Premissas!$C$27,W56&gt;=M56),$A56,"")</f>
        <v/>
      </c>
      <c r="AD56" s="20" t="str">
        <f aca="false">IF(AND($A56&gt;=Premissas!$C$27,Y56&gt;=0),$A56,"")</f>
        <v/>
      </c>
      <c r="AE56" s="20" t="str">
        <f aca="false">IF(AND($A56&gt;=Premissas!$C$25,N(AB56)&gt;=0),$A56,"")</f>
        <v/>
      </c>
    </row>
    <row r="57" customFormat="false" ht="15" hidden="false" customHeight="false" outlineLevel="0" collapsed="false">
      <c r="A57" s="20" t="n">
        <f aca="false">DATE(YEAR(A56),MONTH(A56)+1,1)</f>
        <v>47969</v>
      </c>
      <c r="B57" s="5" t="str">
        <f aca="false">IF($A57&lt;Premissas!$C$25,"Obra",IF($A57=Premissas!$C$25,"Chaves",IF($A57&lt;Premissas!$C$27,"Mobiliando","Airbnb")))</f>
        <v>Airbnb</v>
      </c>
      <c r="C57" s="35" t="n">
        <f aca="false">(YEAR($A57)-YEAR(Premissas!$C$18))*12+MONTH($A57)-MONTH(Premissas!$C$18)</f>
        <v>56</v>
      </c>
      <c r="D57" s="16" t="n">
        <f aca="false">($A57=Premissas!$C$19)*Premissas!$C$8+(($A57=EDATE(Premissas!$C$19,1))+($A57=EDATE(Premissas!$C$19,2)))*Premissas!$C$9+AND($A57&gt;=Premissas!$C$20,$A57&lt;EDATE(Premissas!$C$20,Premissas!$C$21))*Premissas!$C$10+(($A57=Premissas!$C$22)+($A57=Premissas!$C$23)+($A57=Premissas!$C$24))*Premissas!$C$11+($A57=Premissas!$C$25)*Premissas!$C$12</f>
        <v>0</v>
      </c>
      <c r="E57" s="36" t="n">
        <f aca="false">(1+Premissas!$C$57)^C57</f>
        <v>1.28384170162768</v>
      </c>
      <c r="F57" s="16" t="n">
        <f aca="false">D57*E57</f>
        <v>0</v>
      </c>
      <c r="G57" s="16" t="n">
        <f aca="false">($A57=Premissas!$C$25)*Premissas!$C$34*Premissas!$C$14*(1+Premissas!$C$57)^C57</f>
        <v>0</v>
      </c>
      <c r="H57" s="16" t="n">
        <f aca="false">IF(AND($A57&gt;Premissas!$C$25,$A57&lt;Premissas!$C$27),Premissas!$C$35/MAX(1,Premissas!$C$26),0)</f>
        <v>0</v>
      </c>
      <c r="I57" s="35" t="n">
        <f aca="false">IF(AND($A57&gt;Premissas!$C$25,((YEAR($A57)-YEAR(Premissas!$C$25))*12+MONTH($A57)-MONTH(Premissas!$C$25))&lt;=Premissas!$C$32),((YEAR($A57)-YEAR(Premissas!$C$25))*12+MONTH($A57)-MONTH(Premissas!$C$25)),0)</f>
        <v>33</v>
      </c>
      <c r="J57" s="16" t="n">
        <f aca="false">IF(I57&gt;0,N56*(1+Premissas!$C$59),0)</f>
        <v>301941.874456264</v>
      </c>
      <c r="K57" s="16" t="n">
        <f aca="false">J57*Premissas!$C$58</f>
        <v>2865.06392499536</v>
      </c>
      <c r="L57" s="16" t="n">
        <f aca="false">IF(I57&gt;0,J57/(Premissas!$C$32-I57+1),0)</f>
        <v>3431.15766427573</v>
      </c>
      <c r="M57" s="16" t="n">
        <f aca="false">K57+L57</f>
        <v>6296.22158927109</v>
      </c>
      <c r="N57" s="16" t="n">
        <f aca="false">IF($A57=Premissas!$C$25,Premissas!$C$13*E57,IF(I57&gt;0,J57-L57,0))</f>
        <v>298510.716791988</v>
      </c>
      <c r="O57" s="37" t="n">
        <f aca="false">IF($A57&gt;=Premissas!$C$27,Premissas!$C$39*IF(((YEAR($A57)-YEAR(Premissas!$C$27))*12+MONTH($A57)-MONTH(Premissas!$C$27))&lt;Premissas!$C$41,Premissas!$C$42,1),0)</f>
        <v>0.62</v>
      </c>
      <c r="P57" s="16" t="n">
        <f aca="false">O57*Premissas!$C$38*Premissas!$C$40*(1+Premissas!$C$60)^((YEAR($A57)-YEAR(Premissas!$C$19))*12+MONTH($A57)-MONTH(Premissas!$C$19))</f>
        <v>5070.51319474872</v>
      </c>
      <c r="Q57" s="16" t="n">
        <f aca="false">P57*Premissas!$C$43</f>
        <v>811.282111159795</v>
      </c>
      <c r="R57" s="16" t="n">
        <f aca="false">P57*Premissas!$C$44</f>
        <v>1014.10263894974</v>
      </c>
      <c r="S57" s="16" t="n">
        <f aca="false">IF($A57&gt;=Premissas!$C$25,Premissas!$C$45*(1+Premissas!$C$60)^((YEAR($A57)-YEAR(Premissas!$C$19))*12+MONTH($A57)-MONTH(Premissas!$C$19)),0)</f>
        <v>888.939900902651</v>
      </c>
      <c r="T57" s="16" t="n">
        <f aca="false">IF($A57&gt;=Premissas!$C$27,Premissas!$C$46*(1+Premissas!$C$60)^((YEAR($A57)-YEAR(Premissas!$C$19))*12+MONTH($A57)-MONTH(Premissas!$C$19)),0)</f>
        <v>355.57596036106</v>
      </c>
      <c r="U57" s="16" t="n">
        <f aca="false">IF($A57&gt;=Premissas!$C$27,Premissas!$C$47*(1+Premissas!$C$60)^((YEAR($A57)-YEAR(Premissas!$C$19))*12+MONTH($A57)-MONTH(Premissas!$C$19)),0)</f>
        <v>177.78798018053</v>
      </c>
      <c r="V57" s="16" t="n">
        <f aca="false">IF($A57&gt;=Premissas!$C$27,MAX(0,P57-Q57-R57-S57)*Premissas!$C$49,0)</f>
        <v>647.951849527546</v>
      </c>
      <c r="W57" s="16" t="n">
        <f aca="false">P57-Q57-R57-S57-T57-U57-V57</f>
        <v>1174.87275366739</v>
      </c>
      <c r="X57" s="16" t="n">
        <f aca="false">W57-F57-G57-H57-M57</f>
        <v>-5121.34883560369</v>
      </c>
      <c r="Y57" s="16" t="n">
        <f aca="false">Y56+X57</f>
        <v>-378020.649012851</v>
      </c>
      <c r="Z57" s="16" t="n">
        <f aca="false">Premissas!$C$14*(1+Premissas!$C$57)^((YEAR(Premissas!$C$19)-YEAR(Premissas!$C$18))*12+MONTH(Premissas!$C$19)-MONTH(Premissas!$C$18))*(1+Premissas!$C$61)^((YEAR($A57)-YEAR(Premissas!$C$19))*12+MONTH($A57)-MONTH(Premissas!$C$19))</f>
        <v>590809.064343161</v>
      </c>
      <c r="AA57" s="16" t="n">
        <f aca="false">IF($A57&gt;=Premissas!$C$25,Z57*(1-Premissas!$C$53)-N57-Premissas!$C$54*MAX(0,Z57*(1-Premissas!$C$53)-(Premissas!$C$14*(1+Premissas!$C$57)^((YEAR(Premissas!$C$25)-YEAR(Premissas!$C$18))*12+MONTH(Premissas!$C$25)-MONTH(Premissas!$C$18))*(1+Premissas!$C$34))),"")</f>
        <v>254747.935129863</v>
      </c>
      <c r="AB57" s="16" t="n">
        <f aca="false">IF($A57&gt;=Premissas!$C$25,Y57+AA57,"")</f>
        <v>-123272.713882988</v>
      </c>
      <c r="AC57" s="20" t="str">
        <f aca="false">IF(AND($A57&gt;=Premissas!$C$27,W57&gt;=M57),$A57,"")</f>
        <v/>
      </c>
      <c r="AD57" s="20" t="str">
        <f aca="false">IF(AND($A57&gt;=Premissas!$C$27,Y57&gt;=0),$A57,"")</f>
        <v/>
      </c>
      <c r="AE57" s="20" t="str">
        <f aca="false">IF(AND($A57&gt;=Premissas!$C$25,N(AB57)&gt;=0),$A57,"")</f>
        <v/>
      </c>
    </row>
    <row r="58" customFormat="false" ht="15" hidden="false" customHeight="false" outlineLevel="0" collapsed="false">
      <c r="A58" s="20" t="n">
        <f aca="false">DATE(YEAR(A57),MONTH(A57)+1,1)</f>
        <v>48000</v>
      </c>
      <c r="B58" s="5" t="str">
        <f aca="false">IF($A58&lt;Premissas!$C$25,"Obra",IF($A58=Premissas!$C$25,"Chaves",IF($A58&lt;Premissas!$C$27,"Mobiliando","Airbnb")))</f>
        <v>Airbnb</v>
      </c>
      <c r="C58" s="35" t="n">
        <f aca="false">(YEAR($A58)-YEAR(Premissas!$C$18))*12+MONTH($A58)-MONTH(Premissas!$C$18)</f>
        <v>57</v>
      </c>
      <c r="D58" s="16" t="n">
        <f aca="false">($A58=Premissas!$C$19)*Premissas!$C$8+(($A58=EDATE(Premissas!$C$19,1))+($A58=EDATE(Premissas!$C$19,2)))*Premissas!$C$9+AND($A58&gt;=Premissas!$C$20,$A58&lt;EDATE(Premissas!$C$20,Premissas!$C$21))*Premissas!$C$10+(($A58=Premissas!$C$22)+($A58=Premissas!$C$23)+($A58=Premissas!$C$24))*Premissas!$C$11+($A58=Premissas!$C$25)*Premissas!$C$12</f>
        <v>0</v>
      </c>
      <c r="E58" s="36" t="n">
        <f aca="false">(1+Premissas!$C$57)^C58</f>
        <v>1.2895826551745</v>
      </c>
      <c r="F58" s="16" t="n">
        <f aca="false">D58*E58</f>
        <v>0</v>
      </c>
      <c r="G58" s="16" t="n">
        <f aca="false">($A58=Premissas!$C$25)*Premissas!$C$34*Premissas!$C$14*(1+Premissas!$C$57)^C58</f>
        <v>0</v>
      </c>
      <c r="H58" s="16" t="n">
        <f aca="false">IF(AND($A58&gt;Premissas!$C$25,$A58&lt;Premissas!$C$27),Premissas!$C$35/MAX(1,Premissas!$C$26),0)</f>
        <v>0</v>
      </c>
      <c r="I58" s="35" t="n">
        <f aca="false">IF(AND($A58&gt;Premissas!$C$25,((YEAR($A58)-YEAR(Premissas!$C$25))*12+MONTH($A58)-MONTH(Premissas!$C$25))&lt;=Premissas!$C$32),((YEAR($A58)-YEAR(Premissas!$C$25))*12+MONTH($A58)-MONTH(Premissas!$C$25)),0)</f>
        <v>34</v>
      </c>
      <c r="J58" s="16" t="n">
        <f aca="false">IF(I58&gt;0,N57*(1+Premissas!$C$59),0)</f>
        <v>299487.963200963</v>
      </c>
      <c r="K58" s="16" t="n">
        <f aca="false">J58*Premissas!$C$58</f>
        <v>2841.77926921396</v>
      </c>
      <c r="L58" s="16" t="n">
        <f aca="false">IF(I58&gt;0,J58/(Premissas!$C$32-I58+1),0)</f>
        <v>3442.39038162026</v>
      </c>
      <c r="M58" s="16" t="n">
        <f aca="false">K58+L58</f>
        <v>6284.16965083423</v>
      </c>
      <c r="N58" s="16" t="n">
        <f aca="false">IF($A58=Premissas!$C$25,Premissas!$C$13*E58,IF(I58&gt;0,J58-L58,0))</f>
        <v>296045.572819343</v>
      </c>
      <c r="O58" s="37" t="n">
        <f aca="false">IF($A58&gt;=Premissas!$C$27,Premissas!$C$39*IF(((YEAR($A58)-YEAR(Premissas!$C$27))*12+MONTH($A58)-MONTH(Premissas!$C$27))&lt;Premissas!$C$41,Premissas!$C$42,1),0)</f>
        <v>0.62</v>
      </c>
      <c r="P58" s="16" t="n">
        <f aca="false">O58*Premissas!$C$38*Premissas!$C$40*(1+Premissas!$C$60)^((YEAR($A58)-YEAR(Premissas!$C$19))*12+MONTH($A58)-MONTH(Premissas!$C$19))</f>
        <v>5087.11273551053</v>
      </c>
      <c r="Q58" s="16" t="n">
        <f aca="false">P58*Premissas!$C$43</f>
        <v>813.938037681685</v>
      </c>
      <c r="R58" s="16" t="n">
        <f aca="false">P58*Premissas!$C$44</f>
        <v>1017.42254710211</v>
      </c>
      <c r="S58" s="16" t="n">
        <f aca="false">IF($A58&gt;=Premissas!$C$25,Premissas!$C$45*(1+Premissas!$C$60)^((YEAR($A58)-YEAR(Premissas!$C$19))*12+MONTH($A58)-MONTH(Premissas!$C$19)),0)</f>
        <v>891.85005882022</v>
      </c>
      <c r="T58" s="16" t="n">
        <f aca="false">IF($A58&gt;=Premissas!$C$27,Premissas!$C$46*(1+Premissas!$C$60)^((YEAR($A58)-YEAR(Premissas!$C$19))*12+MONTH($A58)-MONTH(Premissas!$C$19)),0)</f>
        <v>356.740023528088</v>
      </c>
      <c r="U58" s="16" t="n">
        <f aca="false">IF($A58&gt;=Premissas!$C$27,Premissas!$C$47*(1+Premissas!$C$60)^((YEAR($A58)-YEAR(Premissas!$C$19))*12+MONTH($A58)-MONTH(Premissas!$C$19)),0)</f>
        <v>178.370011764044</v>
      </c>
      <c r="V58" s="16" t="n">
        <f aca="false">IF($A58&gt;=Premissas!$C$27,MAX(0,P58-Q58-R58-S58)*Premissas!$C$49,0)</f>
        <v>650.073075274294</v>
      </c>
      <c r="W58" s="16" t="n">
        <f aca="false">P58-Q58-R58-S58-T58-U58-V58</f>
        <v>1178.7189813401</v>
      </c>
      <c r="X58" s="16" t="n">
        <f aca="false">W58-F58-G58-H58-M58</f>
        <v>-5105.45066949413</v>
      </c>
      <c r="Y58" s="16" t="n">
        <f aca="false">Y57+X58</f>
        <v>-383126.099682345</v>
      </c>
      <c r="Z58" s="16" t="n">
        <f aca="false">Premissas!$C$14*(1+Premissas!$C$57)^((YEAR(Premissas!$C$19)-YEAR(Premissas!$C$18))*12+MONTH(Premissas!$C$19)-MONTH(Premissas!$C$18))*(1+Premissas!$C$61)^((YEAR($A58)-YEAR(Premissas!$C$19))*12+MONTH($A58)-MONTH(Premissas!$C$19))</f>
        <v>593216.093603797</v>
      </c>
      <c r="AA58" s="16" t="n">
        <f aca="false">IF($A58&gt;=Premissas!$C$25,Z58*(1-Premissas!$C$53)-N58-Premissas!$C$54*MAX(0,Z58*(1-Premissas!$C$53)-(Premissas!$C$14*(1+Premissas!$C$57)^((YEAR(Premissas!$C$25)-YEAR(Premissas!$C$18))*12+MONTH(Premissas!$C$25)-MONTH(Premissas!$C$18))*(1+Premissas!$C$34))),"")</f>
        <v>259136.295481756</v>
      </c>
      <c r="AB58" s="16" t="n">
        <f aca="false">IF($A58&gt;=Premissas!$C$25,Y58+AA58,"")</f>
        <v>-123989.804200589</v>
      </c>
      <c r="AC58" s="20" t="str">
        <f aca="false">IF(AND($A58&gt;=Premissas!$C$27,W58&gt;=M58),$A58,"")</f>
        <v/>
      </c>
      <c r="AD58" s="20" t="str">
        <f aca="false">IF(AND($A58&gt;=Premissas!$C$27,Y58&gt;=0),$A58,"")</f>
        <v/>
      </c>
      <c r="AE58" s="20" t="str">
        <f aca="false">IF(AND($A58&gt;=Premissas!$C$25,N(AB58)&gt;=0),$A58,"")</f>
        <v/>
      </c>
    </row>
    <row r="59" customFormat="false" ht="15" hidden="false" customHeight="false" outlineLevel="0" collapsed="false">
      <c r="A59" s="20" t="n">
        <f aca="false">DATE(YEAR(A58),MONTH(A58)+1,1)</f>
        <v>48030</v>
      </c>
      <c r="B59" s="5" t="str">
        <f aca="false">IF($A59&lt;Premissas!$C$25,"Obra",IF($A59=Premissas!$C$25,"Chaves",IF($A59&lt;Premissas!$C$27,"Mobiliando","Airbnb")))</f>
        <v>Airbnb</v>
      </c>
      <c r="C59" s="35" t="n">
        <f aca="false">(YEAR($A59)-YEAR(Premissas!$C$18))*12+MONTH($A59)-MONTH(Premissas!$C$18)</f>
        <v>58</v>
      </c>
      <c r="D59" s="16" t="n">
        <f aca="false">($A59=Premissas!$C$19)*Premissas!$C$8+(($A59=EDATE(Premissas!$C$19,1))+($A59=EDATE(Premissas!$C$19,2)))*Premissas!$C$9+AND($A59&gt;=Premissas!$C$20,$A59&lt;EDATE(Premissas!$C$20,Premissas!$C$21))*Premissas!$C$10+(($A59=Premissas!$C$22)+($A59=Premissas!$C$23)+($A59=Premissas!$C$24))*Premissas!$C$11+($A59=Premissas!$C$25)*Premissas!$C$12</f>
        <v>0</v>
      </c>
      <c r="E59" s="36" t="n">
        <f aca="false">(1+Premissas!$C$57)^C59</f>
        <v>1.29534928053708</v>
      </c>
      <c r="F59" s="16" t="n">
        <f aca="false">D59*E59</f>
        <v>0</v>
      </c>
      <c r="G59" s="16" t="n">
        <f aca="false">($A59=Premissas!$C$25)*Premissas!$C$34*Premissas!$C$14*(1+Premissas!$C$57)^C59</f>
        <v>0</v>
      </c>
      <c r="H59" s="16" t="n">
        <f aca="false">IF(AND($A59&gt;Premissas!$C$25,$A59&lt;Premissas!$C$27),Premissas!$C$35/MAX(1,Premissas!$C$26),0)</f>
        <v>0</v>
      </c>
      <c r="I59" s="35" t="n">
        <f aca="false">IF(AND($A59&gt;Premissas!$C$25,((YEAR($A59)-YEAR(Premissas!$C$25))*12+MONTH($A59)-MONTH(Premissas!$C$25))&lt;=Premissas!$C$32),((YEAR($A59)-YEAR(Premissas!$C$25))*12+MONTH($A59)-MONTH(Premissas!$C$25)),0)</f>
        <v>35</v>
      </c>
      <c r="J59" s="16" t="n">
        <f aca="false">IF(I59&gt;0,N58*(1+Premissas!$C$59),0)</f>
        <v>297014.748988425</v>
      </c>
      <c r="K59" s="16" t="n">
        <f aca="false">J59*Premissas!$C$58</f>
        <v>2818.31145166833</v>
      </c>
      <c r="L59" s="16" t="n">
        <f aca="false">IF(I59&gt;0,J59/(Premissas!$C$32-I59+1),0)</f>
        <v>3453.65987195843</v>
      </c>
      <c r="M59" s="16" t="n">
        <f aca="false">K59+L59</f>
        <v>6271.97132362676</v>
      </c>
      <c r="N59" s="16" t="n">
        <f aca="false">IF($A59=Premissas!$C$25,Premissas!$C$13*E59,IF(I59&gt;0,J59-L59,0))</f>
        <v>293561.089116467</v>
      </c>
      <c r="O59" s="37" t="n">
        <f aca="false">IF($A59&gt;=Premissas!$C$27,Premissas!$C$39*IF(((YEAR($A59)-YEAR(Premissas!$C$27))*12+MONTH($A59)-MONTH(Premissas!$C$27))&lt;Premissas!$C$41,Premissas!$C$42,1),0)</f>
        <v>0.62</v>
      </c>
      <c r="P59" s="16" t="n">
        <f aca="false">O59*Premissas!$C$38*Premissas!$C$40*(1+Premissas!$C$60)^((YEAR($A59)-YEAR(Premissas!$C$19))*12+MONTH($A59)-MONTH(Premissas!$C$19))</f>
        <v>5103.7666188493</v>
      </c>
      <c r="Q59" s="16" t="n">
        <f aca="false">P59*Premissas!$C$43</f>
        <v>816.602659015889</v>
      </c>
      <c r="R59" s="16" t="n">
        <f aca="false">P59*Premissas!$C$44</f>
        <v>1020.75332376986</v>
      </c>
      <c r="S59" s="16" t="n">
        <f aca="false">IF($A59&gt;=Premissas!$C$25,Premissas!$C$45*(1+Premissas!$C$60)^((YEAR($A59)-YEAR(Premissas!$C$19))*12+MONTH($A59)-MONTH(Premissas!$C$19)),0)</f>
        <v>894.769743837536</v>
      </c>
      <c r="T59" s="16" t="n">
        <f aca="false">IF($A59&gt;=Premissas!$C$27,Premissas!$C$46*(1+Premissas!$C$60)^((YEAR($A59)-YEAR(Premissas!$C$19))*12+MONTH($A59)-MONTH(Premissas!$C$19)),0)</f>
        <v>357.907897535014</v>
      </c>
      <c r="U59" s="16" t="n">
        <f aca="false">IF($A59&gt;=Premissas!$C$27,Premissas!$C$47*(1+Premissas!$C$60)^((YEAR($A59)-YEAR(Premissas!$C$19))*12+MONTH($A59)-MONTH(Premissas!$C$19)),0)</f>
        <v>178.953948767507</v>
      </c>
      <c r="V59" s="16" t="n">
        <f aca="false">IF($A59&gt;=Premissas!$C$27,MAX(0,P59-Q59-R59-S59)*Premissas!$C$49,0)</f>
        <v>652.201245362155</v>
      </c>
      <c r="W59" s="16" t="n">
        <f aca="false">P59-Q59-R59-S59-T59-U59-V59</f>
        <v>1182.57780056134</v>
      </c>
      <c r="X59" s="16" t="n">
        <f aca="false">W59-F59-G59-H59-M59</f>
        <v>-5089.39352306542</v>
      </c>
      <c r="Y59" s="16" t="n">
        <f aca="false">Y58+X59</f>
        <v>-388215.493205411</v>
      </c>
      <c r="Z59" s="16" t="n">
        <f aca="false">Premissas!$C$14*(1+Premissas!$C$57)^((YEAR(Premissas!$C$19)-YEAR(Premissas!$C$18))*12+MONTH(Premissas!$C$19)-MONTH(Premissas!$C$18))*(1+Premissas!$C$61)^((YEAR($A59)-YEAR(Premissas!$C$19))*12+MONTH($A59)-MONTH(Premissas!$C$19))</f>
        <v>595632.929399591</v>
      </c>
      <c r="AA59" s="16" t="n">
        <f aca="false">IF($A59&gt;=Premissas!$C$25,Z59*(1-Premissas!$C$53)-N59-Premissas!$C$54*MAX(0,Z59*(1-Premissas!$C$53)-(Premissas!$C$14*(1+Premissas!$C$57)^((YEAR(Premissas!$C$25)-YEAR(Premissas!$C$18))*12+MONTH(Premissas!$C$25)-MONTH(Premissas!$C$18))*(1+Premissas!$C$34))),"")</f>
        <v>263551.830985472</v>
      </c>
      <c r="AB59" s="16" t="n">
        <f aca="false">IF($A59&gt;=Premissas!$C$25,Y59+AA59,"")</f>
        <v>-124663.662219939</v>
      </c>
      <c r="AC59" s="20" t="str">
        <f aca="false">IF(AND($A59&gt;=Premissas!$C$27,W59&gt;=M59),$A59,"")</f>
        <v/>
      </c>
      <c r="AD59" s="20" t="str">
        <f aca="false">IF(AND($A59&gt;=Premissas!$C$27,Y59&gt;=0),$A59,"")</f>
        <v/>
      </c>
      <c r="AE59" s="20" t="str">
        <f aca="false">IF(AND($A59&gt;=Premissas!$C$25,N(AB59)&gt;=0),$A59,"")</f>
        <v/>
      </c>
    </row>
    <row r="60" customFormat="false" ht="15" hidden="false" customHeight="false" outlineLevel="0" collapsed="false">
      <c r="A60" s="20" t="n">
        <f aca="false">DATE(YEAR(A59),MONTH(A59)+1,1)</f>
        <v>48061</v>
      </c>
      <c r="B60" s="5" t="str">
        <f aca="false">IF($A60&lt;Premissas!$C$25,"Obra",IF($A60=Premissas!$C$25,"Chaves",IF($A60&lt;Premissas!$C$27,"Mobiliando","Airbnb")))</f>
        <v>Airbnb</v>
      </c>
      <c r="C60" s="35" t="n">
        <f aca="false">(YEAR($A60)-YEAR(Premissas!$C$18))*12+MONTH($A60)-MONTH(Premissas!$C$18)</f>
        <v>59</v>
      </c>
      <c r="D60" s="16" t="n">
        <f aca="false">($A60=Premissas!$C$19)*Premissas!$C$8+(($A60=EDATE(Premissas!$C$19,1))+($A60=EDATE(Premissas!$C$19,2)))*Premissas!$C$9+AND($A60&gt;=Premissas!$C$20,$A60&lt;EDATE(Premissas!$C$20,Premissas!$C$21))*Premissas!$C$10+(($A60=Premissas!$C$22)+($A60=Premissas!$C$23)+($A60=Premissas!$C$24))*Premissas!$C$11+($A60=Premissas!$C$25)*Premissas!$C$12</f>
        <v>0</v>
      </c>
      <c r="E60" s="36" t="n">
        <f aca="false">(1+Premissas!$C$57)^C60</f>
        <v>1.30114169251205</v>
      </c>
      <c r="F60" s="16" t="n">
        <f aca="false">D60*E60</f>
        <v>0</v>
      </c>
      <c r="G60" s="16" t="n">
        <f aca="false">($A60=Premissas!$C$25)*Premissas!$C$34*Premissas!$C$14*(1+Premissas!$C$57)^C60</f>
        <v>0</v>
      </c>
      <c r="H60" s="16" t="n">
        <f aca="false">IF(AND($A60&gt;Premissas!$C$25,$A60&lt;Premissas!$C$27),Premissas!$C$35/MAX(1,Premissas!$C$26),0)</f>
        <v>0</v>
      </c>
      <c r="I60" s="35" t="n">
        <f aca="false">IF(AND($A60&gt;Premissas!$C$25,((YEAR($A60)-YEAR(Premissas!$C$25))*12+MONTH($A60)-MONTH(Premissas!$C$25))&lt;=Premissas!$C$32),((YEAR($A60)-YEAR(Premissas!$C$25))*12+MONTH($A60)-MONTH(Premissas!$C$25)),0)</f>
        <v>36</v>
      </c>
      <c r="J60" s="16" t="n">
        <f aca="false">IF(I60&gt;0,N59*(1+Premissas!$C$59),0)</f>
        <v>294522.131732413</v>
      </c>
      <c r="K60" s="16" t="n">
        <f aca="false">J60*Premissas!$C$58</f>
        <v>2794.65952266086</v>
      </c>
      <c r="L60" s="16" t="n">
        <f aca="false">IF(I60&gt;0,J60/(Premissas!$C$32-I60+1),0)</f>
        <v>3464.96625567545</v>
      </c>
      <c r="M60" s="16" t="n">
        <f aca="false">K60+L60</f>
        <v>6259.6257783363</v>
      </c>
      <c r="N60" s="16" t="n">
        <f aca="false">IF($A60=Premissas!$C$25,Premissas!$C$13*E60,IF(I60&gt;0,J60-L60,0))</f>
        <v>291057.165476738</v>
      </c>
      <c r="O60" s="37" t="n">
        <f aca="false">IF($A60&gt;=Premissas!$C$27,Premissas!$C$39*IF(((YEAR($A60)-YEAR(Premissas!$C$27))*12+MONTH($A60)-MONTH(Premissas!$C$27))&lt;Premissas!$C$41,Premissas!$C$42,1),0)</f>
        <v>0.62</v>
      </c>
      <c r="P60" s="16" t="n">
        <f aca="false">O60*Premissas!$C$38*Premissas!$C$40*(1+Premissas!$C$60)^((YEAR($A60)-YEAR(Premissas!$C$19))*12+MONTH($A60)-MONTH(Premissas!$C$19))</f>
        <v>5120.47502266849</v>
      </c>
      <c r="Q60" s="16" t="n">
        <f aca="false">P60*Premissas!$C$43</f>
        <v>819.276003626958</v>
      </c>
      <c r="R60" s="16" t="n">
        <f aca="false">P60*Premissas!$C$44</f>
        <v>1024.0950045337</v>
      </c>
      <c r="S60" s="16" t="n">
        <f aca="false">IF($A60&gt;=Premissas!$C$25,Premissas!$C$45*(1+Premissas!$C$60)^((YEAR($A60)-YEAR(Premissas!$C$19))*12+MONTH($A60)-MONTH(Premissas!$C$19)),0)</f>
        <v>897.698987143845</v>
      </c>
      <c r="T60" s="16" t="n">
        <f aca="false">IF($A60&gt;=Premissas!$C$27,Premissas!$C$46*(1+Premissas!$C$60)^((YEAR($A60)-YEAR(Premissas!$C$19))*12+MONTH($A60)-MONTH(Premissas!$C$19)),0)</f>
        <v>359.079594857538</v>
      </c>
      <c r="U60" s="16" t="n">
        <f aca="false">IF($A60&gt;=Premissas!$C$27,Premissas!$C$47*(1+Premissas!$C$60)^((YEAR($A60)-YEAR(Premissas!$C$19))*12+MONTH($A60)-MONTH(Premissas!$C$19)),0)</f>
        <v>179.539797428769</v>
      </c>
      <c r="V60" s="16" t="n">
        <f aca="false">IF($A60&gt;=Premissas!$C$27,MAX(0,P60-Q60-R60-S60)*Premissas!$C$49,0)</f>
        <v>654.336382525097</v>
      </c>
      <c r="W60" s="16" t="n">
        <f aca="false">P60-Q60-R60-S60-T60-U60-V60</f>
        <v>1186.44925255259</v>
      </c>
      <c r="X60" s="16" t="n">
        <f aca="false">W60-F60-G60-H60-M60</f>
        <v>-5073.17652578372</v>
      </c>
      <c r="Y60" s="16" t="n">
        <f aca="false">Y59+X60</f>
        <v>-393288.669731194</v>
      </c>
      <c r="Z60" s="16" t="n">
        <f aca="false">Premissas!$C$14*(1+Premissas!$C$57)^((YEAR(Premissas!$C$19)-YEAR(Premissas!$C$18))*12+MONTH(Premissas!$C$19)-MONTH(Premissas!$C$18))*(1+Premissas!$C$61)^((YEAR($A60)-YEAR(Premissas!$C$19))*12+MONTH($A60)-MONTH(Premissas!$C$19))</f>
        <v>598059.611683582</v>
      </c>
      <c r="AA60" s="16" t="n">
        <f aca="false">IF($A60&gt;=Premissas!$C$25,Z60*(1-Premissas!$C$53)-N60-Premissas!$C$54*MAX(0,Z60*(1-Premissas!$C$53)-(Premissas!$C$14*(1+Premissas!$C$57)^((YEAR(Premissas!$C$25)-YEAR(Premissas!$C$18))*12+MONTH(Premissas!$C$25)-MONTH(Premissas!$C$18))*(1+Premissas!$C$34))),"")</f>
        <v>267994.67377011</v>
      </c>
      <c r="AB60" s="16" t="n">
        <f aca="false">IF($A60&gt;=Premissas!$C$25,Y60+AA60,"")</f>
        <v>-125293.995961085</v>
      </c>
      <c r="AC60" s="20" t="str">
        <f aca="false">IF(AND($A60&gt;=Premissas!$C$27,W60&gt;=M60),$A60,"")</f>
        <v/>
      </c>
      <c r="AD60" s="20" t="str">
        <f aca="false">IF(AND($A60&gt;=Premissas!$C$27,Y60&gt;=0),$A60,"")</f>
        <v/>
      </c>
      <c r="AE60" s="20" t="str">
        <f aca="false">IF(AND($A60&gt;=Premissas!$C$25,N(AB60)&gt;=0),$A60,"")</f>
        <v/>
      </c>
    </row>
    <row r="61" customFormat="false" ht="15" hidden="false" customHeight="false" outlineLevel="0" collapsed="false">
      <c r="A61" s="20" t="n">
        <f aca="false">DATE(YEAR(A60),MONTH(A60)+1,1)</f>
        <v>48092</v>
      </c>
      <c r="B61" s="5" t="str">
        <f aca="false">IF($A61&lt;Premissas!$C$25,"Obra",IF($A61=Premissas!$C$25,"Chaves",IF($A61&lt;Premissas!$C$27,"Mobiliando","Airbnb")))</f>
        <v>Airbnb</v>
      </c>
      <c r="C61" s="35" t="n">
        <f aca="false">(YEAR($A61)-YEAR(Premissas!$C$18))*12+MONTH($A61)-MONTH(Premissas!$C$18)</f>
        <v>60</v>
      </c>
      <c r="D61" s="16" t="n">
        <f aca="false">($A61=Premissas!$C$19)*Premissas!$C$8+(($A61=EDATE(Premissas!$C$19,1))+($A61=EDATE(Premissas!$C$19,2)))*Premissas!$C$9+AND($A61&gt;=Premissas!$C$20,$A61&lt;EDATE(Premissas!$C$20,Premissas!$C$21))*Premissas!$C$10+(($A61=Premissas!$C$22)+($A61=Premissas!$C$23)+($A61=Premissas!$C$24))*Premissas!$C$11+($A61=Premissas!$C$25)*Premissas!$C$12</f>
        <v>0</v>
      </c>
      <c r="E61" s="36" t="n">
        <f aca="false">(1+Premissas!$C$57)^C61</f>
        <v>1.30696000640938</v>
      </c>
      <c r="F61" s="16" t="n">
        <f aca="false">D61*E61</f>
        <v>0</v>
      </c>
      <c r="G61" s="16" t="n">
        <f aca="false">($A61=Premissas!$C$25)*Premissas!$C$34*Premissas!$C$14*(1+Premissas!$C$57)^C61</f>
        <v>0</v>
      </c>
      <c r="H61" s="16" t="n">
        <f aca="false">IF(AND($A61&gt;Premissas!$C$25,$A61&lt;Premissas!$C$27),Premissas!$C$35/MAX(1,Premissas!$C$26),0)</f>
        <v>0</v>
      </c>
      <c r="I61" s="35" t="n">
        <f aca="false">IF(AND($A61&gt;Premissas!$C$25,((YEAR($A61)-YEAR(Premissas!$C$25))*12+MONTH($A61)-MONTH(Premissas!$C$25))&lt;=Premissas!$C$32),((YEAR($A61)-YEAR(Premissas!$C$25))*12+MONTH($A61)-MONTH(Premissas!$C$25)),0)</f>
        <v>37</v>
      </c>
      <c r="J61" s="16" t="n">
        <f aca="false">IF(I61&gt;0,N60*(1+Premissas!$C$59),0)</f>
        <v>292010.010898253</v>
      </c>
      <c r="K61" s="16" t="n">
        <f aca="false">J61*Premissas!$C$58</f>
        <v>2770.82252823886</v>
      </c>
      <c r="L61" s="16" t="n">
        <f aca="false">IF(I61&gt;0,J61/(Premissas!$C$32-I61+1),0)</f>
        <v>3476.30965355063</v>
      </c>
      <c r="M61" s="16" t="n">
        <f aca="false">K61+L61</f>
        <v>6247.13218178949</v>
      </c>
      <c r="N61" s="16" t="n">
        <f aca="false">IF($A61=Premissas!$C$25,Premissas!$C$13*E61,IF(I61&gt;0,J61-L61,0))</f>
        <v>288533.701244702</v>
      </c>
      <c r="O61" s="37" t="n">
        <f aca="false">IF($A61&gt;=Premissas!$C$27,Premissas!$C$39*IF(((YEAR($A61)-YEAR(Premissas!$C$27))*12+MONTH($A61)-MONTH(Premissas!$C$27))&lt;Premissas!$C$41,Premissas!$C$42,1),0)</f>
        <v>0.62</v>
      </c>
      <c r="P61" s="16" t="n">
        <f aca="false">O61*Premissas!$C$38*Premissas!$C$40*(1+Premissas!$C$60)^((YEAR($A61)-YEAR(Premissas!$C$19))*12+MONTH($A61)-MONTH(Premissas!$C$19))</f>
        <v>5137.23812545396</v>
      </c>
      <c r="Q61" s="16" t="n">
        <f aca="false">P61*Premissas!$C$43</f>
        <v>821.958100072633</v>
      </c>
      <c r="R61" s="16" t="n">
        <f aca="false">P61*Premissas!$C$44</f>
        <v>1027.44762509079</v>
      </c>
      <c r="S61" s="16" t="n">
        <f aca="false">IF($A61&gt;=Premissas!$C$25,Premissas!$C$45*(1+Premissas!$C$60)^((YEAR($A61)-YEAR(Premissas!$C$19))*12+MONTH($A61)-MONTH(Premissas!$C$19)),0)</f>
        <v>900.637820030497</v>
      </c>
      <c r="T61" s="16" t="n">
        <f aca="false">IF($A61&gt;=Premissas!$C$27,Premissas!$C$46*(1+Premissas!$C$60)^((YEAR($A61)-YEAR(Premissas!$C$19))*12+MONTH($A61)-MONTH(Premissas!$C$19)),0)</f>
        <v>360.255128012199</v>
      </c>
      <c r="U61" s="16" t="n">
        <f aca="false">IF($A61&gt;=Premissas!$C$27,Premissas!$C$47*(1+Premissas!$C$60)^((YEAR($A61)-YEAR(Premissas!$C$19))*12+MONTH($A61)-MONTH(Premissas!$C$19)),0)</f>
        <v>180.127564006099</v>
      </c>
      <c r="V61" s="16" t="n">
        <f aca="false">IF($A61&gt;=Premissas!$C$27,MAX(0,P61-Q61-R61-S61)*Premissas!$C$49,0)</f>
        <v>656.478509571509</v>
      </c>
      <c r="W61" s="16" t="n">
        <f aca="false">P61-Q61-R61-S61-T61-U61-V61</f>
        <v>1190.33337867023</v>
      </c>
      <c r="X61" s="16" t="n">
        <f aca="false">W61-F61-G61-H61-M61</f>
        <v>-5056.79880311926</v>
      </c>
      <c r="Y61" s="16" t="n">
        <f aca="false">Y60+X61</f>
        <v>-398345.468534314</v>
      </c>
      <c r="Z61" s="16" t="n">
        <f aca="false">Premissas!$C$14*(1+Premissas!$C$57)^((YEAR(Premissas!$C$19)-YEAR(Premissas!$C$18))*12+MONTH(Premissas!$C$19)-MONTH(Premissas!$C$18))*(1+Premissas!$C$61)^((YEAR($A61)-YEAR(Premissas!$C$19))*12+MONTH($A61)-MONTH(Premissas!$C$19))</f>
        <v>600496.180571582</v>
      </c>
      <c r="AA61" s="16" t="n">
        <f aca="false">IF($A61&gt;=Premissas!$C$25,Z61*(1-Premissas!$C$53)-N61-Premissas!$C$54*MAX(0,Z61*(1-Premissas!$C$53)-(Premissas!$C$14*(1+Premissas!$C$57)^((YEAR(Premissas!$C$25)-YEAR(Premissas!$C$18))*12+MONTH(Premissas!$C$25)-MONTH(Premissas!$C$18))*(1+Premissas!$C$34))),"")</f>
        <v>272464.956543657</v>
      </c>
      <c r="AB61" s="16" t="n">
        <f aca="false">IF($A61&gt;=Premissas!$C$25,Y61+AA61,"")</f>
        <v>-125880.511990657</v>
      </c>
      <c r="AC61" s="20" t="str">
        <f aca="false">IF(AND($A61&gt;=Premissas!$C$27,W61&gt;=M61),$A61,"")</f>
        <v/>
      </c>
      <c r="AD61" s="20" t="str">
        <f aca="false">IF(AND($A61&gt;=Premissas!$C$27,Y61&gt;=0),$A61,"")</f>
        <v/>
      </c>
      <c r="AE61" s="20" t="str">
        <f aca="false">IF(AND($A61&gt;=Premissas!$C$25,N(AB61)&gt;=0),$A61,"")</f>
        <v/>
      </c>
    </row>
    <row r="62" customFormat="false" ht="15" hidden="false" customHeight="false" outlineLevel="0" collapsed="false">
      <c r="A62" s="20" t="n">
        <f aca="false">DATE(YEAR(A61),MONTH(A61)+1,1)</f>
        <v>48122</v>
      </c>
      <c r="B62" s="5" t="str">
        <f aca="false">IF($A62&lt;Premissas!$C$25,"Obra",IF($A62=Premissas!$C$25,"Chaves",IF($A62&lt;Premissas!$C$27,"Mobiliando","Airbnb")))</f>
        <v>Airbnb</v>
      </c>
      <c r="C62" s="35" t="n">
        <f aca="false">(YEAR($A62)-YEAR(Premissas!$C$18))*12+MONTH($A62)-MONTH(Premissas!$C$18)</f>
        <v>61</v>
      </c>
      <c r="D62" s="16" t="n">
        <f aca="false">($A62=Premissas!$C$19)*Premissas!$C$8+(($A62=EDATE(Premissas!$C$19,1))+($A62=EDATE(Premissas!$C$19,2)))*Premissas!$C$9+AND($A62&gt;=Premissas!$C$20,$A62&lt;EDATE(Premissas!$C$20,Premissas!$C$21))*Premissas!$C$10+(($A62=Premissas!$C$22)+($A62=Premissas!$C$23)+($A62=Premissas!$C$24))*Premissas!$C$11+($A62=Premissas!$C$25)*Premissas!$C$12</f>
        <v>0</v>
      </c>
      <c r="E62" s="36" t="n">
        <f aca="false">(1+Premissas!$C$57)^C62</f>
        <v>1.31280433805466</v>
      </c>
      <c r="F62" s="16" t="n">
        <f aca="false">D62*E62</f>
        <v>0</v>
      </c>
      <c r="G62" s="16" t="n">
        <f aca="false">($A62=Premissas!$C$25)*Premissas!$C$34*Premissas!$C$14*(1+Premissas!$C$57)^C62</f>
        <v>0</v>
      </c>
      <c r="H62" s="16" t="n">
        <f aca="false">IF(AND($A62&gt;Premissas!$C$25,$A62&lt;Premissas!$C$27),Premissas!$C$35/MAX(1,Premissas!$C$26),0)</f>
        <v>0</v>
      </c>
      <c r="I62" s="35" t="n">
        <f aca="false">IF(AND($A62&gt;Premissas!$C$25,((YEAR($A62)-YEAR(Premissas!$C$25))*12+MONTH($A62)-MONTH(Premissas!$C$25))&lt;=Premissas!$C$32),((YEAR($A62)-YEAR(Premissas!$C$25))*12+MONTH($A62)-MONTH(Premissas!$C$25)),0)</f>
        <v>38</v>
      </c>
      <c r="J62" s="16" t="n">
        <f aca="false">IF(I62&gt;0,N61*(1+Premissas!$C$59),0)</f>
        <v>289478.285500972</v>
      </c>
      <c r="K62" s="16" t="n">
        <f aca="false">J62*Premissas!$C$58</f>
        <v>2746.79951017684</v>
      </c>
      <c r="L62" s="16" t="n">
        <f aca="false">IF(I62&gt;0,J62/(Premissas!$C$32-I62+1),0)</f>
        <v>3487.6901867587</v>
      </c>
      <c r="M62" s="16" t="n">
        <f aca="false">K62+L62</f>
        <v>6234.48969693553</v>
      </c>
      <c r="N62" s="16" t="n">
        <f aca="false">IF($A62=Premissas!$C$25,Premissas!$C$13*E62,IF(I62&gt;0,J62-L62,0))</f>
        <v>285990.595314213</v>
      </c>
      <c r="O62" s="37" t="n">
        <f aca="false">IF($A62&gt;=Premissas!$C$27,Premissas!$C$39*IF(((YEAR($A62)-YEAR(Premissas!$C$27))*12+MONTH($A62)-MONTH(Premissas!$C$27))&lt;Premissas!$C$41,Premissas!$C$42,1),0)</f>
        <v>0.62</v>
      </c>
      <c r="P62" s="16" t="n">
        <f aca="false">O62*Premissas!$C$38*Premissas!$C$40*(1+Premissas!$C$60)^((YEAR($A62)-YEAR(Premissas!$C$19))*12+MONTH($A62)-MONTH(Premissas!$C$19))</f>
        <v>5154.05610627588</v>
      </c>
      <c r="Q62" s="16" t="n">
        <f aca="false">P62*Premissas!$C$43</f>
        <v>824.648977004141</v>
      </c>
      <c r="R62" s="16" t="n">
        <f aca="false">P62*Premissas!$C$44</f>
        <v>1030.81122125518</v>
      </c>
      <c r="S62" s="16" t="n">
        <f aca="false">IF($A62&gt;=Premissas!$C$25,Premissas!$C$45*(1+Premissas!$C$60)^((YEAR($A62)-YEAR(Premissas!$C$19))*12+MONTH($A62)-MONTH(Premissas!$C$19)),0)</f>
        <v>903.586273891284</v>
      </c>
      <c r="T62" s="16" t="n">
        <f aca="false">IF($A62&gt;=Premissas!$C$27,Premissas!$C$46*(1+Premissas!$C$60)^((YEAR($A62)-YEAR(Premissas!$C$19))*12+MONTH($A62)-MONTH(Premissas!$C$19)),0)</f>
        <v>361.434509556514</v>
      </c>
      <c r="U62" s="16" t="n">
        <f aca="false">IF($A62&gt;=Premissas!$C$27,Premissas!$C$47*(1+Premissas!$C$60)^((YEAR($A62)-YEAR(Premissas!$C$19))*12+MONTH($A62)-MONTH(Premissas!$C$19)),0)</f>
        <v>180.717254778257</v>
      </c>
      <c r="V62" s="16" t="n">
        <f aca="false">IF($A62&gt;=Premissas!$C$27,MAX(0,P62-Q62-R62-S62)*Premissas!$C$49,0)</f>
        <v>658.627649384452</v>
      </c>
      <c r="W62" s="16" t="n">
        <f aca="false">P62-Q62-R62-S62-T62-U62-V62</f>
        <v>1194.23022040606</v>
      </c>
      <c r="X62" s="16" t="n">
        <f aca="false">W62-F62-G62-H62-M62</f>
        <v>-5040.25947652948</v>
      </c>
      <c r="Y62" s="16" t="n">
        <f aca="false">Y61+X62</f>
        <v>-403385.728010843</v>
      </c>
      <c r="Z62" s="16" t="n">
        <f aca="false">Premissas!$C$14*(1+Premissas!$C$57)^((YEAR(Premissas!$C$19)-YEAR(Premissas!$C$18))*12+MONTH(Premissas!$C$19)-MONTH(Premissas!$C$18))*(1+Premissas!$C$61)^((YEAR($A62)-YEAR(Premissas!$C$19))*12+MONTH($A62)-MONTH(Premissas!$C$19))</f>
        <v>602942.676342838</v>
      </c>
      <c r="AA62" s="16" t="n">
        <f aca="false">IF($A62&gt;=Premissas!$C$25,Z62*(1-Premissas!$C$53)-N62-Premissas!$C$54*MAX(0,Z62*(1-Premissas!$C$53)-(Premissas!$C$14*(1+Premissas!$C$57)^((YEAR(Premissas!$C$25)-YEAR(Premissas!$C$18))*12+MONTH(Premissas!$C$25)-MONTH(Premissas!$C$18))*(1+Premissas!$C$34))),"")</f>
        <v>276962.81259538</v>
      </c>
      <c r="AB62" s="16" t="n">
        <f aca="false">IF($A62&gt;=Premissas!$C$25,Y62+AA62,"")</f>
        <v>-126422.915415463</v>
      </c>
      <c r="AC62" s="20" t="str">
        <f aca="false">IF(AND($A62&gt;=Premissas!$C$27,W62&gt;=M62),$A62,"")</f>
        <v/>
      </c>
      <c r="AD62" s="20" t="str">
        <f aca="false">IF(AND($A62&gt;=Premissas!$C$27,Y62&gt;=0),$A62,"")</f>
        <v/>
      </c>
      <c r="AE62" s="20" t="str">
        <f aca="false">IF(AND($A62&gt;=Premissas!$C$25,N(AB62)&gt;=0),$A62,"")</f>
        <v/>
      </c>
    </row>
    <row r="63" customFormat="false" ht="15" hidden="false" customHeight="false" outlineLevel="0" collapsed="false">
      <c r="A63" s="20" t="n">
        <f aca="false">DATE(YEAR(A62),MONTH(A62)+1,1)</f>
        <v>48153</v>
      </c>
      <c r="B63" s="5" t="str">
        <f aca="false">IF($A63&lt;Premissas!$C$25,"Obra",IF($A63=Premissas!$C$25,"Chaves",IF($A63&lt;Premissas!$C$27,"Mobiliando","Airbnb")))</f>
        <v>Airbnb</v>
      </c>
      <c r="C63" s="35" t="n">
        <f aca="false">(YEAR($A63)-YEAR(Premissas!$C$18))*12+MONTH($A63)-MONTH(Premissas!$C$18)</f>
        <v>62</v>
      </c>
      <c r="D63" s="16" t="n">
        <f aca="false">($A63=Premissas!$C$19)*Premissas!$C$8+(($A63=EDATE(Premissas!$C$19,1))+($A63=EDATE(Premissas!$C$19,2)))*Premissas!$C$9+AND($A63&gt;=Premissas!$C$20,$A63&lt;EDATE(Premissas!$C$20,Premissas!$C$21))*Premissas!$C$10+(($A63=Premissas!$C$22)+($A63=Premissas!$C$23)+($A63=Premissas!$C$24))*Premissas!$C$11+($A63=Premissas!$C$25)*Premissas!$C$12</f>
        <v>0</v>
      </c>
      <c r="E63" s="36" t="n">
        <f aca="false">(1+Premissas!$C$57)^C63</f>
        <v>1.31867480379142</v>
      </c>
      <c r="F63" s="16" t="n">
        <f aca="false">D63*E63</f>
        <v>0</v>
      </c>
      <c r="G63" s="16" t="n">
        <f aca="false">($A63=Premissas!$C$25)*Premissas!$C$34*Premissas!$C$14*(1+Premissas!$C$57)^C63</f>
        <v>0</v>
      </c>
      <c r="H63" s="16" t="n">
        <f aca="false">IF(AND($A63&gt;Premissas!$C$25,$A63&lt;Premissas!$C$27),Premissas!$C$35/MAX(1,Premissas!$C$26),0)</f>
        <v>0</v>
      </c>
      <c r="I63" s="35" t="n">
        <f aca="false">IF(AND($A63&gt;Premissas!$C$25,((YEAR($A63)-YEAR(Premissas!$C$25))*12+MONTH($A63)-MONTH(Premissas!$C$25))&lt;=Premissas!$C$32),((YEAR($A63)-YEAR(Premissas!$C$25))*12+MONTH($A63)-MONTH(Premissas!$C$25)),0)</f>
        <v>39</v>
      </c>
      <c r="J63" s="16" t="n">
        <f aca="false">IF(I63&gt;0,N62*(1+Premissas!$C$59),0)</f>
        <v>286926.854103428</v>
      </c>
      <c r="K63" s="16" t="n">
        <f aca="false">J63*Premissas!$C$58</f>
        <v>2722.58950595875</v>
      </c>
      <c r="L63" s="16" t="n">
        <f aca="false">IF(I63&gt;0,J63/(Premissas!$C$32-I63+1),0)</f>
        <v>3499.10797687107</v>
      </c>
      <c r="M63" s="16" t="n">
        <f aca="false">K63+L63</f>
        <v>6221.69748282982</v>
      </c>
      <c r="N63" s="16" t="n">
        <f aca="false">IF($A63=Premissas!$C$25,Premissas!$C$13*E63,IF(I63&gt;0,J63-L63,0))</f>
        <v>283427.746126557</v>
      </c>
      <c r="O63" s="37" t="n">
        <f aca="false">IF($A63&gt;=Premissas!$C$27,Premissas!$C$39*IF(((YEAR($A63)-YEAR(Premissas!$C$27))*12+MONTH($A63)-MONTH(Premissas!$C$27))&lt;Premissas!$C$41,Premissas!$C$42,1),0)</f>
        <v>0.62</v>
      </c>
      <c r="P63" s="16" t="n">
        <f aca="false">O63*Premissas!$C$38*Premissas!$C$40*(1+Premissas!$C$60)^((YEAR($A63)-YEAR(Premissas!$C$19))*12+MONTH($A63)-MONTH(Premissas!$C$19))</f>
        <v>5170.92914479068</v>
      </c>
      <c r="Q63" s="16" t="n">
        <f aca="false">P63*Premissas!$C$43</f>
        <v>827.348663166509</v>
      </c>
      <c r="R63" s="16" t="n">
        <f aca="false">P63*Premissas!$C$44</f>
        <v>1034.18582895814</v>
      </c>
      <c r="S63" s="16" t="n">
        <f aca="false">IF($A63&gt;=Premissas!$C$25,Premissas!$C$45*(1+Premissas!$C$60)^((YEAR($A63)-YEAR(Premissas!$C$19))*12+MONTH($A63)-MONTH(Premissas!$C$19)),0)</f>
        <v>906.544380222771</v>
      </c>
      <c r="T63" s="16" t="n">
        <f aca="false">IF($A63&gt;=Premissas!$C$27,Premissas!$C$46*(1+Premissas!$C$60)^((YEAR($A63)-YEAR(Premissas!$C$19))*12+MONTH($A63)-MONTH(Premissas!$C$19)),0)</f>
        <v>362.617752089108</v>
      </c>
      <c r="U63" s="16" t="n">
        <f aca="false">IF($A63&gt;=Premissas!$C$27,Premissas!$C$47*(1+Premissas!$C$60)^((YEAR($A63)-YEAR(Premissas!$C$19))*12+MONTH($A63)-MONTH(Premissas!$C$19)),0)</f>
        <v>181.308876044554</v>
      </c>
      <c r="V63" s="16" t="n">
        <f aca="false">IF($A63&gt;=Premissas!$C$27,MAX(0,P63-Q63-R63-S63)*Premissas!$C$49,0)</f>
        <v>660.783824921899</v>
      </c>
      <c r="W63" s="16" t="n">
        <f aca="false">P63-Q63-R63-S63-T63-U63-V63</f>
        <v>1198.13981938771</v>
      </c>
      <c r="X63" s="16" t="n">
        <f aca="false">W63-F63-G63-H63-M63</f>
        <v>-5023.55766344212</v>
      </c>
      <c r="Y63" s="16" t="n">
        <f aca="false">Y62+X63</f>
        <v>-408409.285674285</v>
      </c>
      <c r="Z63" s="16" t="n">
        <f aca="false">Premissas!$C$14*(1+Premissas!$C$57)^((YEAR(Premissas!$C$19)-YEAR(Premissas!$C$18))*12+MONTH(Premissas!$C$19)-MONTH(Premissas!$C$18))*(1+Premissas!$C$61)^((YEAR($A63)-YEAR(Premissas!$C$19))*12+MONTH($A63)-MONTH(Premissas!$C$19))</f>
        <v>605399.139440703</v>
      </c>
      <c r="AA63" s="16" t="n">
        <f aca="false">IF($A63&gt;=Premissas!$C$25,Z63*(1-Premissas!$C$53)-N63-Premissas!$C$54*MAX(0,Z63*(1-Premissas!$C$53)-(Premissas!$C$14*(1+Premissas!$C$57)^((YEAR(Premissas!$C$25)-YEAR(Premissas!$C$18))*12+MONTH(Premissas!$C$25)-MONTH(Premissas!$C$18))*(1+Premissas!$C$34))),"")</f>
        <v>281488.37579823</v>
      </c>
      <c r="AB63" s="16" t="n">
        <f aca="false">IF($A63&gt;=Premissas!$C$25,Y63+AA63,"")</f>
        <v>-126920.909876055</v>
      </c>
      <c r="AC63" s="20" t="str">
        <f aca="false">IF(AND($A63&gt;=Premissas!$C$27,W63&gt;=M63),$A63,"")</f>
        <v/>
      </c>
      <c r="AD63" s="20" t="str">
        <f aca="false">IF(AND($A63&gt;=Premissas!$C$27,Y63&gt;=0),$A63,"")</f>
        <v/>
      </c>
      <c r="AE63" s="20" t="str">
        <f aca="false">IF(AND($A63&gt;=Premissas!$C$25,N(AB63)&gt;=0),$A63,"")</f>
        <v/>
      </c>
    </row>
    <row r="64" customFormat="false" ht="15" hidden="false" customHeight="false" outlineLevel="0" collapsed="false">
      <c r="A64" s="20" t="n">
        <f aca="false">DATE(YEAR(A63),MONTH(A63)+1,1)</f>
        <v>48183</v>
      </c>
      <c r="B64" s="5" t="str">
        <f aca="false">IF($A64&lt;Premissas!$C$25,"Obra",IF($A64=Premissas!$C$25,"Chaves",IF($A64&lt;Premissas!$C$27,"Mobiliando","Airbnb")))</f>
        <v>Airbnb</v>
      </c>
      <c r="C64" s="35" t="n">
        <f aca="false">(YEAR($A64)-YEAR(Premissas!$C$18))*12+MONTH($A64)-MONTH(Premissas!$C$18)</f>
        <v>63</v>
      </c>
      <c r="D64" s="16" t="n">
        <f aca="false">($A64=Premissas!$C$19)*Premissas!$C$8+(($A64=EDATE(Premissas!$C$19,1))+($A64=EDATE(Premissas!$C$19,2)))*Premissas!$C$9+AND($A64&gt;=Premissas!$C$20,$A64&lt;EDATE(Premissas!$C$20,Premissas!$C$21))*Premissas!$C$10+(($A64=Premissas!$C$22)+($A64=Premissas!$C$23)+($A64=Premissas!$C$24))*Premissas!$C$11+($A64=Premissas!$C$25)*Premissas!$C$12</f>
        <v>0</v>
      </c>
      <c r="E64" s="36" t="n">
        <f aca="false">(1+Premissas!$C$57)^C64</f>
        <v>1.32457152048347</v>
      </c>
      <c r="F64" s="16" t="n">
        <f aca="false">D64*E64</f>
        <v>0</v>
      </c>
      <c r="G64" s="16" t="n">
        <f aca="false">($A64=Premissas!$C$25)*Premissas!$C$34*Premissas!$C$14*(1+Premissas!$C$57)^C64</f>
        <v>0</v>
      </c>
      <c r="H64" s="16" t="n">
        <f aca="false">IF(AND($A64&gt;Premissas!$C$25,$A64&lt;Premissas!$C$27),Premissas!$C$35/MAX(1,Premissas!$C$26),0)</f>
        <v>0</v>
      </c>
      <c r="I64" s="35" t="n">
        <f aca="false">IF(AND($A64&gt;Premissas!$C$25,((YEAR($A64)-YEAR(Premissas!$C$25))*12+MONTH($A64)-MONTH(Premissas!$C$25))&lt;=Premissas!$C$32),((YEAR($A64)-YEAR(Premissas!$C$25))*12+MONTH($A64)-MONTH(Premissas!$C$25)),0)</f>
        <v>40</v>
      </c>
      <c r="J64" s="16" t="n">
        <f aca="false">IF(I64&gt;0,N63*(1+Premissas!$C$59),0)</f>
        <v>284355.614814431</v>
      </c>
      <c r="K64" s="16" t="n">
        <f aca="false">J64*Premissas!$C$58</f>
        <v>2698.19154876019</v>
      </c>
      <c r="L64" s="16" t="n">
        <f aca="false">IF(I64&gt;0,J64/(Premissas!$C$32-I64+1),0)</f>
        <v>3510.56314585717</v>
      </c>
      <c r="M64" s="16" t="n">
        <f aca="false">K64+L64</f>
        <v>6208.75469461735</v>
      </c>
      <c r="N64" s="16" t="n">
        <f aca="false">IF($A64=Premissas!$C$25,Premissas!$C$13*E64,IF(I64&gt;0,J64-L64,0))</f>
        <v>280845.051668573</v>
      </c>
      <c r="O64" s="37" t="n">
        <f aca="false">IF($A64&gt;=Premissas!$C$27,Premissas!$C$39*IF(((YEAR($A64)-YEAR(Premissas!$C$27))*12+MONTH($A64)-MONTH(Premissas!$C$27))&lt;Premissas!$C$41,Premissas!$C$42,1),0)</f>
        <v>0.62</v>
      </c>
      <c r="P64" s="16" t="n">
        <f aca="false">O64*Premissas!$C$38*Premissas!$C$40*(1+Premissas!$C$60)^((YEAR($A64)-YEAR(Premissas!$C$19))*12+MONTH($A64)-MONTH(Premissas!$C$19))</f>
        <v>5187.85742124292</v>
      </c>
      <c r="Q64" s="16" t="n">
        <f aca="false">P64*Premissas!$C$43</f>
        <v>830.057187398867</v>
      </c>
      <c r="R64" s="16" t="n">
        <f aca="false">P64*Premissas!$C$44</f>
        <v>1037.57148424858</v>
      </c>
      <c r="S64" s="16" t="n">
        <f aca="false">IF($A64&gt;=Premissas!$C$25,Premissas!$C$45*(1+Premissas!$C$60)^((YEAR($A64)-YEAR(Premissas!$C$19))*12+MONTH($A64)-MONTH(Premissas!$C$19)),0)</f>
        <v>909.512170624635</v>
      </c>
      <c r="T64" s="16" t="n">
        <f aca="false">IF($A64&gt;=Premissas!$C$27,Premissas!$C$46*(1+Premissas!$C$60)^((YEAR($A64)-YEAR(Premissas!$C$19))*12+MONTH($A64)-MONTH(Premissas!$C$19)),0)</f>
        <v>363.804868249854</v>
      </c>
      <c r="U64" s="16" t="n">
        <f aca="false">IF($A64&gt;=Premissas!$C$27,Premissas!$C$47*(1+Premissas!$C$60)^((YEAR($A64)-YEAR(Premissas!$C$19))*12+MONTH($A64)-MONTH(Premissas!$C$19)),0)</f>
        <v>181.902434124927</v>
      </c>
      <c r="V64" s="16" t="n">
        <f aca="false">IF($A64&gt;=Premissas!$C$27,MAX(0,P64-Q64-R64-S64)*Premissas!$C$49,0)</f>
        <v>662.947059216979</v>
      </c>
      <c r="W64" s="16" t="n">
        <f aca="false">P64-Q64-R64-S64-T64-U64-V64</f>
        <v>1202.06221737907</v>
      </c>
      <c r="X64" s="16" t="n">
        <f aca="false">W64-F64-G64-H64-M64</f>
        <v>-5006.69247723828</v>
      </c>
      <c r="Y64" s="16" t="n">
        <f aca="false">Y63+X64</f>
        <v>-413415.978151524</v>
      </c>
      <c r="Z64" s="16" t="n">
        <f aca="false">Premissas!$C$14*(1+Premissas!$C$57)^((YEAR(Premissas!$C$19)-YEAR(Premissas!$C$18))*12+MONTH(Premissas!$C$19)-MONTH(Premissas!$C$18))*(1+Premissas!$C$61)^((YEAR($A64)-YEAR(Premissas!$C$19))*12+MONTH($A64)-MONTH(Premissas!$C$19))</f>
        <v>607865.610473299</v>
      </c>
      <c r="AA64" s="16" t="n">
        <f aca="false">IF($A64&gt;=Premissas!$C$25,Z64*(1-Premissas!$C$53)-N64-Premissas!$C$54*MAX(0,Z64*(1-Premissas!$C$53)-(Premissas!$C$14*(1+Premissas!$C$57)^((YEAR(Premissas!$C$25)-YEAR(Premissas!$C$18))*12+MONTH(Premissas!$C$25)-MONTH(Premissas!$C$18))*(1+Premissas!$C$34))),"")</f>
        <v>286041.780611258</v>
      </c>
      <c r="AB64" s="16" t="n">
        <f aca="false">IF($A64&gt;=Premissas!$C$25,Y64+AA64,"")</f>
        <v>-127374.197540266</v>
      </c>
      <c r="AC64" s="20" t="str">
        <f aca="false">IF(AND($A64&gt;=Premissas!$C$27,W64&gt;=M64),$A64,"")</f>
        <v/>
      </c>
      <c r="AD64" s="20" t="str">
        <f aca="false">IF(AND($A64&gt;=Premissas!$C$27,Y64&gt;=0),$A64,"")</f>
        <v/>
      </c>
      <c r="AE64" s="20" t="str">
        <f aca="false">IF(AND($A64&gt;=Premissas!$C$25,N(AB64)&gt;=0),$A64,"")</f>
        <v/>
      </c>
    </row>
    <row r="65" customFormat="false" ht="15" hidden="false" customHeight="false" outlineLevel="0" collapsed="false">
      <c r="A65" s="29" t="n">
        <f aca="false">DATE(YEAR(A64),MONTH(A64)+1,1)</f>
        <v>48214</v>
      </c>
      <c r="B65" s="30" t="str">
        <f aca="false">IF($A65&lt;Premissas!$C$25,"Obra",IF($A65=Premissas!$C$25,"Chaves",IF($A65&lt;Premissas!$C$27,"Mobiliando","Airbnb")))</f>
        <v>Airbnb</v>
      </c>
      <c r="C65" s="31" t="n">
        <f aca="false">(YEAR($A65)-YEAR(Premissas!$C$18))*12+MONTH($A65)-MONTH(Premissas!$C$18)</f>
        <v>64</v>
      </c>
      <c r="D65" s="32" t="n">
        <f aca="false">($A65=Premissas!$C$19)*Premissas!$C$8+(($A65=EDATE(Premissas!$C$19,1))+($A65=EDATE(Premissas!$C$19,2)))*Premissas!$C$9+AND($A65&gt;=Premissas!$C$20,$A65&lt;EDATE(Premissas!$C$20,Premissas!$C$21))*Premissas!$C$10+(($A65=Premissas!$C$22)+($A65=Premissas!$C$23)+($A65=Premissas!$C$24))*Premissas!$C$11+($A65=Premissas!$C$25)*Premissas!$C$12</f>
        <v>0</v>
      </c>
      <c r="E65" s="33" t="n">
        <f aca="false">(1+Premissas!$C$57)^C65</f>
        <v>1.33049460551716</v>
      </c>
      <c r="F65" s="32" t="n">
        <f aca="false">D65*E65</f>
        <v>0</v>
      </c>
      <c r="G65" s="32" t="n">
        <f aca="false">($A65=Premissas!$C$25)*Premissas!$C$34*Premissas!$C$14*(1+Premissas!$C$57)^C65</f>
        <v>0</v>
      </c>
      <c r="H65" s="32" t="n">
        <f aca="false">IF(AND($A65&gt;Premissas!$C$25,$A65&lt;Premissas!$C$27),Premissas!$C$35/MAX(1,Premissas!$C$26),0)</f>
        <v>0</v>
      </c>
      <c r="I65" s="31" t="n">
        <f aca="false">IF(AND($A65&gt;Premissas!$C$25,((YEAR($A65)-YEAR(Premissas!$C$25))*12+MONTH($A65)-MONTH(Premissas!$C$25))&lt;=Premissas!$C$32),((YEAR($A65)-YEAR(Premissas!$C$25))*12+MONTH($A65)-MONTH(Premissas!$C$25)),0)</f>
        <v>41</v>
      </c>
      <c r="J65" s="32" t="n">
        <f aca="false">IF(I65&gt;0,N64*(1+Premissas!$C$59),0)</f>
        <v>281764.465286855</v>
      </c>
      <c r="K65" s="32" t="n">
        <f aca="false">J65*Premissas!$C$58</f>
        <v>2673.60466743048</v>
      </c>
      <c r="L65" s="32" t="n">
        <f aca="false">IF(I65&gt;0,J65/(Premissas!$C$32-I65+1),0)</f>
        <v>3522.05581608568</v>
      </c>
      <c r="M65" s="32" t="n">
        <f aca="false">K65+L65</f>
        <v>6195.66048351616</v>
      </c>
      <c r="N65" s="32" t="n">
        <f aca="false">IF($A65=Premissas!$C$25,Premissas!$C$13*E65,IF(I65&gt;0,J65-L65,0))</f>
        <v>278242.409470769</v>
      </c>
      <c r="O65" s="34" t="n">
        <f aca="false">IF($A65&gt;=Premissas!$C$27,Premissas!$C$39*IF(((YEAR($A65)-YEAR(Premissas!$C$27))*12+MONTH($A65)-MONTH(Premissas!$C$27))&lt;Premissas!$C$41,Premissas!$C$42,1),0)</f>
        <v>0.62</v>
      </c>
      <c r="P65" s="32" t="n">
        <f aca="false">O65*Premissas!$C$38*Premissas!$C$40*(1+Premissas!$C$60)^((YEAR($A65)-YEAR(Premissas!$C$19))*12+MONTH($A65)-MONTH(Premissas!$C$19))</f>
        <v>5204.84111646722</v>
      </c>
      <c r="Q65" s="32" t="n">
        <f aca="false">P65*Premissas!$C$43</f>
        <v>832.774578634755</v>
      </c>
      <c r="R65" s="32" t="n">
        <f aca="false">P65*Premissas!$C$44</f>
        <v>1040.96822329344</v>
      </c>
      <c r="S65" s="32" t="n">
        <f aca="false">IF($A65&gt;=Premissas!$C$25,Premissas!$C$45*(1+Premissas!$C$60)^((YEAR($A65)-YEAR(Premissas!$C$19))*12+MONTH($A65)-MONTH(Premissas!$C$19)),0)</f>
        <v>912.489676800003</v>
      </c>
      <c r="T65" s="32" t="n">
        <f aca="false">IF($A65&gt;=Premissas!$C$27,Premissas!$C$46*(1+Premissas!$C$60)^((YEAR($A65)-YEAR(Premissas!$C$19))*12+MONTH($A65)-MONTH(Premissas!$C$19)),0)</f>
        <v>364.995870720001</v>
      </c>
      <c r="U65" s="32" t="n">
        <f aca="false">IF($A65&gt;=Premissas!$C$27,Premissas!$C$47*(1+Premissas!$C$60)^((YEAR($A65)-YEAR(Premissas!$C$19))*12+MONTH($A65)-MONTH(Premissas!$C$19)),0)</f>
        <v>182.497935360001</v>
      </c>
      <c r="V65" s="32" t="n">
        <f aca="false">IF($A65&gt;=Premissas!$C$27,MAX(0,P65-Q65-R65-S65)*Premissas!$C$49,0)</f>
        <v>665.117375378229</v>
      </c>
      <c r="W65" s="32" t="n">
        <f aca="false">P65-Q65-R65-S65-T65-U65-V65</f>
        <v>1205.99745628078</v>
      </c>
      <c r="X65" s="32" t="n">
        <f aca="false">W65-F65-G65-H65-M65</f>
        <v>-4989.66302723537</v>
      </c>
      <c r="Y65" s="32" t="n">
        <f aca="false">Y64+X65</f>
        <v>-418405.641178759</v>
      </c>
      <c r="Z65" s="32" t="n">
        <f aca="false">Premissas!$C$14*(1+Premissas!$C$57)^((YEAR(Premissas!$C$19)-YEAR(Premissas!$C$18))*12+MONTH(Premissas!$C$19)-MONTH(Premissas!$C$18))*(1+Premissas!$C$61)^((YEAR($A65)-YEAR(Premissas!$C$19))*12+MONTH($A65)-MONTH(Premissas!$C$19))</f>
        <v>610342.13021419</v>
      </c>
      <c r="AA65" s="32" t="n">
        <f aca="false">IF($A65&gt;=Premissas!$C$25,Z65*(1-Premissas!$C$53)-N65-Premissas!$C$54*MAX(0,Z65*(1-Premissas!$C$53)-(Premissas!$C$14*(1+Premissas!$C$57)^((YEAR(Premissas!$C$25)-YEAR(Premissas!$C$18))*12+MONTH(Premissas!$C$25)-MONTH(Premissas!$C$18))*(1+Premissas!$C$34))),"")</f>
        <v>290623.162082034</v>
      </c>
      <c r="AB65" s="32" t="n">
        <f aca="false">IF($A65&gt;=Premissas!$C$25,Y65+AA65,"")</f>
        <v>-127782.479096725</v>
      </c>
      <c r="AC65" s="29" t="str">
        <f aca="false">IF(AND($A65&gt;=Premissas!$C$27,W65&gt;=M65),$A65,"")</f>
        <v/>
      </c>
      <c r="AD65" s="29" t="str">
        <f aca="false">IF(AND($A65&gt;=Premissas!$C$27,Y65&gt;=0),$A65,"")</f>
        <v/>
      </c>
      <c r="AE65" s="29" t="str">
        <f aca="false">IF(AND($A65&gt;=Premissas!$C$25,N(AB65)&gt;=0),$A65,"")</f>
        <v/>
      </c>
    </row>
    <row r="66" customFormat="false" ht="15" hidden="false" customHeight="false" outlineLevel="0" collapsed="false">
      <c r="A66" s="20" t="n">
        <f aca="false">DATE(YEAR(A65),MONTH(A65)+1,1)</f>
        <v>48245</v>
      </c>
      <c r="B66" s="5" t="str">
        <f aca="false">IF($A66&lt;Premissas!$C$25,"Obra",IF($A66=Premissas!$C$25,"Chaves",IF($A66&lt;Premissas!$C$27,"Mobiliando","Airbnb")))</f>
        <v>Airbnb</v>
      </c>
      <c r="C66" s="35" t="n">
        <f aca="false">(YEAR($A66)-YEAR(Premissas!$C$18))*12+MONTH($A66)-MONTH(Premissas!$C$18)</f>
        <v>65</v>
      </c>
      <c r="D66" s="16" t="n">
        <f aca="false">($A66=Premissas!$C$19)*Premissas!$C$8+(($A66=EDATE(Premissas!$C$19,1))+($A66=EDATE(Premissas!$C$19,2)))*Premissas!$C$9+AND($A66&gt;=Premissas!$C$20,$A66&lt;EDATE(Premissas!$C$20,Premissas!$C$21))*Premissas!$C$10+(($A66=Premissas!$C$22)+($A66=Premissas!$C$23)+($A66=Premissas!$C$24))*Premissas!$C$11+($A66=Premissas!$C$25)*Premissas!$C$12</f>
        <v>0</v>
      </c>
      <c r="E66" s="36" t="n">
        <f aca="false">(1+Premissas!$C$57)^C66</f>
        <v>1.33644417680378</v>
      </c>
      <c r="F66" s="16" t="n">
        <f aca="false">D66*E66</f>
        <v>0</v>
      </c>
      <c r="G66" s="16" t="n">
        <f aca="false">($A66=Premissas!$C$25)*Premissas!$C$34*Premissas!$C$14*(1+Premissas!$C$57)^C66</f>
        <v>0</v>
      </c>
      <c r="H66" s="16" t="n">
        <f aca="false">IF(AND($A66&gt;Premissas!$C$25,$A66&lt;Premissas!$C$27),Premissas!$C$35/MAX(1,Premissas!$C$26),0)</f>
        <v>0</v>
      </c>
      <c r="I66" s="35" t="n">
        <f aca="false">IF(AND($A66&gt;Premissas!$C$25,((YEAR($A66)-YEAR(Premissas!$C$25))*12+MONTH($A66)-MONTH(Premissas!$C$25))&lt;=Premissas!$C$32),((YEAR($A66)-YEAR(Premissas!$C$25))*12+MONTH($A66)-MONTH(Premissas!$C$25)),0)</f>
        <v>42</v>
      </c>
      <c r="J66" s="16" t="n">
        <f aca="false">IF(I66&gt;0,N65*(1+Premissas!$C$59),0)</f>
        <v>279153.302715748</v>
      </c>
      <c r="K66" s="16" t="n">
        <f aca="false">J66*Premissas!$C$58</f>
        <v>2648.82788647471</v>
      </c>
      <c r="L66" s="16" t="n">
        <f aca="false">IF(I66&gt;0,J66/(Premissas!$C$32-I66+1),0)</f>
        <v>3533.58611032593</v>
      </c>
      <c r="M66" s="16" t="n">
        <f aca="false">K66+L66</f>
        <v>6182.41399680064</v>
      </c>
      <c r="N66" s="16" t="n">
        <f aca="false">IF($A66=Premissas!$C$25,Premissas!$C$13*E66,IF(I66&gt;0,J66-L66,0))</f>
        <v>275619.716605422</v>
      </c>
      <c r="O66" s="37" t="n">
        <f aca="false">IF($A66&gt;=Premissas!$C$27,Premissas!$C$39*IF(((YEAR($A66)-YEAR(Premissas!$C$27))*12+MONTH($A66)-MONTH(Premissas!$C$27))&lt;Premissas!$C$41,Premissas!$C$42,1),0)</f>
        <v>0.62</v>
      </c>
      <c r="P66" s="16" t="n">
        <f aca="false">O66*Premissas!$C$38*Premissas!$C$40*(1+Premissas!$C$60)^((YEAR($A66)-YEAR(Premissas!$C$19))*12+MONTH($A66)-MONTH(Premissas!$C$19))</f>
        <v>5221.88041189022</v>
      </c>
      <c r="Q66" s="16" t="n">
        <f aca="false">P66*Premissas!$C$43</f>
        <v>835.500865902435</v>
      </c>
      <c r="R66" s="16" t="n">
        <f aca="false">P66*Premissas!$C$44</f>
        <v>1044.37608237804</v>
      </c>
      <c r="S66" s="16" t="n">
        <f aca="false">IF($A66&gt;=Premissas!$C$25,Premissas!$C$45*(1+Premissas!$C$60)^((YEAR($A66)-YEAR(Premissas!$C$19))*12+MONTH($A66)-MONTH(Premissas!$C$19)),0)</f>
        <v>915.476930555789</v>
      </c>
      <c r="T66" s="16" t="n">
        <f aca="false">IF($A66&gt;=Premissas!$C$27,Premissas!$C$46*(1+Premissas!$C$60)^((YEAR($A66)-YEAR(Premissas!$C$19))*12+MONTH($A66)-MONTH(Premissas!$C$19)),0)</f>
        <v>366.190772222316</v>
      </c>
      <c r="U66" s="16" t="n">
        <f aca="false">IF($A66&gt;=Premissas!$C$27,Premissas!$C$47*(1+Premissas!$C$60)^((YEAR($A66)-YEAR(Premissas!$C$19))*12+MONTH($A66)-MONTH(Premissas!$C$19)),0)</f>
        <v>183.095386111158</v>
      </c>
      <c r="V66" s="16" t="n">
        <f aca="false">IF($A66&gt;=Premissas!$C$27,MAX(0,P66-Q66-R66-S66)*Premissas!$C$49,0)</f>
        <v>667.294796589837</v>
      </c>
      <c r="W66" s="16" t="n">
        <f aca="false">P66-Q66-R66-S66-T66-U66-V66</f>
        <v>1209.94557813064</v>
      </c>
      <c r="X66" s="16" t="n">
        <f aca="false">W66-F66-G66-H66-M66</f>
        <v>-4972.46841867</v>
      </c>
      <c r="Y66" s="16" t="n">
        <f aca="false">Y65+X66</f>
        <v>-423378.109597429</v>
      </c>
      <c r="Z66" s="16" t="n">
        <f aca="false">Premissas!$C$14*(1+Premissas!$C$57)^((YEAR(Premissas!$C$19)-YEAR(Premissas!$C$18))*12+MONTH(Premissas!$C$19)-MONTH(Premissas!$C$18))*(1+Premissas!$C$61)^((YEAR($A66)-YEAR(Premissas!$C$19))*12+MONTH($A66)-MONTH(Premissas!$C$19))</f>
        <v>612828.739603058</v>
      </c>
      <c r="AA66" s="16" t="n">
        <f aca="false">IF($A66&gt;=Premissas!$C$25,Z66*(1-Premissas!$C$53)-N66-Premissas!$C$54*MAX(0,Z66*(1-Premissas!$C$53)-(Premissas!$C$14*(1+Premissas!$C$57)^((YEAR(Premissas!$C$25)-YEAR(Premissas!$C$18))*12+MONTH(Premissas!$C$25)-MONTH(Premissas!$C$18))*(1+Premissas!$C$34))),"")</f>
        <v>295232.655849087</v>
      </c>
      <c r="AB66" s="16" t="n">
        <f aca="false">IF($A66&gt;=Premissas!$C$25,Y66+AA66,"")</f>
        <v>-128145.453748342</v>
      </c>
      <c r="AC66" s="20" t="str">
        <f aca="false">IF(AND($A66&gt;=Premissas!$C$27,W66&gt;=M66),$A66,"")</f>
        <v/>
      </c>
      <c r="AD66" s="20" t="str">
        <f aca="false">IF(AND($A66&gt;=Premissas!$C$27,Y66&gt;=0),$A66,"")</f>
        <v/>
      </c>
      <c r="AE66" s="20" t="str">
        <f aca="false">IF(AND($A66&gt;=Premissas!$C$25,N(AB66)&gt;=0),$A66,"")</f>
        <v/>
      </c>
    </row>
    <row r="67" customFormat="false" ht="15" hidden="false" customHeight="false" outlineLevel="0" collapsed="false">
      <c r="A67" s="20" t="n">
        <f aca="false">DATE(YEAR(A66),MONTH(A66)+1,1)</f>
        <v>48274</v>
      </c>
      <c r="B67" s="5" t="str">
        <f aca="false">IF($A67&lt;Premissas!$C$25,"Obra",IF($A67=Premissas!$C$25,"Chaves",IF($A67&lt;Premissas!$C$27,"Mobiliando","Airbnb")))</f>
        <v>Airbnb</v>
      </c>
      <c r="C67" s="35" t="n">
        <f aca="false">(YEAR($A67)-YEAR(Premissas!$C$18))*12+MONTH($A67)-MONTH(Premissas!$C$18)</f>
        <v>66</v>
      </c>
      <c r="D67" s="16" t="n">
        <f aca="false">($A67=Premissas!$C$19)*Premissas!$C$8+(($A67=EDATE(Premissas!$C$19,1))+($A67=EDATE(Premissas!$C$19,2)))*Premissas!$C$9+AND($A67&gt;=Premissas!$C$20,$A67&lt;EDATE(Premissas!$C$20,Premissas!$C$21))*Premissas!$C$10+(($A67=Premissas!$C$22)+($A67=Premissas!$C$23)+($A67=Premissas!$C$24))*Premissas!$C$11+($A67=Premissas!$C$25)*Premissas!$C$12</f>
        <v>0</v>
      </c>
      <c r="E67" s="36" t="n">
        <f aca="false">(1+Premissas!$C$57)^C67</f>
        <v>1.34242035278189</v>
      </c>
      <c r="F67" s="16" t="n">
        <f aca="false">D67*E67</f>
        <v>0</v>
      </c>
      <c r="G67" s="16" t="n">
        <f aca="false">($A67=Premissas!$C$25)*Premissas!$C$34*Premissas!$C$14*(1+Premissas!$C$57)^C67</f>
        <v>0</v>
      </c>
      <c r="H67" s="16" t="n">
        <f aca="false">IF(AND($A67&gt;Premissas!$C$25,$A67&lt;Premissas!$C$27),Premissas!$C$35/MAX(1,Premissas!$C$26),0)</f>
        <v>0</v>
      </c>
      <c r="I67" s="35" t="n">
        <f aca="false">IF(AND($A67&gt;Premissas!$C$25,((YEAR($A67)-YEAR(Premissas!$C$25))*12+MONTH($A67)-MONTH(Premissas!$C$25))&lt;=Premissas!$C$32),((YEAR($A67)-YEAR(Premissas!$C$25))*12+MONTH($A67)-MONTH(Premissas!$C$25)),0)</f>
        <v>43</v>
      </c>
      <c r="J67" s="16" t="n">
        <f aca="false">IF(I67&gt;0,N66*(1+Premissas!$C$59),0)</f>
        <v>276522.023836432</v>
      </c>
      <c r="K67" s="16" t="n">
        <f aca="false">J67*Premissas!$C$58</f>
        <v>2623.86022603574</v>
      </c>
      <c r="L67" s="16" t="n">
        <f aca="false">IF(I67&gt;0,J67/(Premissas!$C$32-I67+1),0)</f>
        <v>3545.15415174913</v>
      </c>
      <c r="M67" s="16" t="n">
        <f aca="false">K67+L67</f>
        <v>6169.01437778486</v>
      </c>
      <c r="N67" s="16" t="n">
        <f aca="false">IF($A67=Premissas!$C$25,Premissas!$C$13*E67,IF(I67&gt;0,J67-L67,0))</f>
        <v>272976.869684683</v>
      </c>
      <c r="O67" s="37" t="n">
        <f aca="false">IF($A67&gt;=Premissas!$C$27,Premissas!$C$39*IF(((YEAR($A67)-YEAR(Premissas!$C$27))*12+MONTH($A67)-MONTH(Premissas!$C$27))&lt;Premissas!$C$41,Premissas!$C$42,1),0)</f>
        <v>0.62</v>
      </c>
      <c r="P67" s="16" t="n">
        <f aca="false">O67*Premissas!$C$38*Premissas!$C$40*(1+Premissas!$C$60)^((YEAR($A67)-YEAR(Premissas!$C$19))*12+MONTH($A67)-MONTH(Premissas!$C$19))</f>
        <v>5238.97548953251</v>
      </c>
      <c r="Q67" s="16" t="n">
        <f aca="false">P67*Premissas!$C$43</f>
        <v>838.236078325201</v>
      </c>
      <c r="R67" s="16" t="n">
        <f aca="false">P67*Premissas!$C$44</f>
        <v>1047.7950979065</v>
      </c>
      <c r="S67" s="16" t="n">
        <f aca="false">IF($A67&gt;=Premissas!$C$25,Premissas!$C$45*(1+Premissas!$C$60)^((YEAR($A67)-YEAR(Premissas!$C$19))*12+MONTH($A67)-MONTH(Premissas!$C$19)),0)</f>
        <v>918.473963803035</v>
      </c>
      <c r="T67" s="16" t="n">
        <f aca="false">IF($A67&gt;=Premissas!$C$27,Premissas!$C$46*(1+Premissas!$C$60)^((YEAR($A67)-YEAR(Premissas!$C$19))*12+MONTH($A67)-MONTH(Premissas!$C$19)),0)</f>
        <v>367.389585521214</v>
      </c>
      <c r="U67" s="16" t="n">
        <f aca="false">IF($A67&gt;=Premissas!$C$27,Premissas!$C$47*(1+Premissas!$C$60)^((YEAR($A67)-YEAR(Premissas!$C$19))*12+MONTH($A67)-MONTH(Premissas!$C$19)),0)</f>
        <v>183.694792760607</v>
      </c>
      <c r="V67" s="16" t="n">
        <f aca="false">IF($A67&gt;=Premissas!$C$27,MAX(0,P67-Q67-R67-S67)*Premissas!$C$49,0)</f>
        <v>669.479346111887</v>
      </c>
      <c r="W67" s="16" t="n">
        <f aca="false">P67-Q67-R67-S67-T67-U67-V67</f>
        <v>1213.90662510406</v>
      </c>
      <c r="X67" s="16" t="n">
        <f aca="false">W67-F67-G67-H67-M67</f>
        <v>-4955.1077526808</v>
      </c>
      <c r="Y67" s="16" t="n">
        <f aca="false">Y66+X67</f>
        <v>-428333.21735011</v>
      </c>
      <c r="Z67" s="16" t="n">
        <f aca="false">Premissas!$C$14*(1+Premissas!$C$57)^((YEAR(Premissas!$C$19)-YEAR(Premissas!$C$18))*12+MONTH(Premissas!$C$19)-MONTH(Premissas!$C$18))*(1+Premissas!$C$61)^((YEAR($A67)-YEAR(Premissas!$C$19))*12+MONTH($A67)-MONTH(Premissas!$C$19))</f>
        <v>615325.479746378</v>
      </c>
      <c r="AA67" s="16" t="n">
        <f aca="false">IF($A67&gt;=Premissas!$C$25,Z67*(1-Premissas!$C$53)-N67-Premissas!$C$54*MAX(0,Z67*(1-Premissas!$C$53)-(Premissas!$C$14*(1+Premissas!$C$57)^((YEAR(Premissas!$C$25)-YEAR(Premissas!$C$18))*12+MONTH(Premissas!$C$25)-MONTH(Premissas!$C$18))*(1+Premissas!$C$34))),"")</f>
        <v>299870.398144339</v>
      </c>
      <c r="AB67" s="16" t="n">
        <f aca="false">IF($A67&gt;=Premissas!$C$25,Y67+AA67,"")</f>
        <v>-128462.819205771</v>
      </c>
      <c r="AC67" s="20" t="str">
        <f aca="false">IF(AND($A67&gt;=Premissas!$C$27,W67&gt;=M67),$A67,"")</f>
        <v/>
      </c>
      <c r="AD67" s="20" t="str">
        <f aca="false">IF(AND($A67&gt;=Premissas!$C$27,Y67&gt;=0),$A67,"")</f>
        <v/>
      </c>
      <c r="AE67" s="20" t="str">
        <f aca="false">IF(AND($A67&gt;=Premissas!$C$25,N(AB67)&gt;=0),$A67,"")</f>
        <v/>
      </c>
    </row>
    <row r="68" customFormat="false" ht="15" hidden="false" customHeight="false" outlineLevel="0" collapsed="false">
      <c r="A68" s="20" t="n">
        <f aca="false">DATE(YEAR(A67),MONTH(A67)+1,1)</f>
        <v>48305</v>
      </c>
      <c r="B68" s="5" t="str">
        <f aca="false">IF($A68&lt;Premissas!$C$25,"Obra",IF($A68=Premissas!$C$25,"Chaves",IF($A68&lt;Premissas!$C$27,"Mobiliando","Airbnb")))</f>
        <v>Airbnb</v>
      </c>
      <c r="C68" s="35" t="n">
        <f aca="false">(YEAR($A68)-YEAR(Premissas!$C$18))*12+MONTH($A68)-MONTH(Premissas!$C$18)</f>
        <v>67</v>
      </c>
      <c r="D68" s="16" t="n">
        <f aca="false">($A68=Premissas!$C$19)*Premissas!$C$8+(($A68=EDATE(Premissas!$C$19,1))+($A68=EDATE(Premissas!$C$19,2)))*Premissas!$C$9+AND($A68&gt;=Premissas!$C$20,$A68&lt;EDATE(Premissas!$C$20,Premissas!$C$21))*Premissas!$C$10+(($A68=Premissas!$C$22)+($A68=Premissas!$C$23)+($A68=Premissas!$C$24))*Premissas!$C$11+($A68=Premissas!$C$25)*Premissas!$C$12</f>
        <v>0</v>
      </c>
      <c r="E68" s="36" t="n">
        <f aca="false">(1+Premissas!$C$57)^C68</f>
        <v>1.34842325241964</v>
      </c>
      <c r="F68" s="16" t="n">
        <f aca="false">D68*E68</f>
        <v>0</v>
      </c>
      <c r="G68" s="16" t="n">
        <f aca="false">($A68=Premissas!$C$25)*Premissas!$C$34*Premissas!$C$14*(1+Premissas!$C$57)^C68</f>
        <v>0</v>
      </c>
      <c r="H68" s="16" t="n">
        <f aca="false">IF(AND($A68&gt;Premissas!$C$25,$A68&lt;Premissas!$C$27),Premissas!$C$35/MAX(1,Premissas!$C$26),0)</f>
        <v>0</v>
      </c>
      <c r="I68" s="35" t="n">
        <f aca="false">IF(AND($A68&gt;Premissas!$C$25,((YEAR($A68)-YEAR(Premissas!$C$25))*12+MONTH($A68)-MONTH(Premissas!$C$25))&lt;=Premissas!$C$32),((YEAR($A68)-YEAR(Premissas!$C$25))*12+MONTH($A68)-MONTH(Premissas!$C$25)),0)</f>
        <v>44</v>
      </c>
      <c r="J68" s="16" t="n">
        <f aca="false">IF(I68&gt;0,N67*(1+Premissas!$C$59),0)</f>
        <v>273870.52492259</v>
      </c>
      <c r="K68" s="16" t="n">
        <f aca="false">J68*Premissas!$C$58</f>
        <v>2598.70070187602</v>
      </c>
      <c r="L68" s="16" t="n">
        <f aca="false">IF(I68&gt;0,J68/(Premissas!$C$32-I68+1),0)</f>
        <v>3556.76006392974</v>
      </c>
      <c r="M68" s="16" t="n">
        <f aca="false">K68+L68</f>
        <v>6155.46076580575</v>
      </c>
      <c r="N68" s="16" t="n">
        <f aca="false">IF($A68=Premissas!$C$25,Premissas!$C$13*E68,IF(I68&gt;0,J68-L68,0))</f>
        <v>270313.76485866</v>
      </c>
      <c r="O68" s="37" t="n">
        <f aca="false">IF($A68&gt;=Premissas!$C$27,Premissas!$C$39*IF(((YEAR($A68)-YEAR(Premissas!$C$27))*12+MONTH($A68)-MONTH(Premissas!$C$27))&lt;Premissas!$C$41,Premissas!$C$42,1),0)</f>
        <v>0.62</v>
      </c>
      <c r="P68" s="16" t="n">
        <f aca="false">O68*Premissas!$C$38*Premissas!$C$40*(1+Premissas!$C$60)^((YEAR($A68)-YEAR(Premissas!$C$19))*12+MONTH($A68)-MONTH(Premissas!$C$19))</f>
        <v>5256.12653201056</v>
      </c>
      <c r="Q68" s="16" t="n">
        <f aca="false">P68*Premissas!$C$43</f>
        <v>840.980245121689</v>
      </c>
      <c r="R68" s="16" t="n">
        <f aca="false">P68*Premissas!$C$44</f>
        <v>1051.22530640211</v>
      </c>
      <c r="S68" s="16" t="n">
        <f aca="false">IF($A68&gt;=Premissas!$C$25,Premissas!$C$45*(1+Premissas!$C$60)^((YEAR($A68)-YEAR(Premissas!$C$19))*12+MONTH($A68)-MONTH(Premissas!$C$19)),0)</f>
        <v>921.480808557251</v>
      </c>
      <c r="T68" s="16" t="n">
        <f aca="false">IF($A68&gt;=Premissas!$C$27,Premissas!$C$46*(1+Premissas!$C$60)^((YEAR($A68)-YEAR(Premissas!$C$19))*12+MONTH($A68)-MONTH(Premissas!$C$19)),0)</f>
        <v>368.5923234229</v>
      </c>
      <c r="U68" s="16" t="n">
        <f aca="false">IF($A68&gt;=Premissas!$C$27,Premissas!$C$47*(1+Premissas!$C$60)^((YEAR($A68)-YEAR(Premissas!$C$19))*12+MONTH($A68)-MONTH(Premissas!$C$19)),0)</f>
        <v>184.29616171145</v>
      </c>
      <c r="V68" s="16" t="n">
        <f aca="false">IF($A68&gt;=Premissas!$C$27,MAX(0,P68-Q68-R68-S68)*Premissas!$C$49,0)</f>
        <v>671.671047280614</v>
      </c>
      <c r="W68" s="16" t="n">
        <f aca="false">P68-Q68-R68-S68-T68-U68-V68</f>
        <v>1217.88063951454</v>
      </c>
      <c r="X68" s="16" t="n">
        <f aca="false">W68-F68-G68-H68-M68</f>
        <v>-4937.58012629121</v>
      </c>
      <c r="Y68" s="16" t="n">
        <f aca="false">Y67+X68</f>
        <v>-433270.797476401</v>
      </c>
      <c r="Z68" s="16" t="n">
        <f aca="false">Premissas!$C$14*(1+Premissas!$C$57)^((YEAR(Premissas!$C$19)-YEAR(Premissas!$C$18))*12+MONTH(Premissas!$C$19)-MONTH(Premissas!$C$18))*(1+Premissas!$C$61)^((YEAR($A68)-YEAR(Premissas!$C$19))*12+MONTH($A68)-MONTH(Premissas!$C$19))</f>
        <v>617832.391918098</v>
      </c>
      <c r="AA68" s="16" t="n">
        <f aca="false">IF($A68&gt;=Premissas!$C$25,Z68*(1-Premissas!$C$53)-N68-Premissas!$C$54*MAX(0,Z68*(1-Premissas!$C$53)-(Premissas!$C$14*(1+Premissas!$C$57)^((YEAR(Premissas!$C$25)-YEAR(Premissas!$C$18))*12+MONTH(Premissas!$C$25)-MONTH(Premissas!$C$18))*(1+Premissas!$C$34))),"")</f>
        <v>304536.525795566</v>
      </c>
      <c r="AB68" s="16" t="n">
        <f aca="false">IF($A68&gt;=Premissas!$C$25,Y68+AA68,"")</f>
        <v>-128734.271680835</v>
      </c>
      <c r="AC68" s="20" t="str">
        <f aca="false">IF(AND($A68&gt;=Premissas!$C$27,W68&gt;=M68),$A68,"")</f>
        <v/>
      </c>
      <c r="AD68" s="20" t="str">
        <f aca="false">IF(AND($A68&gt;=Premissas!$C$27,Y68&gt;=0),$A68,"")</f>
        <v/>
      </c>
      <c r="AE68" s="20" t="str">
        <f aca="false">IF(AND($A68&gt;=Premissas!$C$25,N(AB68)&gt;=0),$A68,"")</f>
        <v/>
      </c>
    </row>
    <row r="69" customFormat="false" ht="15" hidden="false" customHeight="false" outlineLevel="0" collapsed="false">
      <c r="A69" s="20" t="n">
        <f aca="false">DATE(YEAR(A68),MONTH(A68)+1,1)</f>
        <v>48335</v>
      </c>
      <c r="B69" s="5" t="str">
        <f aca="false">IF($A69&lt;Premissas!$C$25,"Obra",IF($A69=Premissas!$C$25,"Chaves",IF($A69&lt;Premissas!$C$27,"Mobiliando","Airbnb")))</f>
        <v>Airbnb</v>
      </c>
      <c r="C69" s="35" t="n">
        <f aca="false">(YEAR($A69)-YEAR(Premissas!$C$18))*12+MONTH($A69)-MONTH(Premissas!$C$18)</f>
        <v>68</v>
      </c>
      <c r="D69" s="16" t="n">
        <f aca="false">($A69=Premissas!$C$19)*Premissas!$C$8+(($A69=EDATE(Premissas!$C$19,1))+($A69=EDATE(Premissas!$C$19,2)))*Premissas!$C$9+AND($A69&gt;=Premissas!$C$20,$A69&lt;EDATE(Premissas!$C$20,Premissas!$C$21))*Premissas!$C$10+(($A69=Premissas!$C$22)+($A69=Premissas!$C$23)+($A69=Premissas!$C$24))*Premissas!$C$11+($A69=Premissas!$C$25)*Premissas!$C$12</f>
        <v>0</v>
      </c>
      <c r="E69" s="36" t="n">
        <f aca="false">(1+Premissas!$C$57)^C69</f>
        <v>1.3544529952172</v>
      </c>
      <c r="F69" s="16" t="n">
        <f aca="false">D69*E69</f>
        <v>0</v>
      </c>
      <c r="G69" s="16" t="n">
        <f aca="false">($A69=Premissas!$C$25)*Premissas!$C$34*Premissas!$C$14*(1+Premissas!$C$57)^C69</f>
        <v>0</v>
      </c>
      <c r="H69" s="16" t="n">
        <f aca="false">IF(AND($A69&gt;Premissas!$C$25,$A69&lt;Premissas!$C$27),Premissas!$C$35/MAX(1,Premissas!$C$26),0)</f>
        <v>0</v>
      </c>
      <c r="I69" s="35" t="n">
        <f aca="false">IF(AND($A69&gt;Premissas!$C$25,((YEAR($A69)-YEAR(Premissas!$C$25))*12+MONTH($A69)-MONTH(Premissas!$C$25))&lt;=Premissas!$C$32),((YEAR($A69)-YEAR(Premissas!$C$25))*12+MONTH($A69)-MONTH(Premissas!$C$25)),0)</f>
        <v>45</v>
      </c>
      <c r="J69" s="16" t="n">
        <f aca="false">IF(I69&gt;0,N68*(1+Premissas!$C$59),0)</f>
        <v>271198.701784354</v>
      </c>
      <c r="K69" s="16" t="n">
        <f aca="false">J69*Premissas!$C$58</f>
        <v>2573.34832535947</v>
      </c>
      <c r="L69" s="16" t="n">
        <f aca="false">IF(I69&gt;0,J69/(Premissas!$C$32-I69+1),0)</f>
        <v>3568.40397084676</v>
      </c>
      <c r="M69" s="16" t="n">
        <f aca="false">K69+L69</f>
        <v>6141.75229620623</v>
      </c>
      <c r="N69" s="16" t="n">
        <f aca="false">IF($A69=Premissas!$C$25,Premissas!$C$13*E69,IF(I69&gt;0,J69-L69,0))</f>
        <v>267630.297813507</v>
      </c>
      <c r="O69" s="37" t="n">
        <f aca="false">IF($A69&gt;=Premissas!$C$27,Premissas!$C$39*IF(((YEAR($A69)-YEAR(Premissas!$C$27))*12+MONTH($A69)-MONTH(Premissas!$C$27))&lt;Premissas!$C$41,Premissas!$C$42,1),0)</f>
        <v>0.62</v>
      </c>
      <c r="P69" s="16" t="n">
        <f aca="false">O69*Premissas!$C$38*Premissas!$C$40*(1+Premissas!$C$60)^((YEAR($A69)-YEAR(Premissas!$C$19))*12+MONTH($A69)-MONTH(Premissas!$C$19))</f>
        <v>5273.33372253867</v>
      </c>
      <c r="Q69" s="16" t="n">
        <f aca="false">P69*Premissas!$C$43</f>
        <v>843.733395606187</v>
      </c>
      <c r="R69" s="16" t="n">
        <f aca="false">P69*Premissas!$C$44</f>
        <v>1054.66674450773</v>
      </c>
      <c r="S69" s="16" t="n">
        <f aca="false">IF($A69&gt;=Premissas!$C$25,Premissas!$C$45*(1+Premissas!$C$60)^((YEAR($A69)-YEAR(Premissas!$C$19))*12+MONTH($A69)-MONTH(Premissas!$C$19)),0)</f>
        <v>924.497496938757</v>
      </c>
      <c r="T69" s="16" t="n">
        <f aca="false">IF($A69&gt;=Premissas!$C$27,Premissas!$C$46*(1+Premissas!$C$60)^((YEAR($A69)-YEAR(Premissas!$C$19))*12+MONTH($A69)-MONTH(Premissas!$C$19)),0)</f>
        <v>369.798998775503</v>
      </c>
      <c r="U69" s="16" t="n">
        <f aca="false">IF($A69&gt;=Premissas!$C$27,Premissas!$C$47*(1+Premissas!$C$60)^((YEAR($A69)-YEAR(Premissas!$C$19))*12+MONTH($A69)-MONTH(Premissas!$C$19)),0)</f>
        <v>184.899499387751</v>
      </c>
      <c r="V69" s="16" t="n">
        <f aca="false">IF($A69&gt;=Premissas!$C$27,MAX(0,P69-Q69-R69-S69)*Premissas!$C$49,0)</f>
        <v>673.869923508648</v>
      </c>
      <c r="W69" s="16" t="n">
        <f aca="false">P69-Q69-R69-S69-T69-U69-V69</f>
        <v>1221.86766381409</v>
      </c>
      <c r="X69" s="16" t="n">
        <f aca="false">W69-F69-G69-H69-M69</f>
        <v>-4919.88463239214</v>
      </c>
      <c r="Y69" s="16" t="n">
        <f aca="false">Y68+X69</f>
        <v>-438190.682108793</v>
      </c>
      <c r="Z69" s="16" t="n">
        <f aca="false">Premissas!$C$14*(1+Premissas!$C$57)^((YEAR(Premissas!$C$19)-YEAR(Premissas!$C$18))*12+MONTH(Premissas!$C$19)-MONTH(Premissas!$C$18))*(1+Premissas!$C$61)^((YEAR($A69)-YEAR(Premissas!$C$19))*12+MONTH($A69)-MONTH(Premissas!$C$19))</f>
        <v>620349.51756032</v>
      </c>
      <c r="AA69" s="16" t="n">
        <f aca="false">IF($A69&gt;=Premissas!$C$25,Z69*(1-Premissas!$C$53)-N69-Premissas!$C$54*MAX(0,Z69*(1-Premissas!$C$53)-(Premissas!$C$14*(1+Premissas!$C$57)^((YEAR(Premissas!$C$25)-YEAR(Premissas!$C$18))*12+MONTH(Premissas!$C$25)-MONTH(Premissas!$C$18))*(1+Premissas!$C$34))),"")</f>
        <v>309231.176228854</v>
      </c>
      <c r="AB69" s="16" t="n">
        <f aca="false">IF($A69&gt;=Premissas!$C$25,Y69+AA69,"")</f>
        <v>-128959.505879939</v>
      </c>
      <c r="AC69" s="20" t="str">
        <f aca="false">IF(AND($A69&gt;=Premissas!$C$27,W69&gt;=M69),$A69,"")</f>
        <v/>
      </c>
      <c r="AD69" s="20" t="str">
        <f aca="false">IF(AND($A69&gt;=Premissas!$C$27,Y69&gt;=0),$A69,"")</f>
        <v/>
      </c>
      <c r="AE69" s="20" t="str">
        <f aca="false">IF(AND($A69&gt;=Premissas!$C$25,N(AB69)&gt;=0),$A69,"")</f>
        <v/>
      </c>
    </row>
    <row r="70" customFormat="false" ht="15" hidden="false" customHeight="false" outlineLevel="0" collapsed="false">
      <c r="A70" s="20" t="n">
        <f aca="false">DATE(YEAR(A69),MONTH(A69)+1,1)</f>
        <v>48366</v>
      </c>
      <c r="B70" s="5" t="str">
        <f aca="false">IF($A70&lt;Premissas!$C$25,"Obra",IF($A70=Premissas!$C$25,"Chaves",IF($A70&lt;Premissas!$C$27,"Mobiliando","Airbnb")))</f>
        <v>Airbnb</v>
      </c>
      <c r="C70" s="35" t="n">
        <f aca="false">(YEAR($A70)-YEAR(Premissas!$C$18))*12+MONTH($A70)-MONTH(Premissas!$C$18)</f>
        <v>69</v>
      </c>
      <c r="D70" s="16" t="n">
        <f aca="false">($A70=Premissas!$C$19)*Premissas!$C$8+(($A70=EDATE(Premissas!$C$19,1))+($A70=EDATE(Premissas!$C$19,2)))*Premissas!$C$9+AND($A70&gt;=Premissas!$C$20,$A70&lt;EDATE(Premissas!$C$20,Premissas!$C$21))*Premissas!$C$10+(($A70=Premissas!$C$22)+($A70=Premissas!$C$23)+($A70=Premissas!$C$24))*Premissas!$C$11+($A70=Premissas!$C$25)*Premissas!$C$12</f>
        <v>0</v>
      </c>
      <c r="E70" s="36" t="n">
        <f aca="false">(1+Premissas!$C$57)^C70</f>
        <v>1.3605097012091</v>
      </c>
      <c r="F70" s="16" t="n">
        <f aca="false">D70*E70</f>
        <v>0</v>
      </c>
      <c r="G70" s="16" t="n">
        <f aca="false">($A70=Premissas!$C$25)*Premissas!$C$34*Premissas!$C$14*(1+Premissas!$C$57)^C70</f>
        <v>0</v>
      </c>
      <c r="H70" s="16" t="n">
        <f aca="false">IF(AND($A70&gt;Premissas!$C$25,$A70&lt;Premissas!$C$27),Premissas!$C$35/MAX(1,Premissas!$C$26),0)</f>
        <v>0</v>
      </c>
      <c r="I70" s="35" t="n">
        <f aca="false">IF(AND($A70&gt;Premissas!$C$25,((YEAR($A70)-YEAR(Premissas!$C$25))*12+MONTH($A70)-MONTH(Premissas!$C$25))&lt;=Premissas!$C$32),((YEAR($A70)-YEAR(Premissas!$C$25))*12+MONTH($A70)-MONTH(Premissas!$C$25)),0)</f>
        <v>46</v>
      </c>
      <c r="J70" s="16" t="n">
        <f aca="false">IF(I70&gt;0,N69*(1+Premissas!$C$59),0)</f>
        <v>268506.449766381</v>
      </c>
      <c r="K70" s="16" t="n">
        <f aca="false">J70*Premissas!$C$58</f>
        <v>2547.80210343321</v>
      </c>
      <c r="L70" s="16" t="n">
        <f aca="false">IF(I70&gt;0,J70/(Premissas!$C$32-I70+1),0)</f>
        <v>3580.08599688508</v>
      </c>
      <c r="M70" s="16" t="n">
        <f aca="false">K70+L70</f>
        <v>6127.88810031829</v>
      </c>
      <c r="N70" s="16" t="n">
        <f aca="false">IF($A70=Premissas!$C$25,Premissas!$C$13*E70,IF(I70&gt;0,J70-L70,0))</f>
        <v>264926.363769496</v>
      </c>
      <c r="O70" s="37" t="n">
        <f aca="false">IF($A70&gt;=Premissas!$C$27,Premissas!$C$39*IF(((YEAR($A70)-YEAR(Premissas!$C$27))*12+MONTH($A70)-MONTH(Premissas!$C$27))&lt;Premissas!$C$41,Premissas!$C$42,1),0)</f>
        <v>0.62</v>
      </c>
      <c r="P70" s="16" t="n">
        <f aca="false">O70*Premissas!$C$38*Premissas!$C$40*(1+Premissas!$C$60)^((YEAR($A70)-YEAR(Premissas!$C$19))*12+MONTH($A70)-MONTH(Premissas!$C$19))</f>
        <v>5290.59724493096</v>
      </c>
      <c r="Q70" s="16" t="n">
        <f aca="false">P70*Premissas!$C$43</f>
        <v>846.495559188953</v>
      </c>
      <c r="R70" s="16" t="n">
        <f aca="false">P70*Premissas!$C$44</f>
        <v>1058.11944898619</v>
      </c>
      <c r="S70" s="16" t="n">
        <f aca="false">IF($A70&gt;=Premissas!$C$25,Premissas!$C$45*(1+Premissas!$C$60)^((YEAR($A70)-YEAR(Premissas!$C$19))*12+MONTH($A70)-MONTH(Premissas!$C$19)),0)</f>
        <v>927.524061173029</v>
      </c>
      <c r="T70" s="16" t="n">
        <f aca="false">IF($A70&gt;=Premissas!$C$27,Premissas!$C$46*(1+Premissas!$C$60)^((YEAR($A70)-YEAR(Premissas!$C$19))*12+MONTH($A70)-MONTH(Premissas!$C$19)),0)</f>
        <v>371.009624469212</v>
      </c>
      <c r="U70" s="16" t="n">
        <f aca="false">IF($A70&gt;=Premissas!$C$27,Premissas!$C$47*(1+Premissas!$C$60)^((YEAR($A70)-YEAR(Premissas!$C$19))*12+MONTH($A70)-MONTH(Premissas!$C$19)),0)</f>
        <v>185.504812234606</v>
      </c>
      <c r="V70" s="16" t="n">
        <f aca="false">IF($A70&gt;=Premissas!$C$27,MAX(0,P70-Q70-R70-S70)*Premissas!$C$49,0)</f>
        <v>676.075998285266</v>
      </c>
      <c r="W70" s="16" t="n">
        <f aca="false">P70-Q70-R70-S70-T70-U70-V70</f>
        <v>1225.8677405937</v>
      </c>
      <c r="X70" s="16" t="n">
        <f aca="false">W70-F70-G70-H70-M70</f>
        <v>-4902.02035972459</v>
      </c>
      <c r="Y70" s="16" t="n">
        <f aca="false">Y69+X70</f>
        <v>-443092.702468518</v>
      </c>
      <c r="Z70" s="16" t="n">
        <f aca="false">Premissas!$C$14*(1+Premissas!$C$57)^((YEAR(Premissas!$C$19)-YEAR(Premissas!$C$18))*12+MONTH(Premissas!$C$19)-MONTH(Premissas!$C$18))*(1+Premissas!$C$61)^((YEAR($A70)-YEAR(Premissas!$C$19))*12+MONTH($A70)-MONTH(Premissas!$C$19))</f>
        <v>622876.898283987</v>
      </c>
      <c r="AA70" s="16" t="n">
        <f aca="false">IF($A70&gt;=Premissas!$C$25,Z70*(1-Premissas!$C$53)-N70-Premissas!$C$54*MAX(0,Z70*(1-Premissas!$C$53)-(Premissas!$C$14*(1+Premissas!$C$57)^((YEAR(Premissas!$C$25)-YEAR(Premissas!$C$18))*12+MONTH(Premissas!$C$25)-MONTH(Premissas!$C$18))*(1+Premissas!$C$34))),"")</f>
        <v>313954.487471075</v>
      </c>
      <c r="AB70" s="16" t="n">
        <f aca="false">IF($A70&gt;=Premissas!$C$25,Y70+AA70,"")</f>
        <v>-129138.214997442</v>
      </c>
      <c r="AC70" s="20" t="str">
        <f aca="false">IF(AND($A70&gt;=Premissas!$C$27,W70&gt;=M70),$A70,"")</f>
        <v/>
      </c>
      <c r="AD70" s="20" t="str">
        <f aca="false">IF(AND($A70&gt;=Premissas!$C$27,Y70&gt;=0),$A70,"")</f>
        <v/>
      </c>
      <c r="AE70" s="20" t="str">
        <f aca="false">IF(AND($A70&gt;=Premissas!$C$25,N(AB70)&gt;=0),$A70,"")</f>
        <v/>
      </c>
    </row>
    <row r="71" customFormat="false" ht="15" hidden="false" customHeight="false" outlineLevel="0" collapsed="false">
      <c r="A71" s="20" t="n">
        <f aca="false">DATE(YEAR(A70),MONTH(A70)+1,1)</f>
        <v>48396</v>
      </c>
      <c r="B71" s="5" t="str">
        <f aca="false">IF($A71&lt;Premissas!$C$25,"Obra",IF($A71=Premissas!$C$25,"Chaves",IF($A71&lt;Premissas!$C$27,"Mobiliando","Airbnb")))</f>
        <v>Airbnb</v>
      </c>
      <c r="C71" s="35" t="n">
        <f aca="false">(YEAR($A71)-YEAR(Premissas!$C$18))*12+MONTH($A71)-MONTH(Premissas!$C$18)</f>
        <v>70</v>
      </c>
      <c r="D71" s="16" t="n">
        <f aca="false">($A71=Premissas!$C$19)*Premissas!$C$8+(($A71=EDATE(Premissas!$C$19,1))+($A71=EDATE(Premissas!$C$19,2)))*Premissas!$C$9+AND($A71&gt;=Premissas!$C$20,$A71&lt;EDATE(Premissas!$C$20,Premissas!$C$21))*Premissas!$C$10+(($A71=Premissas!$C$22)+($A71=Premissas!$C$23)+($A71=Premissas!$C$24))*Premissas!$C$11+($A71=Premissas!$C$25)*Premissas!$C$12</f>
        <v>0</v>
      </c>
      <c r="E71" s="36" t="n">
        <f aca="false">(1+Premissas!$C$57)^C71</f>
        <v>1.36659349096662</v>
      </c>
      <c r="F71" s="16" t="n">
        <f aca="false">D71*E71</f>
        <v>0</v>
      </c>
      <c r="G71" s="16" t="n">
        <f aca="false">($A71=Premissas!$C$25)*Premissas!$C$34*Premissas!$C$14*(1+Premissas!$C$57)^C71</f>
        <v>0</v>
      </c>
      <c r="H71" s="16" t="n">
        <f aca="false">IF(AND($A71&gt;Premissas!$C$25,$A71&lt;Premissas!$C$27),Premissas!$C$35/MAX(1,Premissas!$C$26),0)</f>
        <v>0</v>
      </c>
      <c r="I71" s="35" t="n">
        <f aca="false">IF(AND($A71&gt;Premissas!$C$25,((YEAR($A71)-YEAR(Premissas!$C$25))*12+MONTH($A71)-MONTH(Premissas!$C$25))&lt;=Premissas!$C$32),((YEAR($A71)-YEAR(Premissas!$C$25))*12+MONTH($A71)-MONTH(Premissas!$C$25)),0)</f>
        <v>47</v>
      </c>
      <c r="J71" s="16" t="n">
        <f aca="false">IF(I71&gt;0,N70*(1+Premissas!$C$59),0)</f>
        <v>265793.663745921</v>
      </c>
      <c r="K71" s="16" t="n">
        <f aca="false">J71*Premissas!$C$58</f>
        <v>2522.06103860924</v>
      </c>
      <c r="L71" s="16" t="n">
        <f aca="false">IF(I71&gt;0,J71/(Premissas!$C$32-I71+1),0)</f>
        <v>3591.80626683677</v>
      </c>
      <c r="M71" s="16" t="n">
        <f aca="false">K71+L71</f>
        <v>6113.86730544601</v>
      </c>
      <c r="N71" s="16" t="n">
        <f aca="false">IF($A71=Premissas!$C$25,Premissas!$C$13*E71,IF(I71&gt;0,J71-L71,0))</f>
        <v>262201.857479084</v>
      </c>
      <c r="O71" s="37" t="n">
        <f aca="false">IF($A71&gt;=Premissas!$C$27,Premissas!$C$39*IF(((YEAR($A71)-YEAR(Premissas!$C$27))*12+MONTH($A71)-MONTH(Premissas!$C$27))&lt;Premissas!$C$41,Premissas!$C$42,1),0)</f>
        <v>0.62</v>
      </c>
      <c r="P71" s="16" t="n">
        <f aca="false">O71*Premissas!$C$38*Premissas!$C$40*(1+Premissas!$C$60)^((YEAR($A71)-YEAR(Premissas!$C$19))*12+MONTH($A71)-MONTH(Premissas!$C$19))</f>
        <v>5307.91728360328</v>
      </c>
      <c r="Q71" s="16" t="n">
        <f aca="false">P71*Premissas!$C$43</f>
        <v>849.266765376525</v>
      </c>
      <c r="R71" s="16" t="n">
        <f aca="false">P71*Premissas!$C$44</f>
        <v>1061.58345672066</v>
      </c>
      <c r="S71" s="16" t="n">
        <f aca="false">IF($A71&gt;=Premissas!$C$25,Premissas!$C$45*(1+Premissas!$C$60)^((YEAR($A71)-YEAR(Premissas!$C$19))*12+MONTH($A71)-MONTH(Premissas!$C$19)),0)</f>
        <v>930.560533591038</v>
      </c>
      <c r="T71" s="16" t="n">
        <f aca="false">IF($A71&gt;=Premissas!$C$27,Premissas!$C$46*(1+Premissas!$C$60)^((YEAR($A71)-YEAR(Premissas!$C$19))*12+MONTH($A71)-MONTH(Premissas!$C$19)),0)</f>
        <v>372.224213436415</v>
      </c>
      <c r="U71" s="16" t="n">
        <f aca="false">IF($A71&gt;=Premissas!$C$27,Premissas!$C$47*(1+Premissas!$C$60)^((YEAR($A71)-YEAR(Premissas!$C$19))*12+MONTH($A71)-MONTH(Premissas!$C$19)),0)</f>
        <v>186.112106718208</v>
      </c>
      <c r="V71" s="16" t="n">
        <f aca="false">IF($A71&gt;=Premissas!$C$27,MAX(0,P71-Q71-R71-S71)*Premissas!$C$49,0)</f>
        <v>678.289295176642</v>
      </c>
      <c r="W71" s="16" t="n">
        <f aca="false">P71-Q71-R71-S71-T71-U71-V71</f>
        <v>1229.8809125838</v>
      </c>
      <c r="X71" s="16" t="n">
        <f aca="false">W71-F71-G71-H71-M71</f>
        <v>-4883.98639286221</v>
      </c>
      <c r="Y71" s="16" t="n">
        <f aca="false">Y70+X71</f>
        <v>-447976.68886138</v>
      </c>
      <c r="Z71" s="16" t="n">
        <f aca="false">Premissas!$C$14*(1+Premissas!$C$57)^((YEAR(Premissas!$C$19)-YEAR(Premissas!$C$18))*12+MONTH(Premissas!$C$19)-MONTH(Premissas!$C$18))*(1+Premissas!$C$61)^((YEAR($A71)-YEAR(Premissas!$C$19))*12+MONTH($A71)-MONTH(Premissas!$C$19))</f>
        <v>625414.575869571</v>
      </c>
      <c r="AA71" s="16" t="n">
        <f aca="false">IF($A71&gt;=Premissas!$C$25,Z71*(1-Premissas!$C$53)-N71-Premissas!$C$54*MAX(0,Z71*(1-Premissas!$C$53)-(Premissas!$C$14*(1+Premissas!$C$57)^((YEAR(Premissas!$C$25)-YEAR(Premissas!$C$18))*12+MONTH(Premissas!$C$25)-MONTH(Premissas!$C$18))*(1+Premissas!$C$34))),"")</f>
        <v>318706.598152368</v>
      </c>
      <c r="AB71" s="16" t="n">
        <f aca="false">IF($A71&gt;=Premissas!$C$25,Y71+AA71,"")</f>
        <v>-129270.090709012</v>
      </c>
      <c r="AC71" s="20" t="str">
        <f aca="false">IF(AND($A71&gt;=Premissas!$C$27,W71&gt;=M71),$A71,"")</f>
        <v/>
      </c>
      <c r="AD71" s="20" t="str">
        <f aca="false">IF(AND($A71&gt;=Premissas!$C$27,Y71&gt;=0),$A71,"")</f>
        <v/>
      </c>
      <c r="AE71" s="20" t="str">
        <f aca="false">IF(AND($A71&gt;=Premissas!$C$25,N(AB71)&gt;=0),$A71,"")</f>
        <v/>
      </c>
    </row>
    <row r="72" customFormat="false" ht="15" hidden="false" customHeight="false" outlineLevel="0" collapsed="false">
      <c r="A72" s="20" t="n">
        <f aca="false">DATE(YEAR(A71),MONTH(A71)+1,1)</f>
        <v>48427</v>
      </c>
      <c r="B72" s="5" t="str">
        <f aca="false">IF($A72&lt;Premissas!$C$25,"Obra",IF($A72=Premissas!$C$25,"Chaves",IF($A72&lt;Premissas!$C$27,"Mobiliando","Airbnb")))</f>
        <v>Airbnb</v>
      </c>
      <c r="C72" s="35" t="n">
        <f aca="false">(YEAR($A72)-YEAR(Premissas!$C$18))*12+MONTH($A72)-MONTH(Premissas!$C$18)</f>
        <v>71</v>
      </c>
      <c r="D72" s="16" t="n">
        <f aca="false">($A72=Premissas!$C$19)*Premissas!$C$8+(($A72=EDATE(Premissas!$C$19,1))+($A72=EDATE(Premissas!$C$19,2)))*Premissas!$C$9+AND($A72&gt;=Premissas!$C$20,$A72&lt;EDATE(Premissas!$C$20,Premissas!$C$21))*Premissas!$C$10+(($A72=Premissas!$C$22)+($A72=Premissas!$C$23)+($A72=Premissas!$C$24))*Premissas!$C$11+($A72=Premissas!$C$25)*Premissas!$C$12</f>
        <v>0</v>
      </c>
      <c r="E72" s="36" t="n">
        <f aca="false">(1+Premissas!$C$57)^C72</f>
        <v>1.37270448560021</v>
      </c>
      <c r="F72" s="16" t="n">
        <f aca="false">D72*E72</f>
        <v>0</v>
      </c>
      <c r="G72" s="16" t="n">
        <f aca="false">($A72=Premissas!$C$25)*Premissas!$C$34*Premissas!$C$14*(1+Premissas!$C$57)^C72</f>
        <v>0</v>
      </c>
      <c r="H72" s="16" t="n">
        <f aca="false">IF(AND($A72&gt;Premissas!$C$25,$A72&lt;Premissas!$C$27),Premissas!$C$35/MAX(1,Premissas!$C$26),0)</f>
        <v>0</v>
      </c>
      <c r="I72" s="35" t="n">
        <f aca="false">IF(AND($A72&gt;Premissas!$C$25,((YEAR($A72)-YEAR(Premissas!$C$25))*12+MONTH($A72)-MONTH(Premissas!$C$25))&lt;=Premissas!$C$32),((YEAR($A72)-YEAR(Premissas!$C$25))*12+MONTH($A72)-MONTH(Premissas!$C$25)),0)</f>
        <v>48</v>
      </c>
      <c r="J72" s="16" t="n">
        <f aca="false">IF(I72&gt;0,N71*(1+Premissas!$C$59),0)</f>
        <v>263060.23813088</v>
      </c>
      <c r="K72" s="16" t="n">
        <f aca="false">J72*Premissas!$C$58</f>
        <v>2496.12412894603</v>
      </c>
      <c r="L72" s="16" t="n">
        <f aca="false">IF(I72&gt;0,J72/(Premissas!$C$32-I72+1),0)</f>
        <v>3603.56490590247</v>
      </c>
      <c r="M72" s="16" t="n">
        <f aca="false">K72+L72</f>
        <v>6099.68903484849</v>
      </c>
      <c r="N72" s="16" t="n">
        <f aca="false">IF($A72=Premissas!$C$25,Premissas!$C$13*E72,IF(I72&gt;0,J72-L72,0))</f>
        <v>259456.673224978</v>
      </c>
      <c r="O72" s="37" t="n">
        <f aca="false">IF($A72&gt;=Premissas!$C$27,Premissas!$C$39*IF(((YEAR($A72)-YEAR(Premissas!$C$27))*12+MONTH($A72)-MONTH(Premissas!$C$27))&lt;Premissas!$C$41,Premissas!$C$42,1),0)</f>
        <v>0.62</v>
      </c>
      <c r="P72" s="16" t="n">
        <f aca="false">O72*Premissas!$C$38*Premissas!$C$40*(1+Premissas!$C$60)^((YEAR($A72)-YEAR(Premissas!$C$19))*12+MONTH($A72)-MONTH(Premissas!$C$19))</f>
        <v>5325.29402357523</v>
      </c>
      <c r="Q72" s="16" t="n">
        <f aca="false">P72*Premissas!$C$43</f>
        <v>852.047043772037</v>
      </c>
      <c r="R72" s="16" t="n">
        <f aca="false">P72*Premissas!$C$44</f>
        <v>1065.05880471505</v>
      </c>
      <c r="S72" s="16" t="n">
        <f aca="false">IF($A72&gt;=Premissas!$C$25,Premissas!$C$45*(1+Premissas!$C$60)^((YEAR($A72)-YEAR(Premissas!$C$19))*12+MONTH($A72)-MONTH(Premissas!$C$19)),0)</f>
        <v>933.606946629599</v>
      </c>
      <c r="T72" s="16" t="n">
        <f aca="false">IF($A72&gt;=Premissas!$C$27,Premissas!$C$46*(1+Premissas!$C$60)^((YEAR($A72)-YEAR(Premissas!$C$19))*12+MONTH($A72)-MONTH(Premissas!$C$19)),0)</f>
        <v>373.44277865184</v>
      </c>
      <c r="U72" s="16" t="n">
        <f aca="false">IF($A72&gt;=Premissas!$C$27,Premissas!$C$47*(1+Premissas!$C$60)^((YEAR($A72)-YEAR(Premissas!$C$19))*12+MONTH($A72)-MONTH(Premissas!$C$19)),0)</f>
        <v>186.72138932592</v>
      </c>
      <c r="V72" s="16" t="n">
        <f aca="false">IF($A72&gt;=Premissas!$C$27,MAX(0,P72-Q72-R72-S72)*Premissas!$C$49,0)</f>
        <v>680.509837826101</v>
      </c>
      <c r="W72" s="16" t="n">
        <f aca="false">P72-Q72-R72-S72-T72-U72-V72</f>
        <v>1233.90722265469</v>
      </c>
      <c r="X72" s="16" t="n">
        <f aca="false">W72-F72-G72-H72-M72</f>
        <v>-4865.78181219381</v>
      </c>
      <c r="Y72" s="16" t="n">
        <f aca="false">Y71+X72</f>
        <v>-452842.470673574</v>
      </c>
      <c r="Z72" s="16" t="n">
        <f aca="false">Premissas!$C$14*(1+Premissas!$C$57)^((YEAR(Premissas!$C$19)-YEAR(Premissas!$C$18))*12+MONTH(Premissas!$C$19)-MONTH(Premissas!$C$18))*(1+Premissas!$C$61)^((YEAR($A72)-YEAR(Premissas!$C$19))*12+MONTH($A72)-MONTH(Premissas!$C$19))</f>
        <v>627962.592267762</v>
      </c>
      <c r="AA72" s="16" t="n">
        <f aca="false">IF($A72&gt;=Premissas!$C$25,Z72*(1-Premissas!$C$53)-N72-Premissas!$C$54*MAX(0,Z72*(1-Premissas!$C$53)-(Premissas!$C$14*(1+Premissas!$C$57)^((YEAR(Premissas!$C$25)-YEAR(Premissas!$C$18))*12+MONTH(Premissas!$C$25)-MONTH(Premissas!$C$18))*(1+Premissas!$C$34))),"")</f>
        <v>323487.647508629</v>
      </c>
      <c r="AB72" s="16" t="n">
        <f aca="false">IF($A72&gt;=Premissas!$C$25,Y72+AA72,"")</f>
        <v>-129354.823164944</v>
      </c>
      <c r="AC72" s="20" t="str">
        <f aca="false">IF(AND($A72&gt;=Premissas!$C$27,W72&gt;=M72),$A72,"")</f>
        <v/>
      </c>
      <c r="AD72" s="20" t="str">
        <f aca="false">IF(AND($A72&gt;=Premissas!$C$27,Y72&gt;=0),$A72,"")</f>
        <v/>
      </c>
      <c r="AE72" s="20" t="str">
        <f aca="false">IF(AND($A72&gt;=Premissas!$C$25,N(AB72)&gt;=0),$A72,"")</f>
        <v/>
      </c>
    </row>
    <row r="73" customFormat="false" ht="15" hidden="false" customHeight="false" outlineLevel="0" collapsed="false">
      <c r="A73" s="20" t="n">
        <f aca="false">DATE(YEAR(A72),MONTH(A72)+1,1)</f>
        <v>48458</v>
      </c>
      <c r="B73" s="5" t="str">
        <f aca="false">IF($A73&lt;Premissas!$C$25,"Obra",IF($A73=Premissas!$C$25,"Chaves",IF($A73&lt;Premissas!$C$27,"Mobiliando","Airbnb")))</f>
        <v>Airbnb</v>
      </c>
      <c r="C73" s="35" t="n">
        <f aca="false">(YEAR($A73)-YEAR(Premissas!$C$18))*12+MONTH($A73)-MONTH(Premissas!$C$18)</f>
        <v>72</v>
      </c>
      <c r="D73" s="16" t="n">
        <f aca="false">($A73=Premissas!$C$19)*Premissas!$C$8+(($A73=EDATE(Premissas!$C$19,1))+($A73=EDATE(Premissas!$C$19,2)))*Premissas!$C$9+AND($A73&gt;=Premissas!$C$20,$A73&lt;EDATE(Premissas!$C$20,Premissas!$C$21))*Premissas!$C$10+(($A73=Premissas!$C$22)+($A73=Premissas!$C$23)+($A73=Premissas!$C$24))*Premissas!$C$11+($A73=Premissas!$C$25)*Premissas!$C$12</f>
        <v>0</v>
      </c>
      <c r="E73" s="36" t="n">
        <f aca="false">(1+Premissas!$C$57)^C73</f>
        <v>1.37884280676189</v>
      </c>
      <c r="F73" s="16" t="n">
        <f aca="false">D73*E73</f>
        <v>0</v>
      </c>
      <c r="G73" s="16" t="n">
        <f aca="false">($A73=Premissas!$C$25)*Premissas!$C$34*Premissas!$C$14*(1+Premissas!$C$57)^C73</f>
        <v>0</v>
      </c>
      <c r="H73" s="16" t="n">
        <f aca="false">IF(AND($A73&gt;Premissas!$C$25,$A73&lt;Premissas!$C$27),Premissas!$C$35/MAX(1,Premissas!$C$26),0)</f>
        <v>0</v>
      </c>
      <c r="I73" s="35" t="n">
        <f aca="false">IF(AND($A73&gt;Premissas!$C$25,((YEAR($A73)-YEAR(Premissas!$C$25))*12+MONTH($A73)-MONTH(Premissas!$C$25))&lt;=Premissas!$C$32),((YEAR($A73)-YEAR(Premissas!$C$25))*12+MONTH($A73)-MONTH(Premissas!$C$25)),0)</f>
        <v>49</v>
      </c>
      <c r="J73" s="16" t="n">
        <f aca="false">IF(I73&gt;0,N72*(1+Premissas!$C$59),0)</f>
        <v>260306.066857871</v>
      </c>
      <c r="K73" s="16" t="n">
        <f aca="false">J73*Premissas!$C$58</f>
        <v>2469.99036803007</v>
      </c>
      <c r="L73" s="16" t="n">
        <f aca="false">IF(I73&gt;0,J73/(Premissas!$C$32-I73+1),0)</f>
        <v>3615.36203969266</v>
      </c>
      <c r="M73" s="16" t="n">
        <f aca="false">K73+L73</f>
        <v>6085.35240772273</v>
      </c>
      <c r="N73" s="16" t="n">
        <f aca="false">IF($A73=Premissas!$C$25,Premissas!$C$13*E73,IF(I73&gt;0,J73-L73,0))</f>
        <v>256690.704818179</v>
      </c>
      <c r="O73" s="37" t="n">
        <f aca="false">IF($A73&gt;=Premissas!$C$27,Premissas!$C$39*IF(((YEAR($A73)-YEAR(Premissas!$C$27))*12+MONTH($A73)-MONTH(Premissas!$C$27))&lt;Premissas!$C$41,Premissas!$C$42,1),0)</f>
        <v>0.62</v>
      </c>
      <c r="P73" s="16" t="n">
        <f aca="false">O73*Premissas!$C$38*Premissas!$C$40*(1+Premissas!$C$60)^((YEAR($A73)-YEAR(Premissas!$C$19))*12+MONTH($A73)-MONTH(Premissas!$C$19))</f>
        <v>5342.72765047212</v>
      </c>
      <c r="Q73" s="16" t="n">
        <f aca="false">P73*Premissas!$C$43</f>
        <v>854.836424075539</v>
      </c>
      <c r="R73" s="16" t="n">
        <f aca="false">P73*Premissas!$C$44</f>
        <v>1068.54553009442</v>
      </c>
      <c r="S73" s="16" t="n">
        <f aca="false">IF($A73&gt;=Premissas!$C$25,Premissas!$C$45*(1+Premissas!$C$60)^((YEAR($A73)-YEAR(Premissas!$C$19))*12+MONTH($A73)-MONTH(Premissas!$C$19)),0)</f>
        <v>936.663332831718</v>
      </c>
      <c r="T73" s="16" t="n">
        <f aca="false">IF($A73&gt;=Premissas!$C$27,Premissas!$C$46*(1+Premissas!$C$60)^((YEAR($A73)-YEAR(Premissas!$C$19))*12+MONTH($A73)-MONTH(Premissas!$C$19)),0)</f>
        <v>374.665333132687</v>
      </c>
      <c r="U73" s="16" t="n">
        <f aca="false">IF($A73&gt;=Premissas!$C$27,Premissas!$C$47*(1+Premissas!$C$60)^((YEAR($A73)-YEAR(Premissas!$C$19))*12+MONTH($A73)-MONTH(Premissas!$C$19)),0)</f>
        <v>187.332666566344</v>
      </c>
      <c r="V73" s="16" t="n">
        <f aca="false">IF($A73&gt;=Premissas!$C$27,MAX(0,P73-Q73-R73-S73)*Premissas!$C$49,0)</f>
        <v>682.73764995437</v>
      </c>
      <c r="W73" s="16" t="n">
        <f aca="false">P73-Q73-R73-S73-T73-U73-V73</f>
        <v>1237.94671381704</v>
      </c>
      <c r="X73" s="16" t="n">
        <f aca="false">W73-F73-G73-H73-M73</f>
        <v>-4847.40569390569</v>
      </c>
      <c r="Y73" s="16" t="n">
        <f aca="false">Y72+X73</f>
        <v>-457689.876367479</v>
      </c>
      <c r="Z73" s="16" t="n">
        <f aca="false">Premissas!$C$14*(1+Premissas!$C$57)^((YEAR(Premissas!$C$19)-YEAR(Premissas!$C$18))*12+MONTH(Premissas!$C$19)-MONTH(Premissas!$C$18))*(1+Premissas!$C$61)^((YEAR($A73)-YEAR(Premissas!$C$19))*12+MONTH($A73)-MONTH(Premissas!$C$19))</f>
        <v>630520.989600161</v>
      </c>
      <c r="AA73" s="16" t="n">
        <f aca="false">IF($A73&gt;=Premissas!$C$25,Z73*(1-Premissas!$C$53)-N73-Premissas!$C$54*MAX(0,Z73*(1-Premissas!$C$53)-(Premissas!$C$14*(1+Premissas!$C$57)^((YEAR(Premissas!$C$25)-YEAR(Premissas!$C$18))*12+MONTH(Premissas!$C$25)-MONTH(Premissas!$C$18))*(1+Premissas!$C$34))),"")</f>
        <v>328297.775384016</v>
      </c>
      <c r="AB73" s="16" t="n">
        <f aca="false">IF($A73&gt;=Premissas!$C$25,Y73+AA73,"")</f>
        <v>-129392.100983464</v>
      </c>
      <c r="AC73" s="20" t="str">
        <f aca="false">IF(AND($A73&gt;=Premissas!$C$27,W73&gt;=M73),$A73,"")</f>
        <v/>
      </c>
      <c r="AD73" s="20" t="str">
        <f aca="false">IF(AND($A73&gt;=Premissas!$C$27,Y73&gt;=0),$A73,"")</f>
        <v/>
      </c>
      <c r="AE73" s="20" t="str">
        <f aca="false">IF(AND($A73&gt;=Premissas!$C$25,N(AB73)&gt;=0),$A73,"")</f>
        <v/>
      </c>
    </row>
    <row r="74" customFormat="false" ht="15" hidden="false" customHeight="false" outlineLevel="0" collapsed="false">
      <c r="A74" s="20" t="n">
        <f aca="false">DATE(YEAR(A73),MONTH(A73)+1,1)</f>
        <v>48488</v>
      </c>
      <c r="B74" s="5" t="str">
        <f aca="false">IF($A74&lt;Premissas!$C$25,"Obra",IF($A74=Premissas!$C$25,"Chaves",IF($A74&lt;Premissas!$C$27,"Mobiliando","Airbnb")))</f>
        <v>Airbnb</v>
      </c>
      <c r="C74" s="35" t="n">
        <f aca="false">(YEAR($A74)-YEAR(Premissas!$C$18))*12+MONTH($A74)-MONTH(Premissas!$C$18)</f>
        <v>73</v>
      </c>
      <c r="D74" s="16" t="n">
        <f aca="false">($A74=Premissas!$C$19)*Premissas!$C$8+(($A74=EDATE(Premissas!$C$19,1))+($A74=EDATE(Premissas!$C$19,2)))*Premissas!$C$9+AND($A74&gt;=Premissas!$C$20,$A74&lt;EDATE(Premissas!$C$20,Premissas!$C$21))*Premissas!$C$10+(($A74=Premissas!$C$22)+($A74=Premissas!$C$23)+($A74=Premissas!$C$24))*Premissas!$C$11+($A74=Premissas!$C$25)*Premissas!$C$12</f>
        <v>0</v>
      </c>
      <c r="E74" s="36" t="n">
        <f aca="false">(1+Premissas!$C$57)^C74</f>
        <v>1.38500857664766</v>
      </c>
      <c r="F74" s="16" t="n">
        <f aca="false">D74*E74</f>
        <v>0</v>
      </c>
      <c r="G74" s="16" t="n">
        <f aca="false">($A74=Premissas!$C$25)*Premissas!$C$34*Premissas!$C$14*(1+Premissas!$C$57)^C74</f>
        <v>0</v>
      </c>
      <c r="H74" s="16" t="n">
        <f aca="false">IF(AND($A74&gt;Premissas!$C$25,$A74&lt;Premissas!$C$27),Premissas!$C$35/MAX(1,Premissas!$C$26),0)</f>
        <v>0</v>
      </c>
      <c r="I74" s="35" t="n">
        <f aca="false">IF(AND($A74&gt;Premissas!$C$25,((YEAR($A74)-YEAR(Premissas!$C$25))*12+MONTH($A74)-MONTH(Premissas!$C$25))&lt;=Premissas!$C$32),((YEAR($A74)-YEAR(Premissas!$C$25))*12+MONTH($A74)-MONTH(Premissas!$C$25)),0)</f>
        <v>50</v>
      </c>
      <c r="J74" s="16" t="n">
        <f aca="false">IF(I74&gt;0,N73*(1+Premissas!$C$59),0)</f>
        <v>257531.043390263</v>
      </c>
      <c r="K74" s="16" t="n">
        <f aca="false">J74*Premissas!$C$58</f>
        <v>2443.65874495732</v>
      </c>
      <c r="L74" s="16" t="n">
        <f aca="false">IF(I74&gt;0,J74/(Premissas!$C$32-I74+1),0)</f>
        <v>3627.19779422905</v>
      </c>
      <c r="M74" s="16" t="n">
        <f aca="false">K74+L74</f>
        <v>6070.85653918637</v>
      </c>
      <c r="N74" s="16" t="n">
        <f aca="false">IF($A74=Premissas!$C$25,Premissas!$C$13*E74,IF(I74&gt;0,J74-L74,0))</f>
        <v>253903.845596033</v>
      </c>
      <c r="O74" s="37" t="n">
        <f aca="false">IF($A74&gt;=Premissas!$C$27,Premissas!$C$39*IF(((YEAR($A74)-YEAR(Premissas!$C$27))*12+MONTH($A74)-MONTH(Premissas!$C$27))&lt;Premissas!$C$41,Premissas!$C$42,1),0)</f>
        <v>0.62</v>
      </c>
      <c r="P74" s="16" t="n">
        <f aca="false">O74*Premissas!$C$38*Premissas!$C$40*(1+Premissas!$C$60)^((YEAR($A74)-YEAR(Premissas!$C$19))*12+MONTH($A74)-MONTH(Premissas!$C$19))</f>
        <v>5360.21835052692</v>
      </c>
      <c r="Q74" s="16" t="n">
        <f aca="false">P74*Premissas!$C$43</f>
        <v>857.634936084308</v>
      </c>
      <c r="R74" s="16" t="n">
        <f aca="false">P74*Premissas!$C$44</f>
        <v>1072.04367010538</v>
      </c>
      <c r="S74" s="16" t="n">
        <f aca="false">IF($A74&gt;=Premissas!$C$25,Premissas!$C$45*(1+Premissas!$C$60)^((YEAR($A74)-YEAR(Premissas!$C$19))*12+MONTH($A74)-MONTH(Premissas!$C$19)),0)</f>
        <v>939.729724846936</v>
      </c>
      <c r="T74" s="16" t="n">
        <f aca="false">IF($A74&gt;=Premissas!$C$27,Premissas!$C$46*(1+Premissas!$C$60)^((YEAR($A74)-YEAR(Premissas!$C$19))*12+MONTH($A74)-MONTH(Premissas!$C$19)),0)</f>
        <v>375.891889938774</v>
      </c>
      <c r="U74" s="16" t="n">
        <f aca="false">IF($A74&gt;=Premissas!$C$27,Premissas!$C$47*(1+Premissas!$C$60)^((YEAR($A74)-YEAR(Premissas!$C$19))*12+MONTH($A74)-MONTH(Premissas!$C$19)),0)</f>
        <v>187.945944969387</v>
      </c>
      <c r="V74" s="16" t="n">
        <f aca="false">IF($A74&gt;=Premissas!$C$27,MAX(0,P74-Q74-R74-S74)*Premissas!$C$49,0)</f>
        <v>684.972755359831</v>
      </c>
      <c r="W74" s="16" t="n">
        <f aca="false">P74-Q74-R74-S74-T74-U74-V74</f>
        <v>1241.9994292223</v>
      </c>
      <c r="X74" s="16" t="n">
        <f aca="false">W74-F74-G74-H74-M74</f>
        <v>-4828.85710996407</v>
      </c>
      <c r="Y74" s="16" t="n">
        <f aca="false">Y73+X74</f>
        <v>-462518.733477443</v>
      </c>
      <c r="Z74" s="16" t="n">
        <f aca="false">Premissas!$C$14*(1+Premissas!$C$57)^((YEAR(Premissas!$C$19)-YEAR(Premissas!$C$18))*12+MONTH(Premissas!$C$19)-MONTH(Premissas!$C$18))*(1+Premissas!$C$61)^((YEAR($A74)-YEAR(Premissas!$C$19))*12+MONTH($A74)-MONTH(Premissas!$C$19))</f>
        <v>633089.810159981</v>
      </c>
      <c r="AA74" s="16" t="n">
        <f aca="false">IF($A74&gt;=Premissas!$C$25,Z74*(1-Premissas!$C$53)-N74-Premissas!$C$54*MAX(0,Z74*(1-Premissas!$C$53)-(Premissas!$C$14*(1+Premissas!$C$57)^((YEAR(Premissas!$C$25)-YEAR(Premissas!$C$18))*12+MONTH(Premissas!$C$25)-MONTH(Premissas!$C$18))*(1+Premissas!$C$34))),"")</f>
        <v>333137.122233456</v>
      </c>
      <c r="AB74" s="16" t="n">
        <f aca="false">IF($A74&gt;=Premissas!$C$25,Y74+AA74,"")</f>
        <v>-129381.611243987</v>
      </c>
      <c r="AC74" s="20" t="str">
        <f aca="false">IF(AND($A74&gt;=Premissas!$C$27,W74&gt;=M74),$A74,"")</f>
        <v/>
      </c>
      <c r="AD74" s="20" t="str">
        <f aca="false">IF(AND($A74&gt;=Premissas!$C$27,Y74&gt;=0),$A74,"")</f>
        <v/>
      </c>
      <c r="AE74" s="20" t="str">
        <f aca="false">IF(AND($A74&gt;=Premissas!$C$25,N(AB74)&gt;=0),$A74,"")</f>
        <v/>
      </c>
    </row>
    <row r="75" customFormat="false" ht="15" hidden="false" customHeight="false" outlineLevel="0" collapsed="false">
      <c r="A75" s="20" t="n">
        <f aca="false">DATE(YEAR(A74),MONTH(A74)+1,1)</f>
        <v>48519</v>
      </c>
      <c r="B75" s="5" t="str">
        <f aca="false">IF($A75&lt;Premissas!$C$25,"Obra",IF($A75=Premissas!$C$25,"Chaves",IF($A75&lt;Premissas!$C$27,"Mobiliando","Airbnb")))</f>
        <v>Airbnb</v>
      </c>
      <c r="C75" s="35" t="n">
        <f aca="false">(YEAR($A75)-YEAR(Premissas!$C$18))*12+MONTH($A75)-MONTH(Premissas!$C$18)</f>
        <v>74</v>
      </c>
      <c r="D75" s="16" t="n">
        <f aca="false">($A75=Premissas!$C$19)*Premissas!$C$8+(($A75=EDATE(Premissas!$C$19,1))+($A75=EDATE(Premissas!$C$19,2)))*Premissas!$C$9+AND($A75&gt;=Premissas!$C$20,$A75&lt;EDATE(Premissas!$C$20,Premissas!$C$21))*Premissas!$C$10+(($A75=Premissas!$C$22)+($A75=Premissas!$C$23)+($A75=Premissas!$C$24))*Premissas!$C$11+($A75=Premissas!$C$25)*Premissas!$C$12</f>
        <v>0</v>
      </c>
      <c r="E75" s="36" t="n">
        <f aca="false">(1+Premissas!$C$57)^C75</f>
        <v>1.39120191799995</v>
      </c>
      <c r="F75" s="16" t="n">
        <f aca="false">D75*E75</f>
        <v>0</v>
      </c>
      <c r="G75" s="16" t="n">
        <f aca="false">($A75=Premissas!$C$25)*Premissas!$C$34*Premissas!$C$14*(1+Premissas!$C$57)^C75</f>
        <v>0</v>
      </c>
      <c r="H75" s="16" t="n">
        <f aca="false">IF(AND($A75&gt;Premissas!$C$25,$A75&lt;Premissas!$C$27),Premissas!$C$35/MAX(1,Premissas!$C$26),0)</f>
        <v>0</v>
      </c>
      <c r="I75" s="35" t="n">
        <f aca="false">IF(AND($A75&gt;Premissas!$C$25,((YEAR($A75)-YEAR(Premissas!$C$25))*12+MONTH($A75)-MONTH(Premissas!$C$25))&lt;=Premissas!$C$32),((YEAR($A75)-YEAR(Premissas!$C$25))*12+MONTH($A75)-MONTH(Premissas!$C$25)),0)</f>
        <v>51</v>
      </c>
      <c r="J75" s="16" t="n">
        <f aca="false">IF(I75&gt;0,N74*(1+Premissas!$C$59),0)</f>
        <v>254735.060716214</v>
      </c>
      <c r="K75" s="16" t="n">
        <f aca="false">J75*Premissas!$C$58</f>
        <v>2417.1282443146</v>
      </c>
      <c r="L75" s="16" t="n">
        <f aca="false">IF(I75&gt;0,J75/(Premissas!$C$32-I75+1),0)</f>
        <v>3639.07229594592</v>
      </c>
      <c r="M75" s="16" t="n">
        <f aca="false">K75+L75</f>
        <v>6056.20054026052</v>
      </c>
      <c r="N75" s="16" t="n">
        <f aca="false">IF($A75=Premissas!$C$25,Premissas!$C$13*E75,IF(I75&gt;0,J75-L75,0))</f>
        <v>251095.988420269</v>
      </c>
      <c r="O75" s="37" t="n">
        <f aca="false">IF($A75&gt;=Premissas!$C$27,Premissas!$C$39*IF(((YEAR($A75)-YEAR(Premissas!$C$27))*12+MONTH($A75)-MONTH(Premissas!$C$27))&lt;Premissas!$C$41,Premissas!$C$42,1),0)</f>
        <v>0.62</v>
      </c>
      <c r="P75" s="16" t="n">
        <f aca="false">O75*Premissas!$C$38*Premissas!$C$40*(1+Premissas!$C$60)^((YEAR($A75)-YEAR(Premissas!$C$19))*12+MONTH($A75)-MONTH(Premissas!$C$19))</f>
        <v>5377.76631058232</v>
      </c>
      <c r="Q75" s="16" t="n">
        <f aca="false">P75*Premissas!$C$43</f>
        <v>860.44260969317</v>
      </c>
      <c r="R75" s="16" t="n">
        <f aca="false">P75*Premissas!$C$44</f>
        <v>1075.55326211646</v>
      </c>
      <c r="S75" s="16" t="n">
        <f aca="false">IF($A75&gt;=Premissas!$C$25,Premissas!$C$45*(1+Premissas!$C$60)^((YEAR($A75)-YEAR(Premissas!$C$19))*12+MONTH($A75)-MONTH(Premissas!$C$19)),0)</f>
        <v>942.806155431682</v>
      </c>
      <c r="T75" s="16" t="n">
        <f aca="false">IF($A75&gt;=Premissas!$C$27,Premissas!$C$46*(1+Premissas!$C$60)^((YEAR($A75)-YEAR(Premissas!$C$19))*12+MONTH($A75)-MONTH(Premissas!$C$19)),0)</f>
        <v>377.122462172673</v>
      </c>
      <c r="U75" s="16" t="n">
        <f aca="false">IF($A75&gt;=Premissas!$C$27,Premissas!$C$47*(1+Premissas!$C$60)^((YEAR($A75)-YEAR(Premissas!$C$19))*12+MONTH($A75)-MONTH(Premissas!$C$19)),0)</f>
        <v>188.561231086336</v>
      </c>
      <c r="V75" s="16" t="n">
        <f aca="false">IF($A75&gt;=Premissas!$C$27,MAX(0,P75-Q75-R75-S75)*Premissas!$C$49,0)</f>
        <v>687.215177918775</v>
      </c>
      <c r="W75" s="16" t="n">
        <f aca="false">P75-Q75-R75-S75-T75-U75-V75</f>
        <v>1246.06541216322</v>
      </c>
      <c r="X75" s="16" t="n">
        <f aca="false">W75-F75-G75-H75-M75</f>
        <v>-4810.13512809731</v>
      </c>
      <c r="Y75" s="16" t="n">
        <f aca="false">Y74+X75</f>
        <v>-467328.868605541</v>
      </c>
      <c r="Z75" s="16" t="n">
        <f aca="false">Premissas!$C$14*(1+Premissas!$C$57)^((YEAR(Premissas!$C$19)-YEAR(Premissas!$C$18))*12+MONTH(Premissas!$C$19)-MONTH(Premissas!$C$18))*(1+Premissas!$C$61)^((YEAR($A75)-YEAR(Premissas!$C$19))*12+MONTH($A75)-MONTH(Premissas!$C$19))</f>
        <v>635669.096412739</v>
      </c>
      <c r="AA75" s="16" t="n">
        <f aca="false">IF($A75&gt;=Premissas!$C$25,Z75*(1-Premissas!$C$53)-N75-Premissas!$C$54*MAX(0,Z75*(1-Premissas!$C$53)-(Premissas!$C$14*(1+Premissas!$C$57)^((YEAR(Premissas!$C$25)-YEAR(Premissas!$C$18))*12+MONTH(Premissas!$C$25)-MONTH(Premissas!$C$18))*(1+Premissas!$C$34))),"")</f>
        <v>338005.829125175</v>
      </c>
      <c r="AB75" s="16" t="n">
        <f aca="false">IF($A75&gt;=Premissas!$C$25,Y75+AA75,"")</f>
        <v>-129323.039480366</v>
      </c>
      <c r="AC75" s="20" t="str">
        <f aca="false">IF(AND($A75&gt;=Premissas!$C$27,W75&gt;=M75),$A75,"")</f>
        <v/>
      </c>
      <c r="AD75" s="20" t="str">
        <f aca="false">IF(AND($A75&gt;=Premissas!$C$27,Y75&gt;=0),$A75,"")</f>
        <v/>
      </c>
      <c r="AE75" s="20" t="str">
        <f aca="false">IF(AND($A75&gt;=Premissas!$C$25,N(AB75)&gt;=0),$A75,"")</f>
        <v/>
      </c>
    </row>
    <row r="76" customFormat="false" ht="15" hidden="false" customHeight="false" outlineLevel="0" collapsed="false">
      <c r="A76" s="20" t="n">
        <f aca="false">DATE(YEAR(A75),MONTH(A75)+1,1)</f>
        <v>48549</v>
      </c>
      <c r="B76" s="5" t="str">
        <f aca="false">IF($A76&lt;Premissas!$C$25,"Obra",IF($A76=Premissas!$C$25,"Chaves",IF($A76&lt;Premissas!$C$27,"Mobiliando","Airbnb")))</f>
        <v>Airbnb</v>
      </c>
      <c r="C76" s="35" t="n">
        <f aca="false">(YEAR($A76)-YEAR(Premissas!$C$18))*12+MONTH($A76)-MONTH(Premissas!$C$18)</f>
        <v>75</v>
      </c>
      <c r="D76" s="16" t="n">
        <f aca="false">($A76=Premissas!$C$19)*Premissas!$C$8+(($A76=EDATE(Premissas!$C$19,1))+($A76=EDATE(Premissas!$C$19,2)))*Premissas!$C$9+AND($A76&gt;=Premissas!$C$20,$A76&lt;EDATE(Premissas!$C$20,Premissas!$C$21))*Premissas!$C$10+(($A76=Premissas!$C$22)+($A76=Premissas!$C$23)+($A76=Premissas!$C$24))*Premissas!$C$11+($A76=Premissas!$C$25)*Premissas!$C$12</f>
        <v>0</v>
      </c>
      <c r="E76" s="36" t="n">
        <f aca="false">(1+Premissas!$C$57)^C76</f>
        <v>1.39742295411006</v>
      </c>
      <c r="F76" s="16" t="n">
        <f aca="false">D76*E76</f>
        <v>0</v>
      </c>
      <c r="G76" s="16" t="n">
        <f aca="false">($A76=Premissas!$C$25)*Premissas!$C$34*Premissas!$C$14*(1+Premissas!$C$57)^C76</f>
        <v>0</v>
      </c>
      <c r="H76" s="16" t="n">
        <f aca="false">IF(AND($A76&gt;Premissas!$C$25,$A76&lt;Premissas!$C$27),Premissas!$C$35/MAX(1,Premissas!$C$26),0)</f>
        <v>0</v>
      </c>
      <c r="I76" s="35" t="n">
        <f aca="false">IF(AND($A76&gt;Premissas!$C$25,((YEAR($A76)-YEAR(Premissas!$C$25))*12+MONTH($A76)-MONTH(Premissas!$C$25))&lt;=Premissas!$C$32),((YEAR($A76)-YEAR(Premissas!$C$25))*12+MONTH($A76)-MONTH(Premissas!$C$25)),0)</f>
        <v>52</v>
      </c>
      <c r="J76" s="16" t="n">
        <f aca="false">IF(I76&gt;0,N75*(1+Premissas!$C$59),0)</f>
        <v>251918.011346711</v>
      </c>
      <c r="K76" s="16" t="n">
        <f aca="false">J76*Premissas!$C$58</f>
        <v>2390.39784616088</v>
      </c>
      <c r="L76" s="16" t="n">
        <f aca="false">IF(I76&gt;0,J76/(Premissas!$C$32-I76+1),0)</f>
        <v>3650.98567169146</v>
      </c>
      <c r="M76" s="16" t="n">
        <f aca="false">K76+L76</f>
        <v>6041.38351785234</v>
      </c>
      <c r="N76" s="16" t="n">
        <f aca="false">IF($A76=Premissas!$C$25,Premissas!$C$13*E76,IF(I76&gt;0,J76-L76,0))</f>
        <v>248267.025675019</v>
      </c>
      <c r="O76" s="37" t="n">
        <f aca="false">IF($A76&gt;=Premissas!$C$27,Premissas!$C$39*IF(((YEAR($A76)-YEAR(Premissas!$C$27))*12+MONTH($A76)-MONTH(Premissas!$C$27))&lt;Premissas!$C$41,Premissas!$C$42,1),0)</f>
        <v>0.62</v>
      </c>
      <c r="P76" s="16" t="n">
        <f aca="false">O76*Premissas!$C$38*Premissas!$C$40*(1+Premissas!$C$60)^((YEAR($A76)-YEAR(Premissas!$C$19))*12+MONTH($A76)-MONTH(Premissas!$C$19))</f>
        <v>5395.37171809264</v>
      </c>
      <c r="Q76" s="16" t="n">
        <f aca="false">P76*Premissas!$C$43</f>
        <v>863.259474894822</v>
      </c>
      <c r="R76" s="16" t="n">
        <f aca="false">P76*Premissas!$C$44</f>
        <v>1079.07434361853</v>
      </c>
      <c r="S76" s="16" t="n">
        <f aca="false">IF($A76&gt;=Premissas!$C$25,Premissas!$C$45*(1+Premissas!$C$60)^((YEAR($A76)-YEAR(Premissas!$C$19))*12+MONTH($A76)-MONTH(Premissas!$C$19)),0)</f>
        <v>945.892657449621</v>
      </c>
      <c r="T76" s="16" t="n">
        <f aca="false">IF($A76&gt;=Premissas!$C$27,Premissas!$C$46*(1+Premissas!$C$60)^((YEAR($A76)-YEAR(Premissas!$C$19))*12+MONTH($A76)-MONTH(Premissas!$C$19)),0)</f>
        <v>378.357062979848</v>
      </c>
      <c r="U76" s="16" t="n">
        <f aca="false">IF($A76&gt;=Premissas!$C$27,Premissas!$C$47*(1+Premissas!$C$60)^((YEAR($A76)-YEAR(Premissas!$C$19))*12+MONTH($A76)-MONTH(Premissas!$C$19)),0)</f>
        <v>189.178531489924</v>
      </c>
      <c r="V76" s="16" t="n">
        <f aca="false">IF($A76&gt;=Premissas!$C$27,MAX(0,P76-Q76-R76-S76)*Premissas!$C$49,0)</f>
        <v>689.464941585658</v>
      </c>
      <c r="W76" s="16" t="n">
        <f aca="false">P76-Q76-R76-S76-T76-U76-V76</f>
        <v>1250.14470607424</v>
      </c>
      <c r="X76" s="16" t="n">
        <f aca="false">W76-F76-G76-H76-M76</f>
        <v>-4791.2388117781</v>
      </c>
      <c r="Y76" s="16" t="n">
        <f aca="false">Y75+X76</f>
        <v>-472120.107417319</v>
      </c>
      <c r="Z76" s="16" t="n">
        <f aca="false">Premissas!$C$14*(1+Premissas!$C$57)^((YEAR(Premissas!$C$19)-YEAR(Premissas!$C$18))*12+MONTH(Premissas!$C$19)-MONTH(Premissas!$C$18))*(1+Premissas!$C$61)^((YEAR($A76)-YEAR(Premissas!$C$19))*12+MONTH($A76)-MONTH(Premissas!$C$19))</f>
        <v>638258.890996964</v>
      </c>
      <c r="AA76" s="16" t="n">
        <f aca="false">IF($A76&gt;=Premissas!$C$25,Z76*(1-Premissas!$C$53)-N76-Premissas!$C$54*MAX(0,Z76*(1-Premissas!$C$53)-(Premissas!$C$14*(1+Premissas!$C$57)^((YEAR(Premissas!$C$25)-YEAR(Premissas!$C$18))*12+MONTH(Premissas!$C$25)-MONTH(Premissas!$C$18))*(1+Premissas!$C$34))),"")</f>
        <v>342904.037743221</v>
      </c>
      <c r="AB76" s="16" t="n">
        <f aca="false">IF($A76&gt;=Premissas!$C$25,Y76+AA76,"")</f>
        <v>-129216.069674098</v>
      </c>
      <c r="AC76" s="20" t="str">
        <f aca="false">IF(AND($A76&gt;=Premissas!$C$27,W76&gt;=M76),$A76,"")</f>
        <v/>
      </c>
      <c r="AD76" s="20" t="str">
        <f aca="false">IF(AND($A76&gt;=Premissas!$C$27,Y76&gt;=0),$A76,"")</f>
        <v/>
      </c>
      <c r="AE76" s="20" t="str">
        <f aca="false">IF(AND($A76&gt;=Premissas!$C$25,N(AB76)&gt;=0),$A76,"")</f>
        <v/>
      </c>
    </row>
    <row r="77" customFormat="false" ht="15" hidden="false" customHeight="false" outlineLevel="0" collapsed="false">
      <c r="A77" s="29" t="n">
        <f aca="false">DATE(YEAR(A76),MONTH(A76)+1,1)</f>
        <v>48580</v>
      </c>
      <c r="B77" s="30" t="str">
        <f aca="false">IF($A77&lt;Premissas!$C$25,"Obra",IF($A77=Premissas!$C$25,"Chaves",IF($A77&lt;Premissas!$C$27,"Mobiliando","Airbnb")))</f>
        <v>Airbnb</v>
      </c>
      <c r="C77" s="31" t="n">
        <f aca="false">(YEAR($A77)-YEAR(Premissas!$C$18))*12+MONTH($A77)-MONTH(Premissas!$C$18)</f>
        <v>76</v>
      </c>
      <c r="D77" s="32" t="n">
        <f aca="false">($A77=Premissas!$C$19)*Premissas!$C$8+(($A77=EDATE(Premissas!$C$19,1))+($A77=EDATE(Premissas!$C$19,2)))*Premissas!$C$9+AND($A77&gt;=Premissas!$C$20,$A77&lt;EDATE(Premissas!$C$20,Premissas!$C$21))*Premissas!$C$10+(($A77=Premissas!$C$22)+($A77=Premissas!$C$23)+($A77=Premissas!$C$24))*Premissas!$C$11+($A77=Premissas!$C$25)*Premissas!$C$12</f>
        <v>0</v>
      </c>
      <c r="E77" s="33" t="n">
        <f aca="false">(1+Premissas!$C$57)^C77</f>
        <v>1.40367180882061</v>
      </c>
      <c r="F77" s="32" t="n">
        <f aca="false">D77*E77</f>
        <v>0</v>
      </c>
      <c r="G77" s="32" t="n">
        <f aca="false">($A77=Premissas!$C$25)*Premissas!$C$34*Premissas!$C$14*(1+Premissas!$C$57)^C77</f>
        <v>0</v>
      </c>
      <c r="H77" s="32" t="n">
        <f aca="false">IF(AND($A77&gt;Premissas!$C$25,$A77&lt;Premissas!$C$27),Premissas!$C$35/MAX(1,Premissas!$C$26),0)</f>
        <v>0</v>
      </c>
      <c r="I77" s="31" t="n">
        <f aca="false">IF(AND($A77&gt;Premissas!$C$25,((YEAR($A77)-YEAR(Premissas!$C$25))*12+MONTH($A77)-MONTH(Premissas!$C$25))&lt;=Premissas!$C$32),((YEAR($A77)-YEAR(Premissas!$C$25))*12+MONTH($A77)-MONTH(Premissas!$C$25)),0)</f>
        <v>53</v>
      </c>
      <c r="J77" s="32" t="n">
        <f aca="false">IF(I77&gt;0,N76*(1+Premissas!$C$59),0)</f>
        <v>249079.78731358</v>
      </c>
      <c r="K77" s="32" t="n">
        <f aca="false">J77*Premissas!$C$58</f>
        <v>2363.46652600854</v>
      </c>
      <c r="L77" s="32" t="n">
        <f aca="false">IF(I77&gt;0,J77/(Premissas!$C$32-I77+1),0)</f>
        <v>3662.93804872911</v>
      </c>
      <c r="M77" s="32" t="n">
        <f aca="false">K77+L77</f>
        <v>6026.40457473765</v>
      </c>
      <c r="N77" s="32" t="n">
        <f aca="false">IF($A77=Premissas!$C$25,Premissas!$C$13*E77,IF(I77&gt;0,J77-L77,0))</f>
        <v>245416.849264851</v>
      </c>
      <c r="O77" s="34" t="n">
        <f aca="false">IF($A77&gt;=Premissas!$C$27,Premissas!$C$39*IF(((YEAR($A77)-YEAR(Premissas!$C$27))*12+MONTH($A77)-MONTH(Premissas!$C$27))&lt;Premissas!$C$41,Premissas!$C$42,1),0)</f>
        <v>0.62</v>
      </c>
      <c r="P77" s="32" t="n">
        <f aca="false">O77*Premissas!$C$38*Premissas!$C$40*(1+Premissas!$C$60)^((YEAR($A77)-YEAR(Premissas!$C$19))*12+MONTH($A77)-MONTH(Premissas!$C$19))</f>
        <v>5413.03476112591</v>
      </c>
      <c r="Q77" s="32" t="n">
        <f aca="false">P77*Premissas!$C$43</f>
        <v>866.085561780145</v>
      </c>
      <c r="R77" s="32" t="n">
        <f aca="false">P77*Premissas!$C$44</f>
        <v>1082.60695222518</v>
      </c>
      <c r="S77" s="32" t="n">
        <f aca="false">IF($A77&gt;=Premissas!$C$25,Premissas!$C$45*(1+Premissas!$C$60)^((YEAR($A77)-YEAR(Premissas!$C$19))*12+MONTH($A77)-MONTH(Premissas!$C$19)),0)</f>
        <v>948.989263872003</v>
      </c>
      <c r="T77" s="32" t="n">
        <f aca="false">IF($A77&gt;=Premissas!$C$27,Premissas!$C$46*(1+Premissas!$C$60)^((YEAR($A77)-YEAR(Premissas!$C$19))*12+MONTH($A77)-MONTH(Premissas!$C$19)),0)</f>
        <v>379.595705548801</v>
      </c>
      <c r="U77" s="32" t="n">
        <f aca="false">IF($A77&gt;=Premissas!$C$27,Premissas!$C$47*(1+Premissas!$C$60)^((YEAR($A77)-YEAR(Premissas!$C$19))*12+MONTH($A77)-MONTH(Premissas!$C$19)),0)</f>
        <v>189.797852774401</v>
      </c>
      <c r="V77" s="32" t="n">
        <f aca="false">IF($A77&gt;=Premissas!$C$27,MAX(0,P77-Q77-R77-S77)*Premissas!$C$49,0)</f>
        <v>691.722070393359</v>
      </c>
      <c r="W77" s="32" t="n">
        <f aca="false">P77-Q77-R77-S77-T77-U77-V77</f>
        <v>1254.23735453202</v>
      </c>
      <c r="X77" s="32" t="n">
        <f aca="false">W77-F77-G77-H77-M77</f>
        <v>-4772.16722020564</v>
      </c>
      <c r="Y77" s="32" t="n">
        <f aca="false">Y76+X77</f>
        <v>-476892.274637524</v>
      </c>
      <c r="Z77" s="32" t="n">
        <f aca="false">Premissas!$C$14*(1+Premissas!$C$57)^((YEAR(Premissas!$C$19)-YEAR(Premissas!$C$18))*12+MONTH(Premissas!$C$19)-MONTH(Premissas!$C$18))*(1+Premissas!$C$61)^((YEAR($A77)-YEAR(Premissas!$C$19))*12+MONTH($A77)-MONTH(Premissas!$C$19))</f>
        <v>640859.2367249</v>
      </c>
      <c r="AA77" s="32" t="n">
        <f aca="false">IF($A77&gt;=Premissas!$C$25,Z77*(1-Premissas!$C$53)-N77-Premissas!$C$54*MAX(0,Z77*(1-Premissas!$C$53)-(Premissas!$C$14*(1+Premissas!$C$57)^((YEAR(Premissas!$C$25)-YEAR(Premissas!$C$18))*12+MONTH(Premissas!$C$25)-MONTH(Premissas!$C$18))*(1+Premissas!$C$34))),"")</f>
        <v>347831.89039001</v>
      </c>
      <c r="AB77" s="32" t="n">
        <f aca="false">IF($A77&gt;=Premissas!$C$25,Y77+AA77,"")</f>
        <v>-129060.384247515</v>
      </c>
      <c r="AC77" s="29" t="str">
        <f aca="false">IF(AND($A77&gt;=Premissas!$C$27,W77&gt;=M77),$A77,"")</f>
        <v/>
      </c>
      <c r="AD77" s="29" t="str">
        <f aca="false">IF(AND($A77&gt;=Premissas!$C$27,Y77&gt;=0),$A77,"")</f>
        <v/>
      </c>
      <c r="AE77" s="29" t="str">
        <f aca="false">IF(AND($A77&gt;=Premissas!$C$25,N(AB77)&gt;=0),$A77,"")</f>
        <v/>
      </c>
    </row>
    <row r="78" customFormat="false" ht="15" hidden="false" customHeight="false" outlineLevel="0" collapsed="false">
      <c r="A78" s="20" t="n">
        <f aca="false">DATE(YEAR(A77),MONTH(A77)+1,1)</f>
        <v>48611</v>
      </c>
      <c r="B78" s="5" t="str">
        <f aca="false">IF($A78&lt;Premissas!$C$25,"Obra",IF($A78=Premissas!$C$25,"Chaves",IF($A78&lt;Premissas!$C$27,"Mobiliando","Airbnb")))</f>
        <v>Airbnb</v>
      </c>
      <c r="C78" s="35" t="n">
        <f aca="false">(YEAR($A78)-YEAR(Premissas!$C$18))*12+MONTH($A78)-MONTH(Premissas!$C$18)</f>
        <v>77</v>
      </c>
      <c r="D78" s="16" t="n">
        <f aca="false">($A78=Premissas!$C$19)*Premissas!$C$8+(($A78=EDATE(Premissas!$C$19,1))+($A78=EDATE(Premissas!$C$19,2)))*Premissas!$C$9+AND($A78&gt;=Premissas!$C$20,$A78&lt;EDATE(Premissas!$C$20,Premissas!$C$21))*Premissas!$C$10+(($A78=Premissas!$C$22)+($A78=Premissas!$C$23)+($A78=Premissas!$C$24))*Premissas!$C$11+($A78=Premissas!$C$25)*Premissas!$C$12</f>
        <v>0</v>
      </c>
      <c r="E78" s="36" t="n">
        <f aca="false">(1+Premissas!$C$57)^C78</f>
        <v>1.40994860652799</v>
      </c>
      <c r="F78" s="16" t="n">
        <f aca="false">D78*E78</f>
        <v>0</v>
      </c>
      <c r="G78" s="16" t="n">
        <f aca="false">($A78=Premissas!$C$25)*Premissas!$C$34*Premissas!$C$14*(1+Premissas!$C$57)^C78</f>
        <v>0</v>
      </c>
      <c r="H78" s="16" t="n">
        <f aca="false">IF(AND($A78&gt;Premissas!$C$25,$A78&lt;Premissas!$C$27),Premissas!$C$35/MAX(1,Premissas!$C$26),0)</f>
        <v>0</v>
      </c>
      <c r="I78" s="35" t="n">
        <f aca="false">IF(AND($A78&gt;Premissas!$C$25,((YEAR($A78)-YEAR(Premissas!$C$25))*12+MONTH($A78)-MONTH(Premissas!$C$25))&lt;=Premissas!$C$32),((YEAR($A78)-YEAR(Premissas!$C$25))*12+MONTH($A78)-MONTH(Premissas!$C$25)),0)</f>
        <v>54</v>
      </c>
      <c r="J78" s="16" t="n">
        <f aca="false">IF(I78&gt;0,N77*(1+Premissas!$C$59),0)</f>
        <v>246220.280167511</v>
      </c>
      <c r="K78" s="16" t="n">
        <f aca="false">J78*Premissas!$C$58</f>
        <v>2336.33325480453</v>
      </c>
      <c r="L78" s="16" t="n">
        <f aca="false">IF(I78&gt;0,J78/(Premissas!$C$32-I78+1),0)</f>
        <v>3674.92955473897</v>
      </c>
      <c r="M78" s="16" t="n">
        <f aca="false">K78+L78</f>
        <v>6011.2628095435</v>
      </c>
      <c r="N78" s="16" t="n">
        <f aca="false">IF($A78=Premissas!$C$25,Premissas!$C$13*E78,IF(I78&gt;0,J78-L78,0))</f>
        <v>242545.350612772</v>
      </c>
      <c r="O78" s="37" t="n">
        <f aca="false">IF($A78&gt;=Premissas!$C$27,Premissas!$C$39*IF(((YEAR($A78)-YEAR(Premissas!$C$27))*12+MONTH($A78)-MONTH(Premissas!$C$27))&lt;Premissas!$C$41,Premissas!$C$42,1),0)</f>
        <v>0.62</v>
      </c>
      <c r="P78" s="16" t="n">
        <f aca="false">O78*Premissas!$C$38*Premissas!$C$40*(1+Premissas!$C$60)^((YEAR($A78)-YEAR(Premissas!$C$19))*12+MONTH($A78)-MONTH(Premissas!$C$19))</f>
        <v>5430.75562836583</v>
      </c>
      <c r="Q78" s="16" t="n">
        <f aca="false">P78*Premissas!$C$43</f>
        <v>868.920900538533</v>
      </c>
      <c r="R78" s="16" t="n">
        <f aca="false">P78*Premissas!$C$44</f>
        <v>1086.15112567317</v>
      </c>
      <c r="S78" s="16" t="n">
        <f aca="false">IF($A78&gt;=Premissas!$C$25,Premissas!$C$45*(1+Premissas!$C$60)^((YEAR($A78)-YEAR(Premissas!$C$19))*12+MONTH($A78)-MONTH(Premissas!$C$19)),0)</f>
        <v>952.096007778021</v>
      </c>
      <c r="T78" s="16" t="n">
        <f aca="false">IF($A78&gt;=Premissas!$C$27,Premissas!$C$46*(1+Premissas!$C$60)^((YEAR($A78)-YEAR(Premissas!$C$19))*12+MONTH($A78)-MONTH(Premissas!$C$19)),0)</f>
        <v>380.838403111208</v>
      </c>
      <c r="U78" s="16" t="n">
        <f aca="false">IF($A78&gt;=Premissas!$C$27,Premissas!$C$47*(1+Premissas!$C$60)^((YEAR($A78)-YEAR(Premissas!$C$19))*12+MONTH($A78)-MONTH(Premissas!$C$19)),0)</f>
        <v>190.419201555604</v>
      </c>
      <c r="V78" s="16" t="n">
        <f aca="false">IF($A78&gt;=Premissas!$C$27,MAX(0,P78-Q78-R78-S78)*Premissas!$C$49,0)</f>
        <v>693.986588453431</v>
      </c>
      <c r="W78" s="16" t="n">
        <f aca="false">P78-Q78-R78-S78-T78-U78-V78</f>
        <v>1258.34340125587</v>
      </c>
      <c r="X78" s="16" t="n">
        <f aca="false">W78-F78-G78-H78-M78</f>
        <v>-4752.91940828763</v>
      </c>
      <c r="Y78" s="16" t="n">
        <f aca="false">Y77+X78</f>
        <v>-481645.194045812</v>
      </c>
      <c r="Z78" s="16" t="n">
        <f aca="false">Premissas!$C$14*(1+Premissas!$C$57)^((YEAR(Premissas!$C$19)-YEAR(Premissas!$C$18))*12+MONTH(Premissas!$C$19)-MONTH(Premissas!$C$18))*(1+Premissas!$C$61)^((YEAR($A78)-YEAR(Premissas!$C$19))*12+MONTH($A78)-MONTH(Premissas!$C$19))</f>
        <v>643470.176583212</v>
      </c>
      <c r="AA78" s="16" t="n">
        <f aca="false">IF($A78&gt;=Premissas!$C$25,Z78*(1-Premissas!$C$53)-N78-Premissas!$C$54*MAX(0,Z78*(1-Premissas!$C$53)-(Premissas!$C$14*(1+Premissas!$C$57)^((YEAR(Premissas!$C$25)-YEAR(Premissas!$C$18))*12+MONTH(Premissas!$C$25)-MONTH(Premissas!$C$18))*(1+Premissas!$C$34))),"")</f>
        <v>352789.52998888</v>
      </c>
      <c r="AB78" s="16" t="n">
        <f aca="false">IF($A78&gt;=Premissas!$C$25,Y78+AA78,"")</f>
        <v>-128855.664056932</v>
      </c>
      <c r="AC78" s="20" t="str">
        <f aca="false">IF(AND($A78&gt;=Premissas!$C$27,W78&gt;=M78),$A78,"")</f>
        <v/>
      </c>
      <c r="AD78" s="20" t="str">
        <f aca="false">IF(AND($A78&gt;=Premissas!$C$27,Y78&gt;=0),$A78,"")</f>
        <v/>
      </c>
      <c r="AE78" s="20" t="str">
        <f aca="false">IF(AND($A78&gt;=Premissas!$C$25,N(AB78)&gt;=0),$A78,"")</f>
        <v/>
      </c>
    </row>
    <row r="79" customFormat="false" ht="15" hidden="false" customHeight="false" outlineLevel="0" collapsed="false">
      <c r="A79" s="20" t="n">
        <f aca="false">DATE(YEAR(A78),MONTH(A78)+1,1)</f>
        <v>48639</v>
      </c>
      <c r="B79" s="5" t="str">
        <f aca="false">IF($A79&lt;Premissas!$C$25,"Obra",IF($A79=Premissas!$C$25,"Chaves",IF($A79&lt;Premissas!$C$27,"Mobiliando","Airbnb")))</f>
        <v>Airbnb</v>
      </c>
      <c r="C79" s="35" t="n">
        <f aca="false">(YEAR($A79)-YEAR(Premissas!$C$18))*12+MONTH($A79)-MONTH(Premissas!$C$18)</f>
        <v>78</v>
      </c>
      <c r="D79" s="16" t="n">
        <f aca="false">($A79=Premissas!$C$19)*Premissas!$C$8+(($A79=EDATE(Premissas!$C$19,1))+($A79=EDATE(Premissas!$C$19,2)))*Premissas!$C$9+AND($A79&gt;=Premissas!$C$20,$A79&lt;EDATE(Premissas!$C$20,Premissas!$C$21))*Premissas!$C$10+(($A79=Premissas!$C$22)+($A79=Premissas!$C$23)+($A79=Premissas!$C$24))*Premissas!$C$11+($A79=Premissas!$C$25)*Premissas!$C$12</f>
        <v>0</v>
      </c>
      <c r="E79" s="36" t="n">
        <f aca="false">(1+Premissas!$C$57)^C79</f>
        <v>1.41625347218489</v>
      </c>
      <c r="F79" s="16" t="n">
        <f aca="false">D79*E79</f>
        <v>0</v>
      </c>
      <c r="G79" s="16" t="n">
        <f aca="false">($A79=Premissas!$C$25)*Premissas!$C$34*Premissas!$C$14*(1+Premissas!$C$57)^C79</f>
        <v>0</v>
      </c>
      <c r="H79" s="16" t="n">
        <f aca="false">IF(AND($A79&gt;Premissas!$C$25,$A79&lt;Premissas!$C$27),Premissas!$C$35/MAX(1,Premissas!$C$26),0)</f>
        <v>0</v>
      </c>
      <c r="I79" s="35" t="n">
        <f aca="false">IF(AND($A79&gt;Premissas!$C$25,((YEAR($A79)-YEAR(Premissas!$C$25))*12+MONTH($A79)-MONTH(Premissas!$C$25))&lt;=Premissas!$C$32),((YEAR($A79)-YEAR(Premissas!$C$25))*12+MONTH($A79)-MONTH(Premissas!$C$25)),0)</f>
        <v>55</v>
      </c>
      <c r="J79" s="16" t="n">
        <f aca="false">IF(I79&gt;0,N78*(1+Premissas!$C$59),0)</f>
        <v>243339.38097606</v>
      </c>
      <c r="K79" s="16" t="n">
        <f aca="false">J79*Premissas!$C$58</f>
        <v>2308.99699891145</v>
      </c>
      <c r="L79" s="16" t="n">
        <f aca="false">IF(I79&gt;0,J79/(Premissas!$C$32-I79+1),0)</f>
        <v>3686.96031781909</v>
      </c>
      <c r="M79" s="16" t="n">
        <f aca="false">K79+L79</f>
        <v>5995.95731673055</v>
      </c>
      <c r="N79" s="16" t="n">
        <f aca="false">IF($A79=Premissas!$C$25,Premissas!$C$13*E79,IF(I79&gt;0,J79-L79,0))</f>
        <v>239652.420658241</v>
      </c>
      <c r="O79" s="37" t="n">
        <f aca="false">IF($A79&gt;=Premissas!$C$27,Premissas!$C$39*IF(((YEAR($A79)-YEAR(Premissas!$C$27))*12+MONTH($A79)-MONTH(Premissas!$C$27))&lt;Premissas!$C$41,Premissas!$C$42,1),0)</f>
        <v>0.62</v>
      </c>
      <c r="P79" s="16" t="n">
        <f aca="false">O79*Premissas!$C$38*Premissas!$C$40*(1+Premissas!$C$60)^((YEAR($A79)-YEAR(Premissas!$C$19))*12+MONTH($A79)-MONTH(Premissas!$C$19))</f>
        <v>5448.53450911381</v>
      </c>
      <c r="Q79" s="16" t="n">
        <f aca="false">P79*Premissas!$C$43</f>
        <v>871.76552145821</v>
      </c>
      <c r="R79" s="16" t="n">
        <f aca="false">P79*Premissas!$C$44</f>
        <v>1089.70690182276</v>
      </c>
      <c r="S79" s="16" t="n">
        <f aca="false">IF($A79&gt;=Premissas!$C$25,Premissas!$C$45*(1+Premissas!$C$60)^((YEAR($A79)-YEAR(Premissas!$C$19))*12+MONTH($A79)-MONTH(Premissas!$C$19)),0)</f>
        <v>955.212922355157</v>
      </c>
      <c r="T79" s="16" t="n">
        <f aca="false">IF($A79&gt;=Premissas!$C$27,Premissas!$C$46*(1+Premissas!$C$60)^((YEAR($A79)-YEAR(Premissas!$C$19))*12+MONTH($A79)-MONTH(Premissas!$C$19)),0)</f>
        <v>382.085168942063</v>
      </c>
      <c r="U79" s="16" t="n">
        <f aca="false">IF($A79&gt;=Premissas!$C$27,Premissas!$C$47*(1+Premissas!$C$60)^((YEAR($A79)-YEAR(Premissas!$C$19))*12+MONTH($A79)-MONTH(Premissas!$C$19)),0)</f>
        <v>191.042584471031</v>
      </c>
      <c r="V79" s="16" t="n">
        <f aca="false">IF($A79&gt;=Premissas!$C$27,MAX(0,P79-Q79-R79-S79)*Premissas!$C$49,0)</f>
        <v>696.258519956363</v>
      </c>
      <c r="W79" s="16" t="n">
        <f aca="false">P79-Q79-R79-S79-T79-U79-V79</f>
        <v>1262.46289010823</v>
      </c>
      <c r="X79" s="16" t="n">
        <f aca="false">W79-F79-G79-H79-M79</f>
        <v>-4733.49442662232</v>
      </c>
      <c r="Y79" s="16" t="n">
        <f aca="false">Y78+X79</f>
        <v>-486378.688472434</v>
      </c>
      <c r="Z79" s="16" t="n">
        <f aca="false">Premissas!$C$14*(1+Premissas!$C$57)^((YEAR(Premissas!$C$19)-YEAR(Premissas!$C$18))*12+MONTH(Premissas!$C$19)-MONTH(Premissas!$C$18))*(1+Premissas!$C$61)^((YEAR($A79)-YEAR(Premissas!$C$19))*12+MONTH($A79)-MONTH(Premissas!$C$19))</f>
        <v>646091.753733698</v>
      </c>
      <c r="AA79" s="16" t="n">
        <f aca="false">IF($A79&gt;=Premissas!$C$25,Z79*(1-Premissas!$C$53)-N79-Premissas!$C$54*MAX(0,Z79*(1-Premissas!$C$53)-(Premissas!$C$14*(1+Premissas!$C$57)^((YEAR(Premissas!$C$25)-YEAR(Premissas!$C$18))*12+MONTH(Premissas!$C$25)-MONTH(Premissas!$C$18))*(1+Premissas!$C$34))),"")</f>
        <v>357777.100086649</v>
      </c>
      <c r="AB79" s="16" t="n">
        <f aca="false">IF($A79&gt;=Premissas!$C$25,Y79+AA79,"")</f>
        <v>-128601.588385786</v>
      </c>
      <c r="AC79" s="20" t="str">
        <f aca="false">IF(AND($A79&gt;=Premissas!$C$27,W79&gt;=M79),$A79,"")</f>
        <v/>
      </c>
      <c r="AD79" s="20" t="str">
        <f aca="false">IF(AND($A79&gt;=Premissas!$C$27,Y79&gt;=0),$A79,"")</f>
        <v/>
      </c>
      <c r="AE79" s="20" t="str">
        <f aca="false">IF(AND($A79&gt;=Premissas!$C$25,N(AB79)&gt;=0),$A79,"")</f>
        <v/>
      </c>
    </row>
    <row r="80" customFormat="false" ht="15" hidden="false" customHeight="false" outlineLevel="0" collapsed="false">
      <c r="A80" s="20" t="n">
        <f aca="false">DATE(YEAR(A79),MONTH(A79)+1,1)</f>
        <v>48670</v>
      </c>
      <c r="B80" s="5" t="str">
        <f aca="false">IF($A80&lt;Premissas!$C$25,"Obra",IF($A80=Premissas!$C$25,"Chaves",IF($A80&lt;Premissas!$C$27,"Mobiliando","Airbnb")))</f>
        <v>Airbnb</v>
      </c>
      <c r="C80" s="35" t="n">
        <f aca="false">(YEAR($A80)-YEAR(Premissas!$C$18))*12+MONTH($A80)-MONTH(Premissas!$C$18)</f>
        <v>79</v>
      </c>
      <c r="D80" s="16" t="n">
        <f aca="false">($A80=Premissas!$C$19)*Premissas!$C$8+(($A80=EDATE(Premissas!$C$19,1))+($A80=EDATE(Premissas!$C$19,2)))*Premissas!$C$9+AND($A80&gt;=Premissas!$C$20,$A80&lt;EDATE(Premissas!$C$20,Premissas!$C$21))*Premissas!$C$10+(($A80=Premissas!$C$22)+($A80=Premissas!$C$23)+($A80=Premissas!$C$24))*Premissas!$C$11+($A80=Premissas!$C$25)*Premissas!$C$12</f>
        <v>0</v>
      </c>
      <c r="E80" s="36" t="n">
        <f aca="false">(1+Premissas!$C$57)^C80</f>
        <v>1.42258653130272</v>
      </c>
      <c r="F80" s="16" t="n">
        <f aca="false">D80*E80</f>
        <v>0</v>
      </c>
      <c r="G80" s="16" t="n">
        <f aca="false">($A80=Premissas!$C$25)*Premissas!$C$34*Premissas!$C$14*(1+Premissas!$C$57)^C80</f>
        <v>0</v>
      </c>
      <c r="H80" s="16" t="n">
        <f aca="false">IF(AND($A80&gt;Premissas!$C$25,$A80&lt;Premissas!$C$27),Premissas!$C$35/MAX(1,Premissas!$C$26),0)</f>
        <v>0</v>
      </c>
      <c r="I80" s="35" t="n">
        <f aca="false">IF(AND($A80&gt;Premissas!$C$25,((YEAR($A80)-YEAR(Premissas!$C$25))*12+MONTH($A80)-MONTH(Premissas!$C$25))&lt;=Premissas!$C$32),((YEAR($A80)-YEAR(Premissas!$C$25))*12+MONTH($A80)-MONTH(Premissas!$C$25)),0)</f>
        <v>56</v>
      </c>
      <c r="J80" s="16" t="n">
        <f aca="false">IF(I80&gt;0,N79*(1+Premissas!$C$59),0)</f>
        <v>240436.98032165</v>
      </c>
      <c r="K80" s="16" t="n">
        <f aca="false">J80*Premissas!$C$58</f>
        <v>2281.45672008856</v>
      </c>
      <c r="L80" s="16" t="n">
        <f aca="false">IF(I80&gt;0,J80/(Premissas!$C$32-I80+1),0)</f>
        <v>3699.03046648693</v>
      </c>
      <c r="M80" s="16" t="n">
        <f aca="false">K80+L80</f>
        <v>5980.48718657549</v>
      </c>
      <c r="N80" s="16" t="n">
        <f aca="false">IF($A80=Premissas!$C$25,Premissas!$C$13*E80,IF(I80&gt;0,J80-L80,0))</f>
        <v>236737.949855163</v>
      </c>
      <c r="O80" s="37" t="n">
        <f aca="false">IF($A80&gt;=Premissas!$C$27,Premissas!$C$39*IF(((YEAR($A80)-YEAR(Premissas!$C$27))*12+MONTH($A80)-MONTH(Premissas!$C$27))&lt;Premissas!$C$41,Premissas!$C$42,1),0)</f>
        <v>0.62</v>
      </c>
      <c r="P80" s="16" t="n">
        <f aca="false">O80*Premissas!$C$38*Premissas!$C$40*(1+Premissas!$C$60)^((YEAR($A80)-YEAR(Premissas!$C$19))*12+MONTH($A80)-MONTH(Premissas!$C$19))</f>
        <v>5466.37159329098</v>
      </c>
      <c r="Q80" s="16" t="n">
        <f aca="false">P80*Premissas!$C$43</f>
        <v>874.619454926557</v>
      </c>
      <c r="R80" s="16" t="n">
        <f aca="false">P80*Premissas!$C$44</f>
        <v>1093.2743186582</v>
      </c>
      <c r="S80" s="16" t="n">
        <f aca="false">IF($A80&gt;=Premissas!$C$25,Premissas!$C$45*(1+Premissas!$C$60)^((YEAR($A80)-YEAR(Premissas!$C$19))*12+MONTH($A80)-MONTH(Premissas!$C$19)),0)</f>
        <v>958.340040899541</v>
      </c>
      <c r="T80" s="16" t="n">
        <f aca="false">IF($A80&gt;=Premissas!$C$27,Premissas!$C$46*(1+Premissas!$C$60)^((YEAR($A80)-YEAR(Premissas!$C$19))*12+MONTH($A80)-MONTH(Premissas!$C$19)),0)</f>
        <v>383.336016359816</v>
      </c>
      <c r="U80" s="16" t="n">
        <f aca="false">IF($A80&gt;=Premissas!$C$27,Premissas!$C$47*(1+Premissas!$C$60)^((YEAR($A80)-YEAR(Premissas!$C$19))*12+MONTH($A80)-MONTH(Premissas!$C$19)),0)</f>
        <v>191.668008179908</v>
      </c>
      <c r="V80" s="16" t="n">
        <f aca="false">IF($A80&gt;=Premissas!$C$27,MAX(0,P80-Q80-R80-S80)*Premissas!$C$49,0)</f>
        <v>698.537889171839</v>
      </c>
      <c r="W80" s="16" t="n">
        <f aca="false">P80-Q80-R80-S80-T80-U80-V80</f>
        <v>1266.59586509512</v>
      </c>
      <c r="X80" s="16" t="n">
        <f aca="false">W80-F80-G80-H80-M80</f>
        <v>-4713.89132148036</v>
      </c>
      <c r="Y80" s="16" t="n">
        <f aca="false">Y79+X80</f>
        <v>-491092.579793915</v>
      </c>
      <c r="Z80" s="16" t="n">
        <f aca="false">Premissas!$C$14*(1+Premissas!$C$57)^((YEAR(Premissas!$C$19)-YEAR(Premissas!$C$18))*12+MONTH(Premissas!$C$19)-MONTH(Premissas!$C$18))*(1+Premissas!$C$61)^((YEAR($A80)-YEAR(Premissas!$C$19))*12+MONTH($A80)-MONTH(Premissas!$C$19))</f>
        <v>648724.011514003</v>
      </c>
      <c r="AA80" s="16" t="n">
        <f aca="false">IF($A80&gt;=Premissas!$C$25,Z80*(1-Premissas!$C$53)-N80-Premissas!$C$54*MAX(0,Z80*(1-Premissas!$C$53)-(Premissas!$C$14*(1+Premissas!$C$57)^((YEAR(Premissas!$C$25)-YEAR(Premissas!$C$18))*12+MONTH(Premissas!$C$25)-MONTH(Premissas!$C$18))*(1+Premissas!$C$34))),"")</f>
        <v>362794.744856191</v>
      </c>
      <c r="AB80" s="16" t="n">
        <f aca="false">IF($A80&gt;=Premissas!$C$25,Y80+AA80,"")</f>
        <v>-128297.834937724</v>
      </c>
      <c r="AC80" s="20" t="str">
        <f aca="false">IF(AND($A80&gt;=Premissas!$C$27,W80&gt;=M80),$A80,"")</f>
        <v/>
      </c>
      <c r="AD80" s="20" t="str">
        <f aca="false">IF(AND($A80&gt;=Premissas!$C$27,Y80&gt;=0),$A80,"")</f>
        <v/>
      </c>
      <c r="AE80" s="20" t="str">
        <f aca="false">IF(AND($A80&gt;=Premissas!$C$25,N(AB80)&gt;=0),$A80,"")</f>
        <v/>
      </c>
    </row>
    <row r="81" customFormat="false" ht="15" hidden="false" customHeight="false" outlineLevel="0" collapsed="false">
      <c r="A81" s="20" t="n">
        <f aca="false">DATE(YEAR(A80),MONTH(A80)+1,1)</f>
        <v>48700</v>
      </c>
      <c r="B81" s="5" t="str">
        <f aca="false">IF($A81&lt;Premissas!$C$25,"Obra",IF($A81=Premissas!$C$25,"Chaves",IF($A81&lt;Premissas!$C$27,"Mobiliando","Airbnb")))</f>
        <v>Airbnb</v>
      </c>
      <c r="C81" s="35" t="n">
        <f aca="false">(YEAR($A81)-YEAR(Premissas!$C$18))*12+MONTH($A81)-MONTH(Premissas!$C$18)</f>
        <v>80</v>
      </c>
      <c r="D81" s="16" t="n">
        <f aca="false">($A81=Premissas!$C$19)*Premissas!$C$8+(($A81=EDATE(Premissas!$C$19,1))+($A81=EDATE(Premissas!$C$19,2)))*Premissas!$C$9+AND($A81&gt;=Premissas!$C$20,$A81&lt;EDATE(Premissas!$C$20,Premissas!$C$21))*Premissas!$C$10+(($A81=Premissas!$C$22)+($A81=Premissas!$C$23)+($A81=Premissas!$C$24))*Premissas!$C$11+($A81=Premissas!$C$25)*Premissas!$C$12</f>
        <v>0</v>
      </c>
      <c r="E81" s="36" t="n">
        <f aca="false">(1+Premissas!$C$57)^C81</f>
        <v>1.42894790995414</v>
      </c>
      <c r="F81" s="16" t="n">
        <f aca="false">D81*E81</f>
        <v>0</v>
      </c>
      <c r="G81" s="16" t="n">
        <f aca="false">($A81=Premissas!$C$25)*Premissas!$C$34*Premissas!$C$14*(1+Premissas!$C$57)^C81</f>
        <v>0</v>
      </c>
      <c r="H81" s="16" t="n">
        <f aca="false">IF(AND($A81&gt;Premissas!$C$25,$A81&lt;Premissas!$C$27),Premissas!$C$35/MAX(1,Premissas!$C$26),0)</f>
        <v>0</v>
      </c>
      <c r="I81" s="35" t="n">
        <f aca="false">IF(AND($A81&gt;Premissas!$C$25,((YEAR($A81)-YEAR(Premissas!$C$25))*12+MONTH($A81)-MONTH(Premissas!$C$25))&lt;=Premissas!$C$32),((YEAR($A81)-YEAR(Premissas!$C$25))*12+MONTH($A81)-MONTH(Premissas!$C$25)),0)</f>
        <v>57</v>
      </c>
      <c r="J81" s="16" t="n">
        <f aca="false">IF(I81&gt;0,N80*(1+Premissas!$C$59),0)</f>
        <v>237512.96829956</v>
      </c>
      <c r="K81" s="16" t="n">
        <f aca="false">J81*Premissas!$C$58</f>
        <v>2253.71137547272</v>
      </c>
      <c r="L81" s="16" t="n">
        <f aca="false">IF(I81&gt;0,J81/(Premissas!$C$32-I81+1),0)</f>
        <v>3711.14012968063</v>
      </c>
      <c r="M81" s="16" t="n">
        <f aca="false">K81+L81</f>
        <v>5964.85150515335</v>
      </c>
      <c r="N81" s="16" t="n">
        <f aca="false">IF($A81=Premissas!$C$25,Premissas!$C$13*E81,IF(I81&gt;0,J81-L81,0))</f>
        <v>233801.82816988</v>
      </c>
      <c r="O81" s="37" t="n">
        <f aca="false">IF($A81&gt;=Premissas!$C$27,Premissas!$C$39*IF(((YEAR($A81)-YEAR(Premissas!$C$27))*12+MONTH($A81)-MONTH(Premissas!$C$27))&lt;Premissas!$C$41,Premissas!$C$42,1),0)</f>
        <v>0.62</v>
      </c>
      <c r="P81" s="16" t="n">
        <f aca="false">O81*Premissas!$C$38*Premissas!$C$40*(1+Premissas!$C$60)^((YEAR($A81)-YEAR(Premissas!$C$19))*12+MONTH($A81)-MONTH(Premissas!$C$19))</f>
        <v>5484.26707144022</v>
      </c>
      <c r="Q81" s="16" t="n">
        <f aca="false">P81*Premissas!$C$43</f>
        <v>877.482731430435</v>
      </c>
      <c r="R81" s="16" t="n">
        <f aca="false">P81*Premissas!$C$44</f>
        <v>1096.85341428804</v>
      </c>
      <c r="S81" s="16" t="n">
        <f aca="false">IF($A81&gt;=Premissas!$C$25,Premissas!$C$45*(1+Premissas!$C$60)^((YEAR($A81)-YEAR(Premissas!$C$19))*12+MONTH($A81)-MONTH(Premissas!$C$19)),0)</f>
        <v>961.477396816308</v>
      </c>
      <c r="T81" s="16" t="n">
        <f aca="false">IF($A81&gt;=Premissas!$C$27,Premissas!$C$46*(1+Premissas!$C$60)^((YEAR($A81)-YEAR(Premissas!$C$19))*12+MONTH($A81)-MONTH(Premissas!$C$19)),0)</f>
        <v>384.590958726523</v>
      </c>
      <c r="U81" s="16" t="n">
        <f aca="false">IF($A81&gt;=Premissas!$C$27,Premissas!$C$47*(1+Premissas!$C$60)^((YEAR($A81)-YEAR(Premissas!$C$19))*12+MONTH($A81)-MONTH(Premissas!$C$19)),0)</f>
        <v>192.295479363262</v>
      </c>
      <c r="V81" s="16" t="n">
        <f aca="false">IF($A81&gt;=Premissas!$C$27,MAX(0,P81-Q81-R81-S81)*Premissas!$C$49,0)</f>
        <v>700.824720448994</v>
      </c>
      <c r="W81" s="16" t="n">
        <f aca="false">P81-Q81-R81-S81-T81-U81-V81</f>
        <v>1270.74237036665</v>
      </c>
      <c r="X81" s="16" t="n">
        <f aca="false">W81-F81-G81-H81-M81</f>
        <v>-4694.10913478669</v>
      </c>
      <c r="Y81" s="16" t="n">
        <f aca="false">Y80+X81</f>
        <v>-495786.688928702</v>
      </c>
      <c r="Z81" s="16" t="n">
        <f aca="false">Premissas!$C$14*(1+Premissas!$C$57)^((YEAR(Premissas!$C$19)-YEAR(Premissas!$C$18))*12+MONTH(Premissas!$C$19)-MONTH(Premissas!$C$18))*(1+Premissas!$C$61)^((YEAR($A81)-YEAR(Premissas!$C$19))*12+MONTH($A81)-MONTH(Premissas!$C$19))</f>
        <v>651366.993438336</v>
      </c>
      <c r="AA81" s="16" t="n">
        <f aca="false">IF($A81&gt;=Premissas!$C$25,Z81*(1-Premissas!$C$53)-N81-Premissas!$C$54*MAX(0,Z81*(1-Premissas!$C$53)-(Premissas!$C$14*(1+Premissas!$C$57)^((YEAR(Premissas!$C$25)-YEAR(Premissas!$C$18))*12+MONTH(Premissas!$C$25)-MONTH(Premissas!$C$18))*(1+Premissas!$C$34))),"")</f>
        <v>367842.609099016</v>
      </c>
      <c r="AB81" s="16" t="n">
        <f aca="false">IF($A81&gt;=Premissas!$C$25,Y81+AA81,"")</f>
        <v>-127944.079829685</v>
      </c>
      <c r="AC81" s="20" t="str">
        <f aca="false">IF(AND($A81&gt;=Premissas!$C$27,W81&gt;=M81),$A81,"")</f>
        <v/>
      </c>
      <c r="AD81" s="20" t="str">
        <f aca="false">IF(AND($A81&gt;=Premissas!$C$27,Y81&gt;=0),$A81,"")</f>
        <v/>
      </c>
      <c r="AE81" s="20" t="str">
        <f aca="false">IF(AND($A81&gt;=Premissas!$C$25,N(AB81)&gt;=0),$A81,"")</f>
        <v/>
      </c>
    </row>
    <row r="82" customFormat="false" ht="15" hidden="false" customHeight="false" outlineLevel="0" collapsed="false">
      <c r="A82" s="20" t="n">
        <f aca="false">DATE(YEAR(A81),MONTH(A81)+1,1)</f>
        <v>48731</v>
      </c>
      <c r="B82" s="5" t="str">
        <f aca="false">IF($A82&lt;Premissas!$C$25,"Obra",IF($A82=Premissas!$C$25,"Chaves",IF($A82&lt;Premissas!$C$27,"Mobiliando","Airbnb")))</f>
        <v>Airbnb</v>
      </c>
      <c r="C82" s="35" t="n">
        <f aca="false">(YEAR($A82)-YEAR(Premissas!$C$18))*12+MONTH($A82)-MONTH(Premissas!$C$18)</f>
        <v>81</v>
      </c>
      <c r="D82" s="16" t="n">
        <f aca="false">($A82=Premissas!$C$19)*Premissas!$C$8+(($A82=EDATE(Premissas!$C$19,1))+($A82=EDATE(Premissas!$C$19,2)))*Premissas!$C$9+AND($A82&gt;=Premissas!$C$20,$A82&lt;EDATE(Premissas!$C$20,Premissas!$C$21))*Premissas!$C$10+(($A82=Premissas!$C$22)+($A82=Premissas!$C$23)+($A82=Premissas!$C$24))*Premissas!$C$11+($A82=Premissas!$C$25)*Premissas!$C$12</f>
        <v>0</v>
      </c>
      <c r="E82" s="36" t="n">
        <f aca="false">(1+Premissas!$C$57)^C82</f>
        <v>1.4353377347756</v>
      </c>
      <c r="F82" s="16" t="n">
        <f aca="false">D82*E82</f>
        <v>0</v>
      </c>
      <c r="G82" s="16" t="n">
        <f aca="false">($A82=Premissas!$C$25)*Premissas!$C$34*Premissas!$C$14*(1+Premissas!$C$57)^C82</f>
        <v>0</v>
      </c>
      <c r="H82" s="16" t="n">
        <f aca="false">IF(AND($A82&gt;Premissas!$C$25,$A82&lt;Premissas!$C$27),Premissas!$C$35/MAX(1,Premissas!$C$26),0)</f>
        <v>0</v>
      </c>
      <c r="I82" s="35" t="n">
        <f aca="false">IF(AND($A82&gt;Premissas!$C$25,((YEAR($A82)-YEAR(Premissas!$C$25))*12+MONTH($A82)-MONTH(Premissas!$C$25))&lt;=Premissas!$C$32),((YEAR($A82)-YEAR(Premissas!$C$25))*12+MONTH($A82)-MONTH(Premissas!$C$25)),0)</f>
        <v>58</v>
      </c>
      <c r="J82" s="16" t="n">
        <f aca="false">IF(I82&gt;0,N81*(1+Premissas!$C$59),0)</f>
        <v>234567.23451591</v>
      </c>
      <c r="K82" s="16" t="n">
        <f aca="false">J82*Premissas!$C$58</f>
        <v>2225.75991755925</v>
      </c>
      <c r="L82" s="16" t="n">
        <f aca="false">IF(I82&gt;0,J82/(Premissas!$C$32-I82+1),0)</f>
        <v>3723.28943676048</v>
      </c>
      <c r="M82" s="16" t="n">
        <f aca="false">K82+L82</f>
        <v>5949.04935431974</v>
      </c>
      <c r="N82" s="16" t="n">
        <f aca="false">IF($A82=Premissas!$C$25,Premissas!$C$13*E82,IF(I82&gt;0,J82-L82,0))</f>
        <v>230843.94507915</v>
      </c>
      <c r="O82" s="37" t="n">
        <f aca="false">IF($A82&gt;=Premissas!$C$27,Premissas!$C$39*IF(((YEAR($A82)-YEAR(Premissas!$C$27))*12+MONTH($A82)-MONTH(Premissas!$C$27))&lt;Premissas!$C$41,Premissas!$C$42,1),0)</f>
        <v>0.62</v>
      </c>
      <c r="P82" s="16" t="n">
        <f aca="false">O82*Premissas!$C$38*Premissas!$C$40*(1+Premissas!$C$60)^((YEAR($A82)-YEAR(Premissas!$C$19))*12+MONTH($A82)-MONTH(Premissas!$C$19))</f>
        <v>5502.2211347282</v>
      </c>
      <c r="Q82" s="16" t="n">
        <f aca="false">P82*Premissas!$C$43</f>
        <v>880.355381556512</v>
      </c>
      <c r="R82" s="16" t="n">
        <f aca="false">P82*Premissas!$C$44</f>
        <v>1100.44422694564</v>
      </c>
      <c r="S82" s="16" t="n">
        <f aca="false">IF($A82&gt;=Premissas!$C$25,Premissas!$C$45*(1+Premissas!$C$60)^((YEAR($A82)-YEAR(Premissas!$C$19))*12+MONTH($A82)-MONTH(Premissas!$C$19)),0)</f>
        <v>964.625023619951</v>
      </c>
      <c r="T82" s="16" t="n">
        <f aca="false">IF($A82&gt;=Premissas!$C$27,Premissas!$C$46*(1+Premissas!$C$60)^((YEAR($A82)-YEAR(Premissas!$C$19))*12+MONTH($A82)-MONTH(Premissas!$C$19)),0)</f>
        <v>385.85000944798</v>
      </c>
      <c r="U82" s="16" t="n">
        <f aca="false">IF($A82&gt;=Premissas!$C$27,Premissas!$C$47*(1+Premissas!$C$60)^((YEAR($A82)-YEAR(Premissas!$C$19))*12+MONTH($A82)-MONTH(Premissas!$C$19)),0)</f>
        <v>192.92500472399</v>
      </c>
      <c r="V82" s="16" t="n">
        <f aca="false">IF($A82&gt;=Premissas!$C$27,MAX(0,P82-Q82-R82-S82)*Premissas!$C$49,0)</f>
        <v>703.119038216677</v>
      </c>
      <c r="W82" s="16" t="n">
        <f aca="false">P82-Q82-R82-S82-T82-U82-V82</f>
        <v>1274.90245021745</v>
      </c>
      <c r="X82" s="16" t="n">
        <f aca="false">W82-F82-G82-H82-M82</f>
        <v>-4674.14690410229</v>
      </c>
      <c r="Y82" s="16" t="n">
        <f aca="false">Y81+X82</f>
        <v>-500460.835832804</v>
      </c>
      <c r="Z82" s="16" t="n">
        <f aca="false">Premissas!$C$14*(1+Premissas!$C$57)^((YEAR(Premissas!$C$19)-YEAR(Premissas!$C$18))*12+MONTH(Premissas!$C$19)-MONTH(Premissas!$C$18))*(1+Premissas!$C$61)^((YEAR($A82)-YEAR(Premissas!$C$19))*12+MONTH($A82)-MONTH(Premissas!$C$19))</f>
        <v>654020.743198187</v>
      </c>
      <c r="AA82" s="16" t="n">
        <f aca="false">IF($A82&gt;=Premissas!$C$25,Z82*(1-Premissas!$C$53)-N82-Premissas!$C$54*MAX(0,Z82*(1-Premissas!$C$53)-(Premissas!$C$14*(1+Premissas!$C$57)^((YEAR(Premissas!$C$25)-YEAR(Premissas!$C$18))*12+MONTH(Premissas!$C$25)-MONTH(Premissas!$C$18))*(1+Premissas!$C$34))),"")</f>
        <v>372920.838247867</v>
      </c>
      <c r="AB82" s="16" t="n">
        <f aca="false">IF($A82&gt;=Premissas!$C$25,Y82+AA82,"")</f>
        <v>-127539.997584937</v>
      </c>
      <c r="AC82" s="20" t="str">
        <f aca="false">IF(AND($A82&gt;=Premissas!$C$27,W82&gt;=M82),$A82,"")</f>
        <v/>
      </c>
      <c r="AD82" s="20" t="str">
        <f aca="false">IF(AND($A82&gt;=Premissas!$C$27,Y82&gt;=0),$A82,"")</f>
        <v/>
      </c>
      <c r="AE82" s="20" t="str">
        <f aca="false">IF(AND($A82&gt;=Premissas!$C$25,N(AB82)&gt;=0),$A82,"")</f>
        <v/>
      </c>
    </row>
    <row r="83" customFormat="false" ht="15" hidden="false" customHeight="false" outlineLevel="0" collapsed="false">
      <c r="A83" s="20" t="n">
        <f aca="false">DATE(YEAR(A82),MONTH(A82)+1,1)</f>
        <v>48761</v>
      </c>
      <c r="B83" s="5" t="str">
        <f aca="false">IF($A83&lt;Premissas!$C$25,"Obra",IF($A83=Premissas!$C$25,"Chaves",IF($A83&lt;Premissas!$C$27,"Mobiliando","Airbnb")))</f>
        <v>Airbnb</v>
      </c>
      <c r="C83" s="35" t="n">
        <f aca="false">(YEAR($A83)-YEAR(Premissas!$C$18))*12+MONTH($A83)-MONTH(Premissas!$C$18)</f>
        <v>82</v>
      </c>
      <c r="D83" s="16" t="n">
        <f aca="false">($A83=Premissas!$C$19)*Premissas!$C$8+(($A83=EDATE(Premissas!$C$19,1))+($A83=EDATE(Premissas!$C$19,2)))*Premissas!$C$9+AND($A83&gt;=Premissas!$C$20,$A83&lt;EDATE(Premissas!$C$20,Premissas!$C$21))*Premissas!$C$10+(($A83=Premissas!$C$22)+($A83=Premissas!$C$23)+($A83=Premissas!$C$24))*Premissas!$C$11+($A83=Premissas!$C$25)*Premissas!$C$12</f>
        <v>0</v>
      </c>
      <c r="E83" s="36" t="n">
        <f aca="false">(1+Premissas!$C$57)^C83</f>
        <v>1.44175613296978</v>
      </c>
      <c r="F83" s="16" t="n">
        <f aca="false">D83*E83</f>
        <v>0</v>
      </c>
      <c r="G83" s="16" t="n">
        <f aca="false">($A83=Premissas!$C$25)*Premissas!$C$34*Premissas!$C$14*(1+Premissas!$C$57)^C83</f>
        <v>0</v>
      </c>
      <c r="H83" s="16" t="n">
        <f aca="false">IF(AND($A83&gt;Premissas!$C$25,$A83&lt;Premissas!$C$27),Premissas!$C$35/MAX(1,Premissas!$C$26),0)</f>
        <v>0</v>
      </c>
      <c r="I83" s="35" t="n">
        <f aca="false">IF(AND($A83&gt;Premissas!$C$25,((YEAR($A83)-YEAR(Premissas!$C$25))*12+MONTH($A83)-MONTH(Premissas!$C$25))&lt;=Premissas!$C$32),((YEAR($A83)-YEAR(Premissas!$C$25))*12+MONTH($A83)-MONTH(Premissas!$C$25)),0)</f>
        <v>59</v>
      </c>
      <c r="J83" s="16" t="n">
        <f aca="false">IF(I83&gt;0,N82*(1+Premissas!$C$59),0)</f>
        <v>231599.668085635</v>
      </c>
      <c r="K83" s="16" t="n">
        <f aca="false">J83*Premissas!$C$58</f>
        <v>2197.60129418275</v>
      </c>
      <c r="L83" s="16" t="n">
        <f aca="false">IF(I83&gt;0,J83/(Premissas!$C$32-I83+1),0)</f>
        <v>3735.47851751024</v>
      </c>
      <c r="M83" s="16" t="n">
        <f aca="false">K83+L83</f>
        <v>5933.079811693</v>
      </c>
      <c r="N83" s="16" t="n">
        <f aca="false">IF($A83=Premissas!$C$25,Premissas!$C$13*E83,IF(I83&gt;0,J83-L83,0))</f>
        <v>227864.189568125</v>
      </c>
      <c r="O83" s="37" t="n">
        <f aca="false">IF($A83&gt;=Premissas!$C$27,Premissas!$C$39*IF(((YEAR($A83)-YEAR(Premissas!$C$27))*12+MONTH($A83)-MONTH(Premissas!$C$27))&lt;Premissas!$C$41,Premissas!$C$42,1),0)</f>
        <v>0.62</v>
      </c>
      <c r="P83" s="16" t="n">
        <f aca="false">O83*Premissas!$C$38*Premissas!$C$40*(1+Premissas!$C$60)^((YEAR($A83)-YEAR(Premissas!$C$19))*12+MONTH($A83)-MONTH(Premissas!$C$19))</f>
        <v>5520.23397494741</v>
      </c>
      <c r="Q83" s="16" t="n">
        <f aca="false">P83*Premissas!$C$43</f>
        <v>883.237435991586</v>
      </c>
      <c r="R83" s="16" t="n">
        <f aca="false">P83*Premissas!$C$44</f>
        <v>1104.04679498948</v>
      </c>
      <c r="S83" s="16" t="n">
        <f aca="false">IF($A83&gt;=Premissas!$C$25,Premissas!$C$45*(1+Premissas!$C$60)^((YEAR($A83)-YEAR(Premissas!$C$19))*12+MONTH($A83)-MONTH(Premissas!$C$19)),0)</f>
        <v>967.78295493468</v>
      </c>
      <c r="T83" s="16" t="n">
        <f aca="false">IF($A83&gt;=Premissas!$C$27,Premissas!$C$46*(1+Premissas!$C$60)^((YEAR($A83)-YEAR(Premissas!$C$19))*12+MONTH($A83)-MONTH(Premissas!$C$19)),0)</f>
        <v>387.113181973872</v>
      </c>
      <c r="U83" s="16" t="n">
        <f aca="false">IF($A83&gt;=Premissas!$C$27,Premissas!$C$47*(1+Premissas!$C$60)^((YEAR($A83)-YEAR(Premissas!$C$19))*12+MONTH($A83)-MONTH(Premissas!$C$19)),0)</f>
        <v>193.556590986936</v>
      </c>
      <c r="V83" s="16" t="n">
        <f aca="false">IF($A83&gt;=Premissas!$C$27,MAX(0,P83-Q83-R83-S83)*Premissas!$C$49,0)</f>
        <v>705.420866983708</v>
      </c>
      <c r="W83" s="16" t="n">
        <f aca="false">P83-Q83-R83-S83-T83-U83-V83</f>
        <v>1279.07614908715</v>
      </c>
      <c r="X83" s="16" t="n">
        <f aca="false">W83-F83-G83-H83-M83</f>
        <v>-4654.00366260585</v>
      </c>
      <c r="Y83" s="16" t="n">
        <f aca="false">Y82+X83</f>
        <v>-505114.83949541</v>
      </c>
      <c r="Z83" s="16" t="n">
        <f aca="false">Premissas!$C$14*(1+Premissas!$C$57)^((YEAR(Premissas!$C$19)-YEAR(Premissas!$C$18))*12+MONTH(Premissas!$C$19)-MONTH(Premissas!$C$18))*(1+Premissas!$C$61)^((YEAR($A83)-YEAR(Premissas!$C$19))*12+MONTH($A83)-MONTH(Premissas!$C$19))</f>
        <v>656685.30466305</v>
      </c>
      <c r="AA83" s="16" t="n">
        <f aca="false">IF($A83&gt;=Premissas!$C$25,Z83*(1-Premissas!$C$53)-N83-Premissas!$C$54*MAX(0,Z83*(1-Premissas!$C$53)-(Premissas!$C$14*(1+Premissas!$C$57)^((YEAR(Premissas!$C$25)-YEAR(Premissas!$C$18))*12+MONTH(Premissas!$C$25)-MONTH(Premissas!$C$18))*(1+Premissas!$C$34))),"")</f>
        <v>378029.578369317</v>
      </c>
      <c r="AB83" s="16" t="n">
        <f aca="false">IF($A83&gt;=Premissas!$C$25,Y83+AA83,"")</f>
        <v>-127085.261126092</v>
      </c>
      <c r="AC83" s="20" t="str">
        <f aca="false">IF(AND($A83&gt;=Premissas!$C$27,W83&gt;=M83),$A83,"")</f>
        <v/>
      </c>
      <c r="AD83" s="20" t="str">
        <f aca="false">IF(AND($A83&gt;=Premissas!$C$27,Y83&gt;=0),$A83,"")</f>
        <v/>
      </c>
      <c r="AE83" s="20" t="str">
        <f aca="false">IF(AND($A83&gt;=Premissas!$C$25,N(AB83)&gt;=0),$A83,"")</f>
        <v/>
      </c>
    </row>
    <row r="84" customFormat="false" ht="15" hidden="false" customHeight="false" outlineLevel="0" collapsed="false">
      <c r="A84" s="20" t="n">
        <f aca="false">DATE(YEAR(A83),MONTH(A83)+1,1)</f>
        <v>48792</v>
      </c>
      <c r="B84" s="5" t="str">
        <f aca="false">IF($A84&lt;Premissas!$C$25,"Obra",IF($A84=Premissas!$C$25,"Chaves",IF($A84&lt;Premissas!$C$27,"Mobiliando","Airbnb")))</f>
        <v>Airbnb</v>
      </c>
      <c r="C84" s="35" t="n">
        <f aca="false">(YEAR($A84)-YEAR(Premissas!$C$18))*12+MONTH($A84)-MONTH(Premissas!$C$18)</f>
        <v>83</v>
      </c>
      <c r="D84" s="16" t="n">
        <f aca="false">($A84=Premissas!$C$19)*Premissas!$C$8+(($A84=EDATE(Premissas!$C$19,1))+($A84=EDATE(Premissas!$C$19,2)))*Premissas!$C$9+AND($A84&gt;=Premissas!$C$20,$A84&lt;EDATE(Premissas!$C$20,Premissas!$C$21))*Premissas!$C$10+(($A84=Premissas!$C$22)+($A84=Premissas!$C$23)+($A84=Premissas!$C$24))*Premissas!$C$11+($A84=Premissas!$C$25)*Premissas!$C$12</f>
        <v>0</v>
      </c>
      <c r="E84" s="36" t="n">
        <f aca="false">(1+Premissas!$C$57)^C84</f>
        <v>1.44820323230822</v>
      </c>
      <c r="F84" s="16" t="n">
        <f aca="false">D84*E84</f>
        <v>0</v>
      </c>
      <c r="G84" s="16" t="n">
        <f aca="false">($A84=Premissas!$C$25)*Premissas!$C$34*Premissas!$C$14*(1+Premissas!$C$57)^C84</f>
        <v>0</v>
      </c>
      <c r="H84" s="16" t="n">
        <f aca="false">IF(AND($A84&gt;Premissas!$C$25,$A84&lt;Premissas!$C$27),Premissas!$C$35/MAX(1,Premissas!$C$26),0)</f>
        <v>0</v>
      </c>
      <c r="I84" s="35" t="n">
        <f aca="false">IF(AND($A84&gt;Premissas!$C$25,((YEAR($A84)-YEAR(Premissas!$C$25))*12+MONTH($A84)-MONTH(Premissas!$C$25))&lt;=Premissas!$C$32),((YEAR($A84)-YEAR(Premissas!$C$25))*12+MONTH($A84)-MONTH(Premissas!$C$25)),0)</f>
        <v>60</v>
      </c>
      <c r="J84" s="16" t="n">
        <f aca="false">IF(I84&gt;0,N83*(1+Premissas!$C$59),0)</f>
        <v>228610.157630453</v>
      </c>
      <c r="K84" s="16" t="n">
        <f aca="false">J84*Premissas!$C$58</f>
        <v>2169.23444849776</v>
      </c>
      <c r="L84" s="16" t="n">
        <f aca="false">IF(I84&gt;0,J84/(Premissas!$C$32-I84+1),0)</f>
        <v>3747.70750213857</v>
      </c>
      <c r="M84" s="16" t="n">
        <f aca="false">K84+L84</f>
        <v>5916.94195063632</v>
      </c>
      <c r="N84" s="16" t="n">
        <f aca="false">IF($A84=Premissas!$C$25,Premissas!$C$13*E84,IF(I84&gt;0,J84-L84,0))</f>
        <v>224862.450128314</v>
      </c>
      <c r="O84" s="37" t="n">
        <f aca="false">IF($A84&gt;=Premissas!$C$27,Premissas!$C$39*IF(((YEAR($A84)-YEAR(Premissas!$C$27))*12+MONTH($A84)-MONTH(Premissas!$C$27))&lt;Premissas!$C$41,Premissas!$C$42,1),0)</f>
        <v>0.62</v>
      </c>
      <c r="P84" s="16" t="n">
        <f aca="false">O84*Premissas!$C$38*Premissas!$C$40*(1+Premissas!$C$60)^((YEAR($A84)-YEAR(Premissas!$C$19))*12+MONTH($A84)-MONTH(Premissas!$C$19))</f>
        <v>5538.30578451825</v>
      </c>
      <c r="Q84" s="16" t="n">
        <f aca="false">P84*Premissas!$C$43</f>
        <v>886.128925522919</v>
      </c>
      <c r="R84" s="16" t="n">
        <f aca="false">P84*Premissas!$C$44</f>
        <v>1107.66115690365</v>
      </c>
      <c r="S84" s="16" t="n">
        <f aca="false">IF($A84&gt;=Premissas!$C$25,Premissas!$C$45*(1+Premissas!$C$60)^((YEAR($A84)-YEAR(Premissas!$C$19))*12+MONTH($A84)-MONTH(Premissas!$C$19)),0)</f>
        <v>970.951224494784</v>
      </c>
      <c r="T84" s="16" t="n">
        <f aca="false">IF($A84&gt;=Premissas!$C$27,Premissas!$C$46*(1+Premissas!$C$60)^((YEAR($A84)-YEAR(Premissas!$C$19))*12+MONTH($A84)-MONTH(Premissas!$C$19)),0)</f>
        <v>388.380489797913</v>
      </c>
      <c r="U84" s="16" t="n">
        <f aca="false">IF($A84&gt;=Premissas!$C$27,Premissas!$C$47*(1+Premissas!$C$60)^((YEAR($A84)-YEAR(Premissas!$C$19))*12+MONTH($A84)-MONTH(Premissas!$C$19)),0)</f>
        <v>194.190244898957</v>
      </c>
      <c r="V84" s="16" t="n">
        <f aca="false">IF($A84&gt;=Premissas!$C$27,MAX(0,P84-Q84-R84-S84)*Premissas!$C$49,0)</f>
        <v>707.730231339146</v>
      </c>
      <c r="W84" s="16" t="n">
        <f aca="false">P84-Q84-R84-S84-T84-U84-V84</f>
        <v>1283.26351156088</v>
      </c>
      <c r="X84" s="16" t="n">
        <f aca="false">W84-F84-G84-H84-M84</f>
        <v>-4633.67843907545</v>
      </c>
      <c r="Y84" s="16" t="n">
        <f aca="false">Y83+X84</f>
        <v>-509748.517934485</v>
      </c>
      <c r="Z84" s="16" t="n">
        <f aca="false">Premissas!$C$14*(1+Premissas!$C$57)^((YEAR(Premissas!$C$19)-YEAR(Premissas!$C$18))*12+MONTH(Premissas!$C$19)-MONTH(Premissas!$C$18))*(1+Premissas!$C$61)^((YEAR($A84)-YEAR(Premissas!$C$19))*12+MONTH($A84)-MONTH(Premissas!$C$19))</f>
        <v>659360.72188115</v>
      </c>
      <c r="AA84" s="16" t="n">
        <f aca="false">IF($A84&gt;=Premissas!$C$25,Z84*(1-Premissas!$C$53)-N84-Premissas!$C$54*MAX(0,Z84*(1-Premissas!$C$53)-(Premissas!$C$14*(1+Premissas!$C$57)^((YEAR(Premissas!$C$25)-YEAR(Premissas!$C$18))*12+MONTH(Premissas!$C$25)-MONTH(Premissas!$C$18))*(1+Premissas!$C$34))),"")</f>
        <v>383168.97616639</v>
      </c>
      <c r="AB84" s="16" t="n">
        <f aca="false">IF($A84&gt;=Premissas!$C$25,Y84+AA84,"")</f>
        <v>-126579.541768095</v>
      </c>
      <c r="AC84" s="20" t="str">
        <f aca="false">IF(AND($A84&gt;=Premissas!$C$27,W84&gt;=M84),$A84,"")</f>
        <v/>
      </c>
      <c r="AD84" s="20" t="str">
        <f aca="false">IF(AND($A84&gt;=Premissas!$C$27,Y84&gt;=0),$A84,"")</f>
        <v/>
      </c>
      <c r="AE84" s="20" t="str">
        <f aca="false">IF(AND($A84&gt;=Premissas!$C$25,N(AB84)&gt;=0),$A84,"")</f>
        <v/>
      </c>
    </row>
    <row r="85" customFormat="false" ht="15" hidden="false" customHeight="false" outlineLevel="0" collapsed="false">
      <c r="A85" s="20" t="n">
        <f aca="false">DATE(YEAR(A84),MONTH(A84)+1,1)</f>
        <v>48823</v>
      </c>
      <c r="B85" s="5" t="str">
        <f aca="false">IF($A85&lt;Premissas!$C$25,"Obra",IF($A85=Premissas!$C$25,"Chaves",IF($A85&lt;Premissas!$C$27,"Mobiliando","Airbnb")))</f>
        <v>Airbnb</v>
      </c>
      <c r="C85" s="35" t="n">
        <f aca="false">(YEAR($A85)-YEAR(Premissas!$C$18))*12+MONTH($A85)-MONTH(Premissas!$C$18)</f>
        <v>84</v>
      </c>
      <c r="D85" s="16" t="n">
        <f aca="false">($A85=Premissas!$C$19)*Premissas!$C$8+(($A85=EDATE(Premissas!$C$19,1))+($A85=EDATE(Premissas!$C$19,2)))*Premissas!$C$9+AND($A85&gt;=Premissas!$C$20,$A85&lt;EDATE(Premissas!$C$20,Premissas!$C$21))*Premissas!$C$10+(($A85=Premissas!$C$22)+($A85=Premissas!$C$23)+($A85=Premissas!$C$24))*Premissas!$C$11+($A85=Premissas!$C$25)*Premissas!$C$12</f>
        <v>0</v>
      </c>
      <c r="E85" s="36" t="n">
        <f aca="false">(1+Premissas!$C$57)^C85</f>
        <v>1.4546791611338</v>
      </c>
      <c r="F85" s="16" t="n">
        <f aca="false">D85*E85</f>
        <v>0</v>
      </c>
      <c r="G85" s="16" t="n">
        <f aca="false">($A85=Premissas!$C$25)*Premissas!$C$34*Premissas!$C$14*(1+Premissas!$C$57)^C85</f>
        <v>0</v>
      </c>
      <c r="H85" s="16" t="n">
        <f aca="false">IF(AND($A85&gt;Premissas!$C$25,$A85&lt;Premissas!$C$27),Premissas!$C$35/MAX(1,Premissas!$C$26),0)</f>
        <v>0</v>
      </c>
      <c r="I85" s="35" t="n">
        <f aca="false">IF(AND($A85&gt;Premissas!$C$25,((YEAR($A85)-YEAR(Premissas!$C$25))*12+MONTH($A85)-MONTH(Premissas!$C$25))&lt;=Premissas!$C$32),((YEAR($A85)-YEAR(Premissas!$C$25))*12+MONTH($A85)-MONTH(Premissas!$C$25)),0)</f>
        <v>61</v>
      </c>
      <c r="J85" s="16" t="n">
        <f aca="false">IF(I85&gt;0,N84*(1+Premissas!$C$59),0)</f>
        <v>225598.591276822</v>
      </c>
      <c r="K85" s="16" t="n">
        <f aca="false">J85*Premissas!$C$58</f>
        <v>2140.6583189594</v>
      </c>
      <c r="L85" s="16" t="n">
        <f aca="false">IF(I85&gt;0,J85/(Premissas!$C$32-I85+1),0)</f>
        <v>3759.97652128036</v>
      </c>
      <c r="M85" s="16" t="n">
        <f aca="false">K85+L85</f>
        <v>5900.63484023976</v>
      </c>
      <c r="N85" s="16" t="n">
        <f aca="false">IF($A85=Premissas!$C$25,Premissas!$C$13*E85,IF(I85&gt;0,J85-L85,0))</f>
        <v>221838.614755541</v>
      </c>
      <c r="O85" s="37" t="n">
        <f aca="false">IF($A85&gt;=Premissas!$C$27,Premissas!$C$39*IF(((YEAR($A85)-YEAR(Premissas!$C$27))*12+MONTH($A85)-MONTH(Premissas!$C$27))&lt;Premissas!$C$41,Premissas!$C$42,1),0)</f>
        <v>0.62</v>
      </c>
      <c r="P85" s="16" t="n">
        <f aca="false">O85*Premissas!$C$38*Premissas!$C$40*(1+Premissas!$C$60)^((YEAR($A85)-YEAR(Premissas!$C$19))*12+MONTH($A85)-MONTH(Premissas!$C$19))</f>
        <v>5556.43675649101</v>
      </c>
      <c r="Q85" s="16" t="n">
        <f aca="false">P85*Premissas!$C$43</f>
        <v>889.029881038561</v>
      </c>
      <c r="R85" s="16" t="n">
        <f aca="false">P85*Premissas!$C$44</f>
        <v>1111.2873512982</v>
      </c>
      <c r="S85" s="16" t="n">
        <f aca="false">IF($A85&gt;=Premissas!$C$25,Premissas!$C$45*(1+Premissas!$C$60)^((YEAR($A85)-YEAR(Premissas!$C$19))*12+MONTH($A85)-MONTH(Premissas!$C$19)),0)</f>
        <v>974.129866144987</v>
      </c>
      <c r="T85" s="16" t="n">
        <f aca="false">IF($A85&gt;=Premissas!$C$27,Premissas!$C$46*(1+Premissas!$C$60)^((YEAR($A85)-YEAR(Premissas!$C$19))*12+MONTH($A85)-MONTH(Premissas!$C$19)),0)</f>
        <v>389.651946457995</v>
      </c>
      <c r="U85" s="16" t="n">
        <f aca="false">IF($A85&gt;=Premissas!$C$27,Premissas!$C$47*(1+Premissas!$C$60)^((YEAR($A85)-YEAR(Premissas!$C$19))*12+MONTH($A85)-MONTH(Premissas!$C$19)),0)</f>
        <v>194.825973228997</v>
      </c>
      <c r="V85" s="16" t="n">
        <f aca="false">IF($A85&gt;=Premissas!$C$27,MAX(0,P85-Q85-R85-S85)*Premissas!$C$49,0)</f>
        <v>710.047155952545</v>
      </c>
      <c r="W85" s="16" t="n">
        <f aca="false">P85-Q85-R85-S85-T85-U85-V85</f>
        <v>1287.46458236972</v>
      </c>
      <c r="X85" s="16" t="n">
        <f aca="false">W85-F85-G85-H85-M85</f>
        <v>-4613.17025787004</v>
      </c>
      <c r="Y85" s="16" t="n">
        <f aca="false">Y84+X85</f>
        <v>-514361.688192355</v>
      </c>
      <c r="Z85" s="16" t="n">
        <f aca="false">Premissas!$C$14*(1+Premissas!$C$57)^((YEAR(Premissas!$C$19)-YEAR(Premissas!$C$18))*12+MONTH(Premissas!$C$19)-MONTH(Premissas!$C$18))*(1+Premissas!$C$61)^((YEAR($A85)-YEAR(Premissas!$C$19))*12+MONTH($A85)-MONTH(Premissas!$C$19))</f>
        <v>662047.03908017</v>
      </c>
      <c r="AA85" s="16" t="n">
        <f aca="false">IF($A85&gt;=Premissas!$C$25,Z85*(1-Premissas!$C$53)-N85-Premissas!$C$54*MAX(0,Z85*(1-Premissas!$C$53)-(Premissas!$C$14*(1+Premissas!$C$57)^((YEAR(Premissas!$C$25)-YEAR(Premissas!$C$18))*12+MONTH(Premissas!$C$25)-MONTH(Premissas!$C$18))*(1+Premissas!$C$34))),"")</f>
        <v>388339.178981179</v>
      </c>
      <c r="AB85" s="16" t="n">
        <f aca="false">IF($A85&gt;=Premissas!$C$25,Y85+AA85,"")</f>
        <v>-126022.509211176</v>
      </c>
      <c r="AC85" s="20" t="str">
        <f aca="false">IF(AND($A85&gt;=Premissas!$C$27,W85&gt;=M85),$A85,"")</f>
        <v/>
      </c>
      <c r="AD85" s="20" t="str">
        <f aca="false">IF(AND($A85&gt;=Premissas!$C$27,Y85&gt;=0),$A85,"")</f>
        <v/>
      </c>
      <c r="AE85" s="20" t="str">
        <f aca="false">IF(AND($A85&gt;=Premissas!$C$25,N(AB85)&gt;=0),$A85,"")</f>
        <v/>
      </c>
    </row>
    <row r="86" customFormat="false" ht="15" hidden="false" customHeight="false" outlineLevel="0" collapsed="false">
      <c r="A86" s="20" t="n">
        <f aca="false">DATE(YEAR(A85),MONTH(A85)+1,1)</f>
        <v>48853</v>
      </c>
      <c r="B86" s="5" t="str">
        <f aca="false">IF($A86&lt;Premissas!$C$25,"Obra",IF($A86=Premissas!$C$25,"Chaves",IF($A86&lt;Premissas!$C$27,"Mobiliando","Airbnb")))</f>
        <v>Airbnb</v>
      </c>
      <c r="C86" s="35" t="n">
        <f aca="false">(YEAR($A86)-YEAR(Premissas!$C$18))*12+MONTH($A86)-MONTH(Premissas!$C$18)</f>
        <v>85</v>
      </c>
      <c r="D86" s="16" t="n">
        <f aca="false">($A86=Premissas!$C$19)*Premissas!$C$8+(($A86=EDATE(Premissas!$C$19,1))+($A86=EDATE(Premissas!$C$19,2)))*Premissas!$C$9+AND($A86&gt;=Premissas!$C$20,$A86&lt;EDATE(Premissas!$C$20,Premissas!$C$21))*Premissas!$C$10+(($A86=Premissas!$C$22)+($A86=Premissas!$C$23)+($A86=Premissas!$C$24))*Premissas!$C$11+($A86=Premissas!$C$25)*Premissas!$C$12</f>
        <v>0</v>
      </c>
      <c r="E86" s="36" t="n">
        <f aca="false">(1+Premissas!$C$57)^C86</f>
        <v>1.46118404836328</v>
      </c>
      <c r="F86" s="16" t="n">
        <f aca="false">D86*E86</f>
        <v>0</v>
      </c>
      <c r="G86" s="16" t="n">
        <f aca="false">($A86=Premissas!$C$25)*Premissas!$C$34*Premissas!$C$14*(1+Premissas!$C$57)^C86</f>
        <v>0</v>
      </c>
      <c r="H86" s="16" t="n">
        <f aca="false">IF(AND($A86&gt;Premissas!$C$25,$A86&lt;Premissas!$C$27),Premissas!$C$35/MAX(1,Premissas!$C$26),0)</f>
        <v>0</v>
      </c>
      <c r="I86" s="35" t="n">
        <f aca="false">IF(AND($A86&gt;Premissas!$C$25,((YEAR($A86)-YEAR(Premissas!$C$25))*12+MONTH($A86)-MONTH(Premissas!$C$25))&lt;=Premissas!$C$32),((YEAR($A86)-YEAR(Premissas!$C$25))*12+MONTH($A86)-MONTH(Premissas!$C$25)),0)</f>
        <v>62</v>
      </c>
      <c r="J86" s="16" t="n">
        <f aca="false">IF(I86&gt;0,N85*(1+Premissas!$C$59),0)</f>
        <v>222564.856653895</v>
      </c>
      <c r="K86" s="16" t="n">
        <f aca="false">J86*Premissas!$C$58</f>
        <v>2111.87183930396</v>
      </c>
      <c r="L86" s="16" t="n">
        <f aca="false">IF(I86&gt;0,J86/(Premissas!$C$32-I86+1),0)</f>
        <v>3772.28570599821</v>
      </c>
      <c r="M86" s="16" t="n">
        <f aca="false">K86+L86</f>
        <v>5884.15754530218</v>
      </c>
      <c r="N86" s="16" t="n">
        <f aca="false">IF($A86=Premissas!$C$25,Premissas!$C$13*E86,IF(I86&gt;0,J86-L86,0))</f>
        <v>218792.570947896</v>
      </c>
      <c r="O86" s="37" t="n">
        <f aca="false">IF($A86&gt;=Premissas!$C$27,Premissas!$C$39*IF(((YEAR($A86)-YEAR(Premissas!$C$27))*12+MONTH($A86)-MONTH(Premissas!$C$27))&lt;Premissas!$C$41,Premissas!$C$42,1),0)</f>
        <v>0.62</v>
      </c>
      <c r="P86" s="16" t="n">
        <f aca="false">O86*Premissas!$C$38*Premissas!$C$40*(1+Premissas!$C$60)^((YEAR($A86)-YEAR(Premissas!$C$19))*12+MONTH($A86)-MONTH(Premissas!$C$19))</f>
        <v>5574.627084548</v>
      </c>
      <c r="Q86" s="16" t="n">
        <f aca="false">P86*Premissas!$C$43</f>
        <v>891.94033352768</v>
      </c>
      <c r="R86" s="16" t="n">
        <f aca="false">P86*Premissas!$C$44</f>
        <v>1114.9254169096</v>
      </c>
      <c r="S86" s="16" t="n">
        <f aca="false">IF($A86&gt;=Premissas!$C$25,Premissas!$C$45*(1+Premissas!$C$60)^((YEAR($A86)-YEAR(Premissas!$C$19))*12+MONTH($A86)-MONTH(Premissas!$C$19)),0)</f>
        <v>977.318913840814</v>
      </c>
      <c r="T86" s="16" t="n">
        <f aca="false">IF($A86&gt;=Premissas!$C$27,Premissas!$C$46*(1+Premissas!$C$60)^((YEAR($A86)-YEAR(Premissas!$C$19))*12+MONTH($A86)-MONTH(Premissas!$C$19)),0)</f>
        <v>390.927565536326</v>
      </c>
      <c r="U86" s="16" t="n">
        <f aca="false">IF($A86&gt;=Premissas!$C$27,Premissas!$C$47*(1+Premissas!$C$60)^((YEAR($A86)-YEAR(Premissas!$C$19))*12+MONTH($A86)-MONTH(Premissas!$C$19)),0)</f>
        <v>195.463782768163</v>
      </c>
      <c r="V86" s="16" t="n">
        <f aca="false">IF($A86&gt;=Premissas!$C$27,MAX(0,P86-Q86-R86-S86)*Premissas!$C$49,0)</f>
        <v>712.371665574225</v>
      </c>
      <c r="W86" s="16" t="n">
        <f aca="false">P86-Q86-R86-S86-T86-U86-V86</f>
        <v>1291.6794063912</v>
      </c>
      <c r="X86" s="16" t="n">
        <f aca="false">W86-F86-G86-H86-M86</f>
        <v>-4592.47813891098</v>
      </c>
      <c r="Y86" s="16" t="n">
        <f aca="false">Y85+X86</f>
        <v>-518954.166331266</v>
      </c>
      <c r="Z86" s="16" t="n">
        <f aca="false">Premissas!$C$14*(1+Premissas!$C$57)^((YEAR(Premissas!$C$19)-YEAR(Premissas!$C$18))*12+MONTH(Premissas!$C$19)-MONTH(Premissas!$C$18))*(1+Premissas!$C$61)^((YEAR($A86)-YEAR(Premissas!$C$19))*12+MONTH($A86)-MONTH(Premissas!$C$19))</f>
        <v>664744.30066798</v>
      </c>
      <c r="AA86" s="16" t="n">
        <f aca="false">IF($A86&gt;=Premissas!$C$25,Z86*(1-Premissas!$C$53)-N86-Premissas!$C$54*MAX(0,Z86*(1-Premissas!$C$53)-(Premissas!$C$14*(1+Premissas!$C$57)^((YEAR(Premissas!$C$25)-YEAR(Premissas!$C$18))*12+MONTH(Premissas!$C$25)-MONTH(Premissas!$C$18))*(1+Premissas!$C$34))),"")</f>
        <v>393540.334797485</v>
      </c>
      <c r="AB86" s="16" t="n">
        <f aca="false">IF($A86&gt;=Premissas!$C$25,Y86+AA86,"")</f>
        <v>-125413.831533781</v>
      </c>
      <c r="AC86" s="20" t="str">
        <f aca="false">IF(AND($A86&gt;=Premissas!$C$27,W86&gt;=M86),$A86,"")</f>
        <v/>
      </c>
      <c r="AD86" s="20" t="str">
        <f aca="false">IF(AND($A86&gt;=Premissas!$C$27,Y86&gt;=0),$A86,"")</f>
        <v/>
      </c>
      <c r="AE86" s="20" t="str">
        <f aca="false">IF(AND($A86&gt;=Premissas!$C$25,N(AB86)&gt;=0),$A86,"")</f>
        <v/>
      </c>
    </row>
    <row r="87" customFormat="false" ht="15" hidden="false" customHeight="false" outlineLevel="0" collapsed="false">
      <c r="A87" s="20" t="n">
        <f aca="false">DATE(YEAR(A86),MONTH(A86)+1,1)</f>
        <v>48884</v>
      </c>
      <c r="B87" s="5" t="str">
        <f aca="false">IF($A87&lt;Premissas!$C$25,"Obra",IF($A87=Premissas!$C$25,"Chaves",IF($A87&lt;Premissas!$C$27,"Mobiliando","Airbnb")))</f>
        <v>Airbnb</v>
      </c>
      <c r="C87" s="35" t="n">
        <f aca="false">(YEAR($A87)-YEAR(Premissas!$C$18))*12+MONTH($A87)-MONTH(Premissas!$C$18)</f>
        <v>86</v>
      </c>
      <c r="D87" s="16" t="n">
        <f aca="false">($A87=Premissas!$C$19)*Premissas!$C$8+(($A87=EDATE(Premissas!$C$19,1))+($A87=EDATE(Premissas!$C$19,2)))*Premissas!$C$9+AND($A87&gt;=Premissas!$C$20,$A87&lt;EDATE(Premissas!$C$20,Premissas!$C$21))*Premissas!$C$10+(($A87=Premissas!$C$22)+($A87=Premissas!$C$23)+($A87=Premissas!$C$24))*Premissas!$C$11+($A87=Premissas!$C$25)*Premissas!$C$12</f>
        <v>0</v>
      </c>
      <c r="E87" s="36" t="n">
        <f aca="false">(1+Premissas!$C$57)^C87</f>
        <v>1.46771802348995</v>
      </c>
      <c r="F87" s="16" t="n">
        <f aca="false">D87*E87</f>
        <v>0</v>
      </c>
      <c r="G87" s="16" t="n">
        <f aca="false">($A87=Premissas!$C$25)*Premissas!$C$34*Premissas!$C$14*(1+Premissas!$C$57)^C87</f>
        <v>0</v>
      </c>
      <c r="H87" s="16" t="n">
        <f aca="false">IF(AND($A87&gt;Premissas!$C$25,$A87&lt;Premissas!$C$27),Premissas!$C$35/MAX(1,Premissas!$C$26),0)</f>
        <v>0</v>
      </c>
      <c r="I87" s="35" t="n">
        <f aca="false">IF(AND($A87&gt;Premissas!$C$25,((YEAR($A87)-YEAR(Premissas!$C$25))*12+MONTH($A87)-MONTH(Premissas!$C$25))&lt;=Premissas!$C$32),((YEAR($A87)-YEAR(Premissas!$C$25))*12+MONTH($A87)-MONTH(Premissas!$C$25)),0)</f>
        <v>63</v>
      </c>
      <c r="J87" s="16" t="n">
        <f aca="false">IF(I87&gt;0,N86*(1+Premissas!$C$59),0)</f>
        <v>219508.840891458</v>
      </c>
      <c r="K87" s="16" t="n">
        <f aca="false">J87*Premissas!$C$58</f>
        <v>2082.87393852938</v>
      </c>
      <c r="L87" s="16" t="n">
        <f aca="false">IF(I87&gt;0,J87/(Premissas!$C$32-I87+1),0)</f>
        <v>3784.63518778376</v>
      </c>
      <c r="M87" s="16" t="n">
        <f aca="false">K87+L87</f>
        <v>5867.50912631314</v>
      </c>
      <c r="N87" s="16" t="n">
        <f aca="false">IF($A87=Premissas!$C$25,Premissas!$C$13*E87,IF(I87&gt;0,J87-L87,0))</f>
        <v>215724.205703674</v>
      </c>
      <c r="O87" s="37" t="n">
        <f aca="false">IF($A87&gt;=Premissas!$C$27,Premissas!$C$39*IF(((YEAR($A87)-YEAR(Premissas!$C$27))*12+MONTH($A87)-MONTH(Premissas!$C$27))&lt;Premissas!$C$41,Premissas!$C$42,1),0)</f>
        <v>0.62</v>
      </c>
      <c r="P87" s="16" t="n">
        <f aca="false">O87*Premissas!$C$38*Premissas!$C$40*(1+Premissas!$C$60)^((YEAR($A87)-YEAR(Premissas!$C$19))*12+MONTH($A87)-MONTH(Premissas!$C$19))</f>
        <v>5592.87696300561</v>
      </c>
      <c r="Q87" s="16" t="n">
        <f aca="false">P87*Premissas!$C$43</f>
        <v>894.860314080898</v>
      </c>
      <c r="R87" s="16" t="n">
        <f aca="false">P87*Premissas!$C$44</f>
        <v>1118.57539260112</v>
      </c>
      <c r="S87" s="16" t="n">
        <f aca="false">IF($A87&gt;=Premissas!$C$25,Premissas!$C$45*(1+Premissas!$C$60)^((YEAR($A87)-YEAR(Premissas!$C$19))*12+MONTH($A87)-MONTH(Premissas!$C$19)),0)</f>
        <v>980.51840164895</v>
      </c>
      <c r="T87" s="16" t="n">
        <f aca="false">IF($A87&gt;=Premissas!$C$27,Premissas!$C$46*(1+Premissas!$C$60)^((YEAR($A87)-YEAR(Premissas!$C$19))*12+MONTH($A87)-MONTH(Premissas!$C$19)),0)</f>
        <v>392.20736065958</v>
      </c>
      <c r="U87" s="16" t="n">
        <f aca="false">IF($A87&gt;=Premissas!$C$27,Premissas!$C$47*(1+Premissas!$C$60)^((YEAR($A87)-YEAR(Premissas!$C$19))*12+MONTH($A87)-MONTH(Premissas!$C$19)),0)</f>
        <v>196.10368032979</v>
      </c>
      <c r="V87" s="16" t="n">
        <f aca="false">IF($A87&gt;=Premissas!$C$27,MAX(0,P87-Q87-R87-S87)*Premissas!$C$49,0)</f>
        <v>714.703785035526</v>
      </c>
      <c r="W87" s="16" t="n">
        <f aca="false">P87-Q87-R87-S87-T87-U87-V87</f>
        <v>1295.90802864975</v>
      </c>
      <c r="X87" s="16" t="n">
        <f aca="false">W87-F87-G87-H87-M87</f>
        <v>-4571.6010976634</v>
      </c>
      <c r="Y87" s="16" t="n">
        <f aca="false">Y86+X87</f>
        <v>-523525.767428929</v>
      </c>
      <c r="Z87" s="16" t="n">
        <f aca="false">Premissas!$C$14*(1+Premissas!$C$57)^((YEAR(Premissas!$C$19)-YEAR(Premissas!$C$18))*12+MONTH(Premissas!$C$19)-MONTH(Premissas!$C$18))*(1+Premissas!$C$61)^((YEAR($A87)-YEAR(Premissas!$C$19))*12+MONTH($A87)-MONTH(Premissas!$C$19))</f>
        <v>667452.551233376</v>
      </c>
      <c r="AA87" s="16" t="n">
        <f aca="false">IF($A87&gt;=Premissas!$C$25,Z87*(1-Premissas!$C$53)-N87-Premissas!$C$54*MAX(0,Z87*(1-Premissas!$C$53)-(Premissas!$C$14*(1+Premissas!$C$57)^((YEAR(Premissas!$C$25)-YEAR(Premissas!$C$18))*12+MONTH(Premissas!$C$25)-MONTH(Premissas!$C$18))*(1+Premissas!$C$34))),"")</f>
        <v>398772.592243459</v>
      </c>
      <c r="AB87" s="16" t="n">
        <f aca="false">IF($A87&gt;=Premissas!$C$25,Y87+AA87,"")</f>
        <v>-124753.175185471</v>
      </c>
      <c r="AC87" s="20" t="str">
        <f aca="false">IF(AND($A87&gt;=Premissas!$C$27,W87&gt;=M87),$A87,"")</f>
        <v/>
      </c>
      <c r="AD87" s="20" t="str">
        <f aca="false">IF(AND($A87&gt;=Premissas!$C$27,Y87&gt;=0),$A87,"")</f>
        <v/>
      </c>
      <c r="AE87" s="20" t="str">
        <f aca="false">IF(AND($A87&gt;=Premissas!$C$25,N(AB87)&gt;=0),$A87,"")</f>
        <v/>
      </c>
    </row>
    <row r="88" customFormat="false" ht="15" hidden="false" customHeight="false" outlineLevel="0" collapsed="false">
      <c r="A88" s="20" t="n">
        <f aca="false">DATE(YEAR(A87),MONTH(A87)+1,1)</f>
        <v>48914</v>
      </c>
      <c r="B88" s="5" t="str">
        <f aca="false">IF($A88&lt;Premissas!$C$25,"Obra",IF($A88=Premissas!$C$25,"Chaves",IF($A88&lt;Premissas!$C$27,"Mobiliando","Airbnb")))</f>
        <v>Airbnb</v>
      </c>
      <c r="C88" s="35" t="n">
        <f aca="false">(YEAR($A88)-YEAR(Premissas!$C$18))*12+MONTH($A88)-MONTH(Premissas!$C$18)</f>
        <v>87</v>
      </c>
      <c r="D88" s="16" t="n">
        <f aca="false">($A88=Premissas!$C$19)*Premissas!$C$8+(($A88=EDATE(Premissas!$C$19,1))+($A88=EDATE(Premissas!$C$19,2)))*Premissas!$C$9+AND($A88&gt;=Premissas!$C$20,$A88&lt;EDATE(Premissas!$C$20,Premissas!$C$21))*Premissas!$C$10+(($A88=Premissas!$C$22)+($A88=Premissas!$C$23)+($A88=Premissas!$C$24))*Premissas!$C$11+($A88=Premissas!$C$25)*Premissas!$C$12</f>
        <v>0</v>
      </c>
      <c r="E88" s="36" t="n">
        <f aca="false">(1+Premissas!$C$57)^C88</f>
        <v>1.47428121658611</v>
      </c>
      <c r="F88" s="16" t="n">
        <f aca="false">D88*E88</f>
        <v>0</v>
      </c>
      <c r="G88" s="16" t="n">
        <f aca="false">($A88=Premissas!$C$25)*Premissas!$C$34*Premissas!$C$14*(1+Premissas!$C$57)^C88</f>
        <v>0</v>
      </c>
      <c r="H88" s="16" t="n">
        <f aca="false">IF(AND($A88&gt;Premissas!$C$25,$A88&lt;Premissas!$C$27),Premissas!$C$35/MAX(1,Premissas!$C$26),0)</f>
        <v>0</v>
      </c>
      <c r="I88" s="35" t="n">
        <f aca="false">IF(AND($A88&gt;Premissas!$C$25,((YEAR($A88)-YEAR(Premissas!$C$25))*12+MONTH($A88)-MONTH(Premissas!$C$25))&lt;=Premissas!$C$32),((YEAR($A88)-YEAR(Premissas!$C$25))*12+MONTH($A88)-MONTH(Premissas!$C$25)),0)</f>
        <v>64</v>
      </c>
      <c r="J88" s="16" t="n">
        <f aca="false">IF(I88&gt;0,N87*(1+Premissas!$C$59),0)</f>
        <v>216430.43061787</v>
      </c>
      <c r="K88" s="16" t="n">
        <f aca="false">J88*Premissas!$C$58</f>
        <v>2053.66354087561</v>
      </c>
      <c r="L88" s="16" t="n">
        <f aca="false">IF(I88&gt;0,J88/(Premissas!$C$32-I88+1),0)</f>
        <v>3797.02509855912</v>
      </c>
      <c r="M88" s="16" t="n">
        <f aca="false">K88+L88</f>
        <v>5850.68863943473</v>
      </c>
      <c r="N88" s="16" t="n">
        <f aca="false">IF($A88=Premissas!$C$25,Premissas!$C$13*E88,IF(I88&gt;0,J88-L88,0))</f>
        <v>212633.405519311</v>
      </c>
      <c r="O88" s="37" t="n">
        <f aca="false">IF($A88&gt;=Premissas!$C$27,Premissas!$C$39*IF(((YEAR($A88)-YEAR(Premissas!$C$27))*12+MONTH($A88)-MONTH(Premissas!$C$27))&lt;Premissas!$C$41,Premissas!$C$42,1),0)</f>
        <v>0.62</v>
      </c>
      <c r="P88" s="16" t="n">
        <f aca="false">O88*Premissas!$C$38*Premissas!$C$40*(1+Premissas!$C$60)^((YEAR($A88)-YEAR(Premissas!$C$19))*12+MONTH($A88)-MONTH(Premissas!$C$19))</f>
        <v>5611.18658681635</v>
      </c>
      <c r="Q88" s="16" t="n">
        <f aca="false">P88*Premissas!$C$43</f>
        <v>897.789853890615</v>
      </c>
      <c r="R88" s="16" t="n">
        <f aca="false">P88*Premissas!$C$44</f>
        <v>1122.23731736327</v>
      </c>
      <c r="S88" s="16" t="n">
        <f aca="false">IF($A88&gt;=Premissas!$C$25,Premissas!$C$45*(1+Premissas!$C$60)^((YEAR($A88)-YEAR(Premissas!$C$19))*12+MONTH($A88)-MONTH(Premissas!$C$19)),0)</f>
        <v>983.728363747606</v>
      </c>
      <c r="T88" s="16" t="n">
        <f aca="false">IF($A88&gt;=Premissas!$C$27,Premissas!$C$46*(1+Premissas!$C$60)^((YEAR($A88)-YEAR(Premissas!$C$19))*12+MONTH($A88)-MONTH(Premissas!$C$19)),0)</f>
        <v>393.491345499043</v>
      </c>
      <c r="U88" s="16" t="n">
        <f aca="false">IF($A88&gt;=Premissas!$C$27,Premissas!$C$47*(1+Premissas!$C$60)^((YEAR($A88)-YEAR(Premissas!$C$19))*12+MONTH($A88)-MONTH(Premissas!$C$19)),0)</f>
        <v>196.745672749521</v>
      </c>
      <c r="V88" s="16" t="n">
        <f aca="false">IF($A88&gt;=Premissas!$C$27,MAX(0,P88-Q88-R88-S88)*Premissas!$C$49,0)</f>
        <v>717.043539249085</v>
      </c>
      <c r="W88" s="16" t="n">
        <f aca="false">P88-Q88-R88-S88-T88-U88-V88</f>
        <v>1300.15049431721</v>
      </c>
      <c r="X88" s="16" t="n">
        <f aca="false">W88-F88-G88-H88-M88</f>
        <v>-4550.53814511752</v>
      </c>
      <c r="Y88" s="16" t="n">
        <f aca="false">Y87+X88</f>
        <v>-528076.305574047</v>
      </c>
      <c r="Z88" s="16" t="n">
        <f aca="false">Premissas!$C$14*(1+Premissas!$C$57)^((YEAR(Premissas!$C$19)-YEAR(Premissas!$C$18))*12+MONTH(Premissas!$C$19)-MONTH(Premissas!$C$18))*(1+Premissas!$C$61)^((YEAR($A88)-YEAR(Premissas!$C$19))*12+MONTH($A88)-MONTH(Premissas!$C$19))</f>
        <v>670171.835546813</v>
      </c>
      <c r="AA88" s="16" t="n">
        <f aca="false">IF($A88&gt;=Premissas!$C$25,Z88*(1-Premissas!$C$53)-N88-Premissas!$C$54*MAX(0,Z88*(1-Premissas!$C$53)-(Premissas!$C$14*(1+Premissas!$C$57)^((YEAR(Premissas!$C$25)-YEAR(Premissas!$C$18))*12+MONTH(Premissas!$C$25)-MONTH(Premissas!$C$18))*(1+Premissas!$C$34))),"")</f>
        <v>404036.100594258</v>
      </c>
      <c r="AB88" s="16" t="n">
        <f aca="false">IF($A88&gt;=Premissas!$C$25,Y88+AA88,"")</f>
        <v>-124040.204979789</v>
      </c>
      <c r="AC88" s="20" t="str">
        <f aca="false">IF(AND($A88&gt;=Premissas!$C$27,W88&gt;=M88),$A88,"")</f>
        <v/>
      </c>
      <c r="AD88" s="20" t="str">
        <f aca="false">IF(AND($A88&gt;=Premissas!$C$27,Y88&gt;=0),$A88,"")</f>
        <v/>
      </c>
      <c r="AE88" s="20" t="str">
        <f aca="false">IF(AND($A88&gt;=Premissas!$C$25,N(AB88)&gt;=0),$A88,"")</f>
        <v/>
      </c>
    </row>
    <row r="89" customFormat="false" ht="15" hidden="false" customHeight="false" outlineLevel="0" collapsed="false">
      <c r="A89" s="29" t="n">
        <f aca="false">DATE(YEAR(A88),MONTH(A88)+1,1)</f>
        <v>48945</v>
      </c>
      <c r="B89" s="30" t="str">
        <f aca="false">IF($A89&lt;Premissas!$C$25,"Obra",IF($A89=Premissas!$C$25,"Chaves",IF($A89&lt;Premissas!$C$27,"Mobiliando","Airbnb")))</f>
        <v>Airbnb</v>
      </c>
      <c r="C89" s="31" t="n">
        <f aca="false">(YEAR($A89)-YEAR(Premissas!$C$18))*12+MONTH($A89)-MONTH(Premissas!$C$18)</f>
        <v>88</v>
      </c>
      <c r="D89" s="32" t="n">
        <f aca="false">($A89=Premissas!$C$19)*Premissas!$C$8+(($A89=EDATE(Premissas!$C$19,1))+($A89=EDATE(Premissas!$C$19,2)))*Premissas!$C$9+AND($A89&gt;=Premissas!$C$20,$A89&lt;EDATE(Premissas!$C$20,Premissas!$C$21))*Premissas!$C$10+(($A89=Premissas!$C$22)+($A89=Premissas!$C$23)+($A89=Premissas!$C$24))*Premissas!$C$11+($A89=Premissas!$C$25)*Premissas!$C$12</f>
        <v>0</v>
      </c>
      <c r="E89" s="33" t="n">
        <f aca="false">(1+Premissas!$C$57)^C89</f>
        <v>1.48087375830574</v>
      </c>
      <c r="F89" s="32" t="n">
        <f aca="false">D89*E89</f>
        <v>0</v>
      </c>
      <c r="G89" s="32" t="n">
        <f aca="false">($A89=Premissas!$C$25)*Premissas!$C$34*Premissas!$C$14*(1+Premissas!$C$57)^C89</f>
        <v>0</v>
      </c>
      <c r="H89" s="32" t="n">
        <f aca="false">IF(AND($A89&gt;Premissas!$C$25,$A89&lt;Premissas!$C$27),Premissas!$C$35/MAX(1,Premissas!$C$26),0)</f>
        <v>0</v>
      </c>
      <c r="I89" s="31" t="n">
        <f aca="false">IF(AND($A89&gt;Premissas!$C$25,((YEAR($A89)-YEAR(Premissas!$C$25))*12+MONTH($A89)-MONTH(Premissas!$C$25))&lt;=Premissas!$C$32),((YEAR($A89)-YEAR(Premissas!$C$25))*12+MONTH($A89)-MONTH(Premissas!$C$25)),0)</f>
        <v>65</v>
      </c>
      <c r="J89" s="32" t="n">
        <f aca="false">IF(I89&gt;0,N88*(1+Premissas!$C$59),0)</f>
        <v>213329.511957984</v>
      </c>
      <c r="K89" s="32" t="n">
        <f aca="false">J89*Premissas!$C$58</f>
        <v>2024.23956580496</v>
      </c>
      <c r="L89" s="32" t="n">
        <f aca="false">IF(I89&gt;0,J89/(Premissas!$C$32-I89+1),0)</f>
        <v>3809.45557067828</v>
      </c>
      <c r="M89" s="32" t="n">
        <f aca="false">K89+L89</f>
        <v>5833.69513648324</v>
      </c>
      <c r="N89" s="32" t="n">
        <f aca="false">IF($A89=Premissas!$C$25,Premissas!$C$13*E89,IF(I89&gt;0,J89-L89,0))</f>
        <v>209520.056387305</v>
      </c>
      <c r="O89" s="34" t="n">
        <f aca="false">IF($A89&gt;=Premissas!$C$27,Premissas!$C$39*IF(((YEAR($A89)-YEAR(Premissas!$C$27))*12+MONTH($A89)-MONTH(Premissas!$C$27))&lt;Premissas!$C$41,Premissas!$C$42,1),0)</f>
        <v>0.62</v>
      </c>
      <c r="P89" s="32" t="n">
        <f aca="false">O89*Premissas!$C$38*Premissas!$C$40*(1+Premissas!$C$60)^((YEAR($A89)-YEAR(Premissas!$C$19))*12+MONTH($A89)-MONTH(Premissas!$C$19))</f>
        <v>5629.55615157095</v>
      </c>
      <c r="Q89" s="32" t="n">
        <f aca="false">P89*Premissas!$C$43</f>
        <v>900.728984251352</v>
      </c>
      <c r="R89" s="32" t="n">
        <f aca="false">P89*Premissas!$C$44</f>
        <v>1125.91123031419</v>
      </c>
      <c r="S89" s="32" t="n">
        <f aca="false">IF($A89&gt;=Premissas!$C$25,Premissas!$C$45*(1+Premissas!$C$60)^((YEAR($A89)-YEAR(Premissas!$C$19))*12+MONTH($A89)-MONTH(Premissas!$C$19)),0)</f>
        <v>986.948834426884</v>
      </c>
      <c r="T89" s="32" t="n">
        <f aca="false">IF($A89&gt;=Premissas!$C$27,Premissas!$C$46*(1+Premissas!$C$60)^((YEAR($A89)-YEAR(Premissas!$C$19))*12+MONTH($A89)-MONTH(Premissas!$C$19)),0)</f>
        <v>394.779533770754</v>
      </c>
      <c r="U89" s="32" t="n">
        <f aca="false">IF($A89&gt;=Premissas!$C$27,Premissas!$C$47*(1+Premissas!$C$60)^((YEAR($A89)-YEAR(Premissas!$C$19))*12+MONTH($A89)-MONTH(Premissas!$C$19)),0)</f>
        <v>197.389766885377</v>
      </c>
      <c r="V89" s="32" t="n">
        <f aca="false">IF($A89&gt;=Premissas!$C$27,MAX(0,P89-Q89-R89-S89)*Premissas!$C$49,0)</f>
        <v>719.390953209094</v>
      </c>
      <c r="W89" s="32" t="n">
        <f aca="false">P89-Q89-R89-S89-T89-U89-V89</f>
        <v>1304.4068487133</v>
      </c>
      <c r="X89" s="32" t="n">
        <f aca="false">W89-F89-G89-H89-M89</f>
        <v>-4529.28828776994</v>
      </c>
      <c r="Y89" s="32" t="n">
        <f aca="false">Y88+X89</f>
        <v>-532605.593861817</v>
      </c>
      <c r="Z89" s="32" t="n">
        <f aca="false">Premissas!$C$14*(1+Premissas!$C$57)^((YEAR(Premissas!$C$19)-YEAR(Premissas!$C$18))*12+MONTH(Premissas!$C$19)-MONTH(Premissas!$C$18))*(1+Premissas!$C$61)^((YEAR($A89)-YEAR(Premissas!$C$19))*12+MONTH($A89)-MONTH(Premissas!$C$19))</f>
        <v>672902.198561146</v>
      </c>
      <c r="AA89" s="32" t="n">
        <f aca="false">IF($A89&gt;=Premissas!$C$25,Z89*(1-Premissas!$C$53)-N89-Premissas!$C$54*MAX(0,Z89*(1-Premissas!$C$53)-(Premissas!$C$14*(1+Premissas!$C$57)^((YEAR(Premissas!$C$25)-YEAR(Premissas!$C$18))*12+MONTH(Premissas!$C$25)-MONTH(Premissas!$C$18))*(1+Premissas!$C$34))),"")</f>
        <v>409331.009774715</v>
      </c>
      <c r="AB89" s="32" t="n">
        <f aca="false">IF($A89&gt;=Premissas!$C$25,Y89+AA89,"")</f>
        <v>-123274.584087102</v>
      </c>
      <c r="AC89" s="29" t="str">
        <f aca="false">IF(AND($A89&gt;=Premissas!$C$27,W89&gt;=M89),$A89,"")</f>
        <v/>
      </c>
      <c r="AD89" s="29" t="str">
        <f aca="false">IF(AND($A89&gt;=Premissas!$C$27,Y89&gt;=0),$A89,"")</f>
        <v/>
      </c>
      <c r="AE89" s="29" t="str">
        <f aca="false">IF(AND($A89&gt;=Premissas!$C$25,N(AB89)&gt;=0),$A89,"")</f>
        <v/>
      </c>
    </row>
    <row r="90" customFormat="false" ht="15" hidden="false" customHeight="false" outlineLevel="0" collapsed="false">
      <c r="A90" s="20" t="n">
        <f aca="false">DATE(YEAR(A89),MONTH(A89)+1,1)</f>
        <v>48976</v>
      </c>
      <c r="B90" s="5" t="str">
        <f aca="false">IF($A90&lt;Premissas!$C$25,"Obra",IF($A90=Premissas!$C$25,"Chaves",IF($A90&lt;Premissas!$C$27,"Mobiliando","Airbnb")))</f>
        <v>Airbnb</v>
      </c>
      <c r="C90" s="35" t="n">
        <f aca="false">(YEAR($A90)-YEAR(Premissas!$C$18))*12+MONTH($A90)-MONTH(Premissas!$C$18)</f>
        <v>89</v>
      </c>
      <c r="D90" s="16" t="n">
        <f aca="false">($A90=Premissas!$C$19)*Premissas!$C$8+(($A90=EDATE(Premissas!$C$19,1))+($A90=EDATE(Premissas!$C$19,2)))*Premissas!$C$9+AND($A90&gt;=Premissas!$C$20,$A90&lt;EDATE(Premissas!$C$20,Premissas!$C$21))*Premissas!$C$10+(($A90=Premissas!$C$22)+($A90=Premissas!$C$23)+($A90=Premissas!$C$24))*Premissas!$C$11+($A90=Premissas!$C$25)*Premissas!$C$12</f>
        <v>0</v>
      </c>
      <c r="E90" s="36" t="n">
        <f aca="false">(1+Premissas!$C$57)^C90</f>
        <v>1.48749577988703</v>
      </c>
      <c r="F90" s="16" t="n">
        <f aca="false">D90*E90</f>
        <v>0</v>
      </c>
      <c r="G90" s="16" t="n">
        <f aca="false">($A90=Premissas!$C$25)*Premissas!$C$34*Premissas!$C$14*(1+Premissas!$C$57)^C90</f>
        <v>0</v>
      </c>
      <c r="H90" s="16" t="n">
        <f aca="false">IF(AND($A90&gt;Premissas!$C$25,$A90&lt;Premissas!$C$27),Premissas!$C$35/MAX(1,Premissas!$C$26),0)</f>
        <v>0</v>
      </c>
      <c r="I90" s="35" t="n">
        <f aca="false">IF(AND($A90&gt;Premissas!$C$25,((YEAR($A90)-YEAR(Premissas!$C$25))*12+MONTH($A90)-MONTH(Premissas!$C$25))&lt;=Premissas!$C$32),((YEAR($A90)-YEAR(Premissas!$C$25))*12+MONTH($A90)-MONTH(Premissas!$C$25)),0)</f>
        <v>66</v>
      </c>
      <c r="J90" s="16" t="n">
        <f aca="false">IF(I90&gt;0,N89*(1+Premissas!$C$59),0)</f>
        <v>210205.970531069</v>
      </c>
      <c r="K90" s="16" t="n">
        <f aca="false">J90*Premissas!$C$58</f>
        <v>1994.60092798238</v>
      </c>
      <c r="L90" s="16" t="n">
        <f aca="false">IF(I90&gt;0,J90/(Premissas!$C$32-I90+1),0)</f>
        <v>3821.92673692853</v>
      </c>
      <c r="M90" s="16" t="n">
        <f aca="false">K90+L90</f>
        <v>5816.52766491091</v>
      </c>
      <c r="N90" s="16" t="n">
        <f aca="false">IF($A90=Premissas!$C$25,Premissas!$C$13*E90,IF(I90&gt;0,J90-L90,0))</f>
        <v>206384.04379414</v>
      </c>
      <c r="O90" s="37" t="n">
        <f aca="false">IF($A90&gt;=Premissas!$C$27,Premissas!$C$39*IF(((YEAR($A90)-YEAR(Premissas!$C$27))*12+MONTH($A90)-MONTH(Premissas!$C$27))&lt;Premissas!$C$41,Premissas!$C$42,1),0)</f>
        <v>0.62</v>
      </c>
      <c r="P90" s="16" t="n">
        <f aca="false">O90*Premissas!$C$38*Premissas!$C$40*(1+Premissas!$C$60)^((YEAR($A90)-YEAR(Premissas!$C$19))*12+MONTH($A90)-MONTH(Premissas!$C$19))</f>
        <v>5647.98585350047</v>
      </c>
      <c r="Q90" s="16" t="n">
        <f aca="false">P90*Premissas!$C$43</f>
        <v>903.677736560075</v>
      </c>
      <c r="R90" s="16" t="n">
        <f aca="false">P90*Premissas!$C$44</f>
        <v>1129.59717070009</v>
      </c>
      <c r="S90" s="16" t="n">
        <f aca="false">IF($A90&gt;=Premissas!$C$25,Premissas!$C$45*(1+Premissas!$C$60)^((YEAR($A90)-YEAR(Premissas!$C$19))*12+MONTH($A90)-MONTH(Premissas!$C$19)),0)</f>
        <v>990.179848089142</v>
      </c>
      <c r="T90" s="16" t="n">
        <f aca="false">IF($A90&gt;=Premissas!$C$27,Premissas!$C$46*(1+Premissas!$C$60)^((YEAR($A90)-YEAR(Premissas!$C$19))*12+MONTH($A90)-MONTH(Premissas!$C$19)),0)</f>
        <v>396.071939235657</v>
      </c>
      <c r="U90" s="16" t="n">
        <f aca="false">IF($A90&gt;=Premissas!$C$27,Premissas!$C$47*(1+Premissas!$C$60)^((YEAR($A90)-YEAR(Premissas!$C$19))*12+MONTH($A90)-MONTH(Premissas!$C$19)),0)</f>
        <v>198.035969617828</v>
      </c>
      <c r="V90" s="16" t="n">
        <f aca="false">IF($A90&gt;=Premissas!$C$27,MAX(0,P90-Q90-R90-S90)*Premissas!$C$49,0)</f>
        <v>721.746051991568</v>
      </c>
      <c r="W90" s="16" t="n">
        <f aca="false">P90-Q90-R90-S90-T90-U90-V90</f>
        <v>1308.6771373061</v>
      </c>
      <c r="X90" s="16" t="n">
        <f aca="false">W90-F90-G90-H90-M90</f>
        <v>-4507.8505276048</v>
      </c>
      <c r="Y90" s="16" t="n">
        <f aca="false">Y89+X90</f>
        <v>-537113.444389422</v>
      </c>
      <c r="Z90" s="16" t="n">
        <f aca="false">Premissas!$C$14*(1+Premissas!$C$57)^((YEAR(Premissas!$C$19)-YEAR(Premissas!$C$18))*12+MONTH(Premissas!$C$19)-MONTH(Premissas!$C$18))*(1+Premissas!$C$61)^((YEAR($A90)-YEAR(Premissas!$C$19))*12+MONTH($A90)-MONTH(Premissas!$C$19))</f>
        <v>675643.685412373</v>
      </c>
      <c r="AA90" s="16" t="n">
        <f aca="false">IF($A90&gt;=Premissas!$C$25,Z90*(1-Premissas!$C$53)-N90-Premissas!$C$54*MAX(0,Z90*(1-Premissas!$C$53)-(Premissas!$C$14*(1+Premissas!$C$57)^((YEAR(Premissas!$C$25)-YEAR(Premissas!$C$18))*12+MONTH(Premissas!$C$25)-MONTH(Premissas!$C$18))*(1+Premissas!$C$34))),"")</f>
        <v>414657.47036201</v>
      </c>
      <c r="AB90" s="16" t="n">
        <f aca="false">IF($A90&gt;=Premissas!$C$25,Y90+AA90,"")</f>
        <v>-122455.974027411</v>
      </c>
      <c r="AC90" s="20" t="str">
        <f aca="false">IF(AND($A90&gt;=Premissas!$C$27,W90&gt;=M90),$A90,"")</f>
        <v/>
      </c>
      <c r="AD90" s="20" t="str">
        <f aca="false">IF(AND($A90&gt;=Premissas!$C$27,Y90&gt;=0),$A90,"")</f>
        <v/>
      </c>
      <c r="AE90" s="20" t="str">
        <f aca="false">IF(AND($A90&gt;=Premissas!$C$25,N(AB90)&gt;=0),$A90,"")</f>
        <v/>
      </c>
    </row>
    <row r="91" customFormat="false" ht="15" hidden="false" customHeight="false" outlineLevel="0" collapsed="false">
      <c r="A91" s="20" t="n">
        <f aca="false">DATE(YEAR(A90),MONTH(A90)+1,1)</f>
        <v>49004</v>
      </c>
      <c r="B91" s="5" t="str">
        <f aca="false">IF($A91&lt;Premissas!$C$25,"Obra",IF($A91=Premissas!$C$25,"Chaves",IF($A91&lt;Premissas!$C$27,"Mobiliando","Airbnb")))</f>
        <v>Airbnb</v>
      </c>
      <c r="C91" s="35" t="n">
        <f aca="false">(YEAR($A91)-YEAR(Premissas!$C$18))*12+MONTH($A91)-MONTH(Premissas!$C$18)</f>
        <v>90</v>
      </c>
      <c r="D91" s="16" t="n">
        <f aca="false">($A91=Premissas!$C$19)*Premissas!$C$8+(($A91=EDATE(Premissas!$C$19,1))+($A91=EDATE(Premissas!$C$19,2)))*Premissas!$C$9+AND($A91&gt;=Premissas!$C$20,$A91&lt;EDATE(Premissas!$C$20,Premissas!$C$21))*Premissas!$C$10+(($A91=Premissas!$C$22)+($A91=Premissas!$C$23)+($A91=Premissas!$C$24))*Premissas!$C$11+($A91=Premissas!$C$25)*Premissas!$C$12</f>
        <v>0</v>
      </c>
      <c r="E91" s="36" t="n">
        <f aca="false">(1+Premissas!$C$57)^C91</f>
        <v>1.49414741315506</v>
      </c>
      <c r="F91" s="16" t="n">
        <f aca="false">D91*E91</f>
        <v>0</v>
      </c>
      <c r="G91" s="16" t="n">
        <f aca="false">($A91=Premissas!$C$25)*Premissas!$C$34*Premissas!$C$14*(1+Premissas!$C$57)^C91</f>
        <v>0</v>
      </c>
      <c r="H91" s="16" t="n">
        <f aca="false">IF(AND($A91&gt;Premissas!$C$25,$A91&lt;Premissas!$C$27),Premissas!$C$35/MAX(1,Premissas!$C$26),0)</f>
        <v>0</v>
      </c>
      <c r="I91" s="35" t="n">
        <f aca="false">IF(AND($A91&gt;Premissas!$C$25,((YEAR($A91)-YEAR(Premissas!$C$25))*12+MONTH($A91)-MONTH(Premissas!$C$25))&lt;=Premissas!$C$32),((YEAR($A91)-YEAR(Premissas!$C$25))*12+MONTH($A91)-MONTH(Premissas!$C$25)),0)</f>
        <v>67</v>
      </c>
      <c r="J91" s="16" t="n">
        <f aca="false">IF(I91&gt;0,N90*(1+Premissas!$C$59),0)</f>
        <v>207059.69144872</v>
      </c>
      <c r="K91" s="16" t="n">
        <f aca="false">J91*Premissas!$C$58</f>
        <v>1964.74653725556</v>
      </c>
      <c r="L91" s="16" t="n">
        <f aca="false">IF(I91&gt;0,J91/(Premissas!$C$32-I91+1),0)</f>
        <v>3834.43873053186</v>
      </c>
      <c r="M91" s="16" t="n">
        <f aca="false">K91+L91</f>
        <v>5799.18526778742</v>
      </c>
      <c r="N91" s="16" t="n">
        <f aca="false">IF($A91=Premissas!$C$25,Premissas!$C$13*E91,IF(I91&gt;0,J91-L91,0))</f>
        <v>203225.252718189</v>
      </c>
      <c r="O91" s="37" t="n">
        <f aca="false">IF($A91&gt;=Premissas!$C$27,Premissas!$C$39*IF(((YEAR($A91)-YEAR(Premissas!$C$27))*12+MONTH($A91)-MONTH(Premissas!$C$27))&lt;Premissas!$C$41,Premissas!$C$42,1),0)</f>
        <v>0.62</v>
      </c>
      <c r="P91" s="16" t="n">
        <f aca="false">O91*Premissas!$C$38*Premissas!$C$40*(1+Premissas!$C$60)^((YEAR($A91)-YEAR(Premissas!$C$19))*12+MONTH($A91)-MONTH(Premissas!$C$19))</f>
        <v>5666.47588947837</v>
      </c>
      <c r="Q91" s="16" t="n">
        <f aca="false">P91*Premissas!$C$43</f>
        <v>906.636142316539</v>
      </c>
      <c r="R91" s="16" t="n">
        <f aca="false">P91*Premissas!$C$44</f>
        <v>1133.29517789567</v>
      </c>
      <c r="S91" s="16" t="n">
        <f aca="false">IF($A91&gt;=Premissas!$C$25,Premissas!$C$45*(1+Premissas!$C$60)^((YEAR($A91)-YEAR(Premissas!$C$19))*12+MONTH($A91)-MONTH(Premissas!$C$19)),0)</f>
        <v>993.421439249364</v>
      </c>
      <c r="T91" s="16" t="n">
        <f aca="false">IF($A91&gt;=Premissas!$C$27,Premissas!$C$46*(1+Premissas!$C$60)^((YEAR($A91)-YEAR(Premissas!$C$19))*12+MONTH($A91)-MONTH(Premissas!$C$19)),0)</f>
        <v>397.368575699745</v>
      </c>
      <c r="U91" s="16" t="n">
        <f aca="false">IF($A91&gt;=Premissas!$C$27,Premissas!$C$47*(1+Premissas!$C$60)^((YEAR($A91)-YEAR(Premissas!$C$19))*12+MONTH($A91)-MONTH(Premissas!$C$19)),0)</f>
        <v>198.684287849873</v>
      </c>
      <c r="V91" s="16" t="n">
        <f aca="false">IF($A91&gt;=Premissas!$C$27,MAX(0,P91-Q91-R91-S91)*Premissas!$C$49,0)</f>
        <v>724.108860754618</v>
      </c>
      <c r="W91" s="16" t="n">
        <f aca="false">P91-Q91-R91-S91-T91-U91-V91</f>
        <v>1312.96140571256</v>
      </c>
      <c r="X91" s="16" t="n">
        <f aca="false">W91-F91-G91-H91-M91</f>
        <v>-4486.22386207487</v>
      </c>
      <c r="Y91" s="16" t="n">
        <f aca="false">Y90+X91</f>
        <v>-541599.668251497</v>
      </c>
      <c r="Z91" s="16" t="n">
        <f aca="false">Premissas!$C$14*(1+Premissas!$C$57)^((YEAR(Premissas!$C$19)-YEAR(Premissas!$C$18))*12+MONTH(Premissas!$C$19)-MONTH(Premissas!$C$18))*(1+Premissas!$C$61)^((YEAR($A91)-YEAR(Premissas!$C$19))*12+MONTH($A91)-MONTH(Premissas!$C$19))</f>
        <v>678396.341420383</v>
      </c>
      <c r="AA91" s="16" t="n">
        <f aca="false">IF($A91&gt;=Premissas!$C$25,Z91*(1-Premissas!$C$53)-N91-Premissas!$C$54*MAX(0,Z91*(1-Premissas!$C$53)-(Premissas!$C$14*(1+Premissas!$C$57)^((YEAR(Premissas!$C$25)-YEAR(Premissas!$C$18))*12+MONTH(Premissas!$C$25)-MONTH(Premissas!$C$18))*(1+Premissas!$C$34))),"")</f>
        <v>420015.633588363</v>
      </c>
      <c r="AB91" s="16" t="n">
        <f aca="false">IF($A91&gt;=Premissas!$C$25,Y91+AA91,"")</f>
        <v>-121584.034663134</v>
      </c>
      <c r="AC91" s="20" t="str">
        <f aca="false">IF(AND($A91&gt;=Premissas!$C$27,W91&gt;=M91),$A91,"")</f>
        <v/>
      </c>
      <c r="AD91" s="20" t="str">
        <f aca="false">IF(AND($A91&gt;=Premissas!$C$27,Y91&gt;=0),$A91,"")</f>
        <v/>
      </c>
      <c r="AE91" s="20" t="str">
        <f aca="false">IF(AND($A91&gt;=Premissas!$C$25,N(AB91)&gt;=0),$A91,"")</f>
        <v/>
      </c>
    </row>
    <row r="92" customFormat="false" ht="15" hidden="false" customHeight="false" outlineLevel="0" collapsed="false">
      <c r="A92" s="20" t="n">
        <f aca="false">DATE(YEAR(A91),MONTH(A91)+1,1)</f>
        <v>49035</v>
      </c>
      <c r="B92" s="5" t="str">
        <f aca="false">IF($A92&lt;Premissas!$C$25,"Obra",IF($A92=Premissas!$C$25,"Chaves",IF($A92&lt;Premissas!$C$27,"Mobiliando","Airbnb")))</f>
        <v>Airbnb</v>
      </c>
      <c r="C92" s="35" t="n">
        <f aca="false">(YEAR($A92)-YEAR(Premissas!$C$18))*12+MONTH($A92)-MONTH(Premissas!$C$18)</f>
        <v>91</v>
      </c>
      <c r="D92" s="16" t="n">
        <f aca="false">($A92=Premissas!$C$19)*Premissas!$C$8+(($A92=EDATE(Premissas!$C$19,1))+($A92=EDATE(Premissas!$C$19,2)))*Premissas!$C$9+AND($A92&gt;=Premissas!$C$20,$A92&lt;EDATE(Premissas!$C$20,Premissas!$C$21))*Premissas!$C$10+(($A92=Premissas!$C$22)+($A92=Premissas!$C$23)+($A92=Premissas!$C$24))*Premissas!$C$11+($A92=Premissas!$C$25)*Premissas!$C$12</f>
        <v>0</v>
      </c>
      <c r="E92" s="36" t="n">
        <f aca="false">(1+Premissas!$C$57)^C92</f>
        <v>1.50082879052437</v>
      </c>
      <c r="F92" s="16" t="n">
        <f aca="false">D92*E92</f>
        <v>0</v>
      </c>
      <c r="G92" s="16" t="n">
        <f aca="false">($A92=Premissas!$C$25)*Premissas!$C$34*Premissas!$C$14*(1+Premissas!$C$57)^C92</f>
        <v>0</v>
      </c>
      <c r="H92" s="16" t="n">
        <f aca="false">IF(AND($A92&gt;Premissas!$C$25,$A92&lt;Premissas!$C$27),Premissas!$C$35/MAX(1,Premissas!$C$26),0)</f>
        <v>0</v>
      </c>
      <c r="I92" s="35" t="n">
        <f aca="false">IF(AND($A92&gt;Premissas!$C$25,((YEAR($A92)-YEAR(Premissas!$C$25))*12+MONTH($A92)-MONTH(Premissas!$C$25))&lt;=Premissas!$C$32),((YEAR($A92)-YEAR(Premissas!$C$25))*12+MONTH($A92)-MONTH(Premissas!$C$25)),0)</f>
        <v>68</v>
      </c>
      <c r="J92" s="16" t="n">
        <f aca="false">IF(I92&gt;0,N91*(1+Premissas!$C$59),0)</f>
        <v>203890.559312759</v>
      </c>
      <c r="K92" s="16" t="n">
        <f aca="false">J92*Premissas!$C$58</f>
        <v>1934.6752986351</v>
      </c>
      <c r="L92" s="16" t="n">
        <f aca="false">IF(I92&gt;0,J92/(Premissas!$C$32-I92+1),0)</f>
        <v>3846.99168514641</v>
      </c>
      <c r="M92" s="16" t="n">
        <f aca="false">K92+L92</f>
        <v>5781.6669837815</v>
      </c>
      <c r="N92" s="16" t="n">
        <f aca="false">IF($A92=Premissas!$C$25,Premissas!$C$13*E92,IF(I92&gt;0,J92-L92,0))</f>
        <v>200043.567627613</v>
      </c>
      <c r="O92" s="37" t="n">
        <f aca="false">IF($A92&gt;=Premissas!$C$27,Premissas!$C$39*IF(((YEAR($A92)-YEAR(Premissas!$C$27))*12+MONTH($A92)-MONTH(Premissas!$C$27))&lt;Premissas!$C$41,Premissas!$C$42,1),0)</f>
        <v>0.62</v>
      </c>
      <c r="P92" s="16" t="n">
        <f aca="false">O92*Premissas!$C$38*Premissas!$C$40*(1+Premissas!$C$60)^((YEAR($A92)-YEAR(Premissas!$C$19))*12+MONTH($A92)-MONTH(Premissas!$C$19))</f>
        <v>5685.02645702263</v>
      </c>
      <c r="Q92" s="16" t="n">
        <f aca="false">P92*Premissas!$C$43</f>
        <v>909.60423312362</v>
      </c>
      <c r="R92" s="16" t="n">
        <f aca="false">P92*Premissas!$C$44</f>
        <v>1137.00529140453</v>
      </c>
      <c r="S92" s="16" t="n">
        <f aca="false">IF($A92&gt;=Premissas!$C$25,Premissas!$C$45*(1+Premissas!$C$60)^((YEAR($A92)-YEAR(Premissas!$C$19))*12+MONTH($A92)-MONTH(Premissas!$C$19)),0)</f>
        <v>996.673642535523</v>
      </c>
      <c r="T92" s="16" t="n">
        <f aca="false">IF($A92&gt;=Premissas!$C$27,Premissas!$C$46*(1+Premissas!$C$60)^((YEAR($A92)-YEAR(Premissas!$C$19))*12+MONTH($A92)-MONTH(Premissas!$C$19)),0)</f>
        <v>398.669457014209</v>
      </c>
      <c r="U92" s="16" t="n">
        <f aca="false">IF($A92&gt;=Premissas!$C$27,Premissas!$C$47*(1+Premissas!$C$60)^((YEAR($A92)-YEAR(Premissas!$C$19))*12+MONTH($A92)-MONTH(Premissas!$C$19)),0)</f>
        <v>199.334728507105</v>
      </c>
      <c r="V92" s="16" t="n">
        <f aca="false">IF($A92&gt;=Premissas!$C$27,MAX(0,P92-Q92-R92-S92)*Premissas!$C$49,0)</f>
        <v>726.479404738713</v>
      </c>
      <c r="W92" s="16" t="n">
        <f aca="false">P92-Q92-R92-S92-T92-U92-V92</f>
        <v>1317.25969969893</v>
      </c>
      <c r="X92" s="16" t="n">
        <f aca="false">W92-F92-G92-H92-M92</f>
        <v>-4464.40728408257</v>
      </c>
      <c r="Y92" s="16" t="n">
        <f aca="false">Y91+X92</f>
        <v>-546064.075535579</v>
      </c>
      <c r="Z92" s="16" t="n">
        <f aca="false">Premissas!$C$14*(1+Premissas!$C$57)^((YEAR(Premissas!$C$19)-YEAR(Premissas!$C$18))*12+MONTH(Premissas!$C$19)-MONTH(Premissas!$C$18))*(1+Premissas!$C$61)^((YEAR($A92)-YEAR(Premissas!$C$19))*12+MONTH($A92)-MONTH(Premissas!$C$19))</f>
        <v>681160.212089704</v>
      </c>
      <c r="AA92" s="16" t="n">
        <f aca="false">IF($A92&gt;=Premissas!$C$25,Z92*(1-Premissas!$C$53)-N92-Premissas!$C$54*MAX(0,Z92*(1-Premissas!$C$53)-(Premissas!$C$14*(1+Premissas!$C$57)^((YEAR(Premissas!$C$25)-YEAR(Premissas!$C$18))*12+MONTH(Premissas!$C$25)-MONTH(Premissas!$C$18))*(1+Premissas!$C$34))),"")</f>
        <v>425405.651343725</v>
      </c>
      <c r="AB92" s="16" t="n">
        <f aca="false">IF($A92&gt;=Premissas!$C$25,Y92+AA92,"")</f>
        <v>-120658.424191854</v>
      </c>
      <c r="AC92" s="20" t="str">
        <f aca="false">IF(AND($A92&gt;=Premissas!$C$27,W92&gt;=M92),$A92,"")</f>
        <v/>
      </c>
      <c r="AD92" s="20" t="str">
        <f aca="false">IF(AND($A92&gt;=Premissas!$C$27,Y92&gt;=0),$A92,"")</f>
        <v/>
      </c>
      <c r="AE92" s="20" t="str">
        <f aca="false">IF(AND($A92&gt;=Premissas!$C$25,N(AB92)&gt;=0),$A92,"")</f>
        <v/>
      </c>
    </row>
    <row r="93" customFormat="false" ht="15" hidden="false" customHeight="false" outlineLevel="0" collapsed="false">
      <c r="A93" s="20" t="n">
        <f aca="false">DATE(YEAR(A92),MONTH(A92)+1,1)</f>
        <v>49065</v>
      </c>
      <c r="B93" s="5" t="str">
        <f aca="false">IF($A93&lt;Premissas!$C$25,"Obra",IF($A93=Premissas!$C$25,"Chaves",IF($A93&lt;Premissas!$C$27,"Mobiliando","Airbnb")))</f>
        <v>Airbnb</v>
      </c>
      <c r="C93" s="35" t="n">
        <f aca="false">(YEAR($A93)-YEAR(Premissas!$C$18))*12+MONTH($A93)-MONTH(Premissas!$C$18)</f>
        <v>92</v>
      </c>
      <c r="D93" s="16" t="n">
        <f aca="false">($A93=Premissas!$C$19)*Premissas!$C$8+(($A93=EDATE(Premissas!$C$19,1))+($A93=EDATE(Premissas!$C$19,2)))*Premissas!$C$9+AND($A93&gt;=Premissas!$C$20,$A93&lt;EDATE(Premissas!$C$20,Premissas!$C$21))*Premissas!$C$10+(($A93=Premissas!$C$22)+($A93=Premissas!$C$23)+($A93=Premissas!$C$24))*Premissas!$C$11+($A93=Premissas!$C$25)*Premissas!$C$12</f>
        <v>0</v>
      </c>
      <c r="E93" s="36" t="n">
        <f aca="false">(1+Premissas!$C$57)^C93</f>
        <v>1.50754004500162</v>
      </c>
      <c r="F93" s="16" t="n">
        <f aca="false">D93*E93</f>
        <v>0</v>
      </c>
      <c r="G93" s="16" t="n">
        <f aca="false">($A93=Premissas!$C$25)*Premissas!$C$34*Premissas!$C$14*(1+Premissas!$C$57)^C93</f>
        <v>0</v>
      </c>
      <c r="H93" s="16" t="n">
        <f aca="false">IF(AND($A93&gt;Premissas!$C$25,$A93&lt;Premissas!$C$27),Premissas!$C$35/MAX(1,Premissas!$C$26),0)</f>
        <v>0</v>
      </c>
      <c r="I93" s="35" t="n">
        <f aca="false">IF(AND($A93&gt;Premissas!$C$25,((YEAR($A93)-YEAR(Premissas!$C$25))*12+MONTH($A93)-MONTH(Premissas!$C$25))&lt;=Premissas!$C$32),((YEAR($A93)-YEAR(Premissas!$C$25))*12+MONTH($A93)-MONTH(Premissas!$C$25)),0)</f>
        <v>69</v>
      </c>
      <c r="J93" s="16" t="n">
        <f aca="false">IF(I93&gt;0,N92*(1+Premissas!$C$59),0)</f>
        <v>200698.458213129</v>
      </c>
      <c r="K93" s="16" t="n">
        <f aca="false">J93*Premissas!$C$58</f>
        <v>1904.38611227445</v>
      </c>
      <c r="L93" s="16" t="n">
        <f aca="false">IF(I93&gt;0,J93/(Premissas!$C$32-I93+1),0)</f>
        <v>3859.58573486786</v>
      </c>
      <c r="M93" s="16" t="n">
        <f aca="false">K93+L93</f>
        <v>5763.9718471423</v>
      </c>
      <c r="N93" s="16" t="n">
        <f aca="false">IF($A93=Premissas!$C$25,Premissas!$C$13*E93,IF(I93&gt;0,J93-L93,0))</f>
        <v>196838.872478261</v>
      </c>
      <c r="O93" s="37" t="n">
        <f aca="false">IF($A93&gt;=Premissas!$C$27,Premissas!$C$39*IF(((YEAR($A93)-YEAR(Premissas!$C$27))*12+MONTH($A93)-MONTH(Premissas!$C$27))&lt;Premissas!$C$41,Premissas!$C$42,1),0)</f>
        <v>0.62</v>
      </c>
      <c r="P93" s="16" t="n">
        <f aca="false">O93*Premissas!$C$38*Premissas!$C$40*(1+Premissas!$C$60)^((YEAR($A93)-YEAR(Premissas!$C$19))*12+MONTH($A93)-MONTH(Premissas!$C$19))</f>
        <v>5703.63775429783</v>
      </c>
      <c r="Q93" s="16" t="n">
        <f aca="false">P93*Premissas!$C$43</f>
        <v>912.582040687653</v>
      </c>
      <c r="R93" s="16" t="n">
        <f aca="false">P93*Premissas!$C$44</f>
        <v>1140.72755085957</v>
      </c>
      <c r="S93" s="16" t="n">
        <f aca="false">IF($A93&gt;=Premissas!$C$25,Premissas!$C$45*(1+Premissas!$C$60)^((YEAR($A93)-YEAR(Premissas!$C$19))*12+MONTH($A93)-MONTH(Premissas!$C$19)),0)</f>
        <v>999.936492688961</v>
      </c>
      <c r="T93" s="16" t="n">
        <f aca="false">IF($A93&gt;=Premissas!$C$27,Premissas!$C$46*(1+Premissas!$C$60)^((YEAR($A93)-YEAR(Premissas!$C$19))*12+MONTH($A93)-MONTH(Premissas!$C$19)),0)</f>
        <v>399.974597075584</v>
      </c>
      <c r="U93" s="16" t="n">
        <f aca="false">IF($A93&gt;=Premissas!$C$27,Premissas!$C$47*(1+Premissas!$C$60)^((YEAR($A93)-YEAR(Premissas!$C$19))*12+MONTH($A93)-MONTH(Premissas!$C$19)),0)</f>
        <v>199.987298537792</v>
      </c>
      <c r="V93" s="16" t="n">
        <f aca="false">IF($A93&gt;=Premissas!$C$27,MAX(0,P93-Q93-R93-S93)*Premissas!$C$49,0)</f>
        <v>728.857709266954</v>
      </c>
      <c r="W93" s="16" t="n">
        <f aca="false">P93-Q93-R93-S93-T93-U93-V93</f>
        <v>1321.57206518132</v>
      </c>
      <c r="X93" s="16" t="n">
        <f aca="false">W93-F93-G93-H93-M93</f>
        <v>-4442.39978196098</v>
      </c>
      <c r="Y93" s="16" t="n">
        <f aca="false">Y92+X93</f>
        <v>-550506.47531754</v>
      </c>
      <c r="Z93" s="16" t="n">
        <f aca="false">Premissas!$C$14*(1+Premissas!$C$57)^((YEAR(Premissas!$C$19)-YEAR(Premissas!$C$18))*12+MONTH(Premissas!$C$19)-MONTH(Premissas!$C$18))*(1+Premissas!$C$61)^((YEAR($A93)-YEAR(Premissas!$C$19))*12+MONTH($A93)-MONTH(Premissas!$C$19))</f>
        <v>683935.343110254</v>
      </c>
      <c r="AA93" s="16" t="n">
        <f aca="false">IF($A93&gt;=Premissas!$C$25,Z93*(1-Premissas!$C$53)-N93-Premissas!$C$54*MAX(0,Z93*(1-Premissas!$C$53)-(Premissas!$C$14*(1+Premissas!$C$57)^((YEAR(Premissas!$C$25)-YEAR(Premissas!$C$18))*12+MONTH(Premissas!$C$25)-MONTH(Premissas!$C$18))*(1+Premissas!$C$34))),"")</f>
        <v>430827.676178497</v>
      </c>
      <c r="AB93" s="16" t="n">
        <f aca="false">IF($A93&gt;=Premissas!$C$25,Y93+AA93,"")</f>
        <v>-119678.799139043</v>
      </c>
      <c r="AC93" s="20" t="str">
        <f aca="false">IF(AND($A93&gt;=Premissas!$C$27,W93&gt;=M93),$A93,"")</f>
        <v/>
      </c>
      <c r="AD93" s="20" t="str">
        <f aca="false">IF(AND($A93&gt;=Premissas!$C$27,Y93&gt;=0),$A93,"")</f>
        <v/>
      </c>
      <c r="AE93" s="20" t="str">
        <f aca="false">IF(AND($A93&gt;=Premissas!$C$25,N(AB93)&gt;=0),$A93,"")</f>
        <v/>
      </c>
    </row>
    <row r="94" customFormat="false" ht="15" hidden="false" customHeight="false" outlineLevel="0" collapsed="false">
      <c r="A94" s="20" t="n">
        <f aca="false">DATE(YEAR(A93),MONTH(A93)+1,1)</f>
        <v>49096</v>
      </c>
      <c r="B94" s="5" t="str">
        <f aca="false">IF($A94&lt;Premissas!$C$25,"Obra",IF($A94=Premissas!$C$25,"Chaves",IF($A94&lt;Premissas!$C$27,"Mobiliando","Airbnb")))</f>
        <v>Airbnb</v>
      </c>
      <c r="C94" s="35" t="n">
        <f aca="false">(YEAR($A94)-YEAR(Premissas!$C$18))*12+MONTH($A94)-MONTH(Premissas!$C$18)</f>
        <v>93</v>
      </c>
      <c r="D94" s="16" t="n">
        <f aca="false">($A94=Premissas!$C$19)*Premissas!$C$8+(($A94=EDATE(Premissas!$C$19,1))+($A94=EDATE(Premissas!$C$19,2)))*Premissas!$C$9+AND($A94&gt;=Premissas!$C$20,$A94&lt;EDATE(Premissas!$C$20,Premissas!$C$21))*Premissas!$C$10+(($A94=Premissas!$C$22)+($A94=Premissas!$C$23)+($A94=Premissas!$C$24))*Premissas!$C$11+($A94=Premissas!$C$25)*Premissas!$C$12</f>
        <v>0</v>
      </c>
      <c r="E94" s="36" t="n">
        <f aca="false">(1+Premissas!$C$57)^C94</f>
        <v>1.51428131018825</v>
      </c>
      <c r="F94" s="16" t="n">
        <f aca="false">D94*E94</f>
        <v>0</v>
      </c>
      <c r="G94" s="16" t="n">
        <f aca="false">($A94=Premissas!$C$25)*Premissas!$C$34*Premissas!$C$14*(1+Premissas!$C$57)^C94</f>
        <v>0</v>
      </c>
      <c r="H94" s="16" t="n">
        <f aca="false">IF(AND($A94&gt;Premissas!$C$25,$A94&lt;Premissas!$C$27),Premissas!$C$35/MAX(1,Premissas!$C$26),0)</f>
        <v>0</v>
      </c>
      <c r="I94" s="35" t="n">
        <f aca="false">IF(AND($A94&gt;Premissas!$C$25,((YEAR($A94)-YEAR(Premissas!$C$25))*12+MONTH($A94)-MONTH(Premissas!$C$25))&lt;=Premissas!$C$32),((YEAR($A94)-YEAR(Premissas!$C$25))*12+MONTH($A94)-MONTH(Premissas!$C$25)),0)</f>
        <v>70</v>
      </c>
      <c r="J94" s="16" t="n">
        <f aca="false">IF(I94&gt;0,N93*(1+Premissas!$C$59),0)</f>
        <v>197483.271725776</v>
      </c>
      <c r="K94" s="16" t="n">
        <f aca="false">J94*Premissas!$C$58</f>
        <v>1873.87787344989</v>
      </c>
      <c r="L94" s="16" t="n">
        <f aca="false">IF(I94&gt;0,J94/(Premissas!$C$32-I94+1),0)</f>
        <v>3872.2210142309</v>
      </c>
      <c r="M94" s="16" t="n">
        <f aca="false">K94+L94</f>
        <v>5746.09888768079</v>
      </c>
      <c r="N94" s="16" t="n">
        <f aca="false">IF($A94=Premissas!$C$25,Premissas!$C$13*E94,IF(I94&gt;0,J94-L94,0))</f>
        <v>193611.050711545</v>
      </c>
      <c r="O94" s="37" t="n">
        <f aca="false">IF($A94&gt;=Premissas!$C$27,Premissas!$C$39*IF(((YEAR($A94)-YEAR(Premissas!$C$27))*12+MONTH($A94)-MONTH(Premissas!$C$27))&lt;Premissas!$C$41,Premissas!$C$42,1),0)</f>
        <v>0.62</v>
      </c>
      <c r="P94" s="16" t="n">
        <f aca="false">O94*Premissas!$C$38*Premissas!$C$40*(1+Premissas!$C$60)^((YEAR($A94)-YEAR(Premissas!$C$19))*12+MONTH($A94)-MONTH(Premissas!$C$19))</f>
        <v>5722.30998011733</v>
      </c>
      <c r="Q94" s="16" t="n">
        <f aca="false">P94*Premissas!$C$43</f>
        <v>915.569596818773</v>
      </c>
      <c r="R94" s="16" t="n">
        <f aca="false">P94*Premissas!$C$44</f>
        <v>1144.46199602347</v>
      </c>
      <c r="S94" s="16" t="n">
        <f aca="false">IF($A94&gt;=Premissas!$C$25,Premissas!$C$45*(1+Premissas!$C$60)^((YEAR($A94)-YEAR(Premissas!$C$19))*12+MONTH($A94)-MONTH(Premissas!$C$19)),0)</f>
        <v>1003.21002456475</v>
      </c>
      <c r="T94" s="16" t="n">
        <f aca="false">IF($A94&gt;=Premissas!$C$27,Premissas!$C$46*(1+Premissas!$C$60)^((YEAR($A94)-YEAR(Premissas!$C$19))*12+MONTH($A94)-MONTH(Premissas!$C$19)),0)</f>
        <v>401.2840098259</v>
      </c>
      <c r="U94" s="16" t="n">
        <f aca="false">IF($A94&gt;=Premissas!$C$27,Premissas!$C$47*(1+Premissas!$C$60)^((YEAR($A94)-YEAR(Premissas!$C$19))*12+MONTH($A94)-MONTH(Premissas!$C$19)),0)</f>
        <v>200.64200491295</v>
      </c>
      <c r="V94" s="16" t="n">
        <f aca="false">IF($A94&gt;=Premissas!$C$27,MAX(0,P94-Q94-R94-S94)*Premissas!$C$49,0)</f>
        <v>731.243799745344</v>
      </c>
      <c r="W94" s="16" t="n">
        <f aca="false">P94-Q94-R94-S94-T94-U94-V94</f>
        <v>1325.89854822615</v>
      </c>
      <c r="X94" s="16" t="n">
        <f aca="false">W94-F94-G94-H94-M94</f>
        <v>-4420.20033945464</v>
      </c>
      <c r="Y94" s="16" t="n">
        <f aca="false">Y93+X94</f>
        <v>-554926.675656995</v>
      </c>
      <c r="Z94" s="16" t="n">
        <f aca="false">Premissas!$C$14*(1+Premissas!$C$57)^((YEAR(Premissas!$C$19)-YEAR(Premissas!$C$18))*12+MONTH(Premissas!$C$19)-MONTH(Premissas!$C$18))*(1+Premissas!$C$61)^((YEAR($A94)-YEAR(Premissas!$C$19))*12+MONTH($A94)-MONTH(Premissas!$C$19))</f>
        <v>686721.780358097</v>
      </c>
      <c r="AA94" s="16" t="n">
        <f aca="false">IF($A94&gt;=Premissas!$C$25,Z94*(1-Premissas!$C$53)-N94-Premissas!$C$54*MAX(0,Z94*(1-Premissas!$C$53)-(Premissas!$C$14*(1+Premissas!$C$57)^((YEAR(Premissas!$C$25)-YEAR(Premissas!$C$18))*12+MONTH(Premissas!$C$25)-MONTH(Premissas!$C$18))*(1+Premissas!$C$34))),"")</f>
        <v>436281.861306239</v>
      </c>
      <c r="AB94" s="16" t="n">
        <f aca="false">IF($A94&gt;=Premissas!$C$25,Y94+AA94,"")</f>
        <v>-118644.814350755</v>
      </c>
      <c r="AC94" s="20" t="str">
        <f aca="false">IF(AND($A94&gt;=Premissas!$C$27,W94&gt;=M94),$A94,"")</f>
        <v/>
      </c>
      <c r="AD94" s="20" t="str">
        <f aca="false">IF(AND($A94&gt;=Premissas!$C$27,Y94&gt;=0),$A94,"")</f>
        <v/>
      </c>
      <c r="AE94" s="20" t="str">
        <f aca="false">IF(AND($A94&gt;=Premissas!$C$25,N(AB94)&gt;=0),$A94,"")</f>
        <v/>
      </c>
    </row>
    <row r="95" customFormat="false" ht="15" hidden="false" customHeight="false" outlineLevel="0" collapsed="false">
      <c r="A95" s="20" t="n">
        <f aca="false">DATE(YEAR(A94),MONTH(A94)+1,1)</f>
        <v>49126</v>
      </c>
      <c r="B95" s="5" t="str">
        <f aca="false">IF($A95&lt;Premissas!$C$25,"Obra",IF($A95=Premissas!$C$25,"Chaves",IF($A95&lt;Premissas!$C$27,"Mobiliando","Airbnb")))</f>
        <v>Airbnb</v>
      </c>
      <c r="C95" s="35" t="n">
        <f aca="false">(YEAR($A95)-YEAR(Premissas!$C$18))*12+MONTH($A95)-MONTH(Premissas!$C$18)</f>
        <v>94</v>
      </c>
      <c r="D95" s="16" t="n">
        <f aca="false">($A95=Premissas!$C$19)*Premissas!$C$8+(($A95=EDATE(Premissas!$C$19,1))+($A95=EDATE(Premissas!$C$19,2)))*Premissas!$C$9+AND($A95&gt;=Premissas!$C$20,$A95&lt;EDATE(Premissas!$C$20,Premissas!$C$21))*Premissas!$C$10+(($A95=Premissas!$C$22)+($A95=Premissas!$C$23)+($A95=Premissas!$C$24))*Premissas!$C$11+($A95=Premissas!$C$25)*Premissas!$C$12</f>
        <v>0</v>
      </c>
      <c r="E95" s="36" t="n">
        <f aca="false">(1+Premissas!$C$57)^C95</f>
        <v>1.52105272028312</v>
      </c>
      <c r="F95" s="16" t="n">
        <f aca="false">D95*E95</f>
        <v>0</v>
      </c>
      <c r="G95" s="16" t="n">
        <f aca="false">($A95=Premissas!$C$25)*Premissas!$C$34*Premissas!$C$14*(1+Premissas!$C$57)^C95</f>
        <v>0</v>
      </c>
      <c r="H95" s="16" t="n">
        <f aca="false">IF(AND($A95&gt;Premissas!$C$25,$A95&lt;Premissas!$C$27),Premissas!$C$35/MAX(1,Premissas!$C$26),0)</f>
        <v>0</v>
      </c>
      <c r="I95" s="35" t="n">
        <f aca="false">IF(AND($A95&gt;Premissas!$C$25,((YEAR($A95)-YEAR(Premissas!$C$25))*12+MONTH($A95)-MONTH(Premissas!$C$25))&lt;=Premissas!$C$32),((YEAR($A95)-YEAR(Premissas!$C$25))*12+MONTH($A95)-MONTH(Premissas!$C$25)),0)</f>
        <v>71</v>
      </c>
      <c r="J95" s="16" t="n">
        <f aca="false">IF(I95&gt;0,N94*(1+Premissas!$C$59),0)</f>
        <v>194244.882910533</v>
      </c>
      <c r="K95" s="16" t="n">
        <f aca="false">J95*Premissas!$C$58</f>
        <v>1843.14947254037</v>
      </c>
      <c r="L95" s="16" t="n">
        <f aca="false">IF(I95&gt;0,J95/(Premissas!$C$32-I95+1),0)</f>
        <v>3884.89765821066</v>
      </c>
      <c r="M95" s="16" t="n">
        <f aca="false">K95+L95</f>
        <v>5728.04713075103</v>
      </c>
      <c r="N95" s="16" t="n">
        <f aca="false">IF($A95=Premissas!$C$25,Premissas!$C$13*E95,IF(I95&gt;0,J95-L95,0))</f>
        <v>190359.985252322</v>
      </c>
      <c r="O95" s="37" t="n">
        <f aca="false">IF($A95&gt;=Premissas!$C$27,Premissas!$C$39*IF(((YEAR($A95)-YEAR(Premissas!$C$27))*12+MONTH($A95)-MONTH(Premissas!$C$27))&lt;Premissas!$C$41,Premissas!$C$42,1),0)</f>
        <v>0.62</v>
      </c>
      <c r="P95" s="16" t="n">
        <f aca="false">O95*Premissas!$C$38*Premissas!$C$40*(1+Premissas!$C$60)^((YEAR($A95)-YEAR(Premissas!$C$19))*12+MONTH($A95)-MONTH(Premissas!$C$19))</f>
        <v>5741.04333394531</v>
      </c>
      <c r="Q95" s="16" t="n">
        <f aca="false">P95*Premissas!$C$43</f>
        <v>918.56693343125</v>
      </c>
      <c r="R95" s="16" t="n">
        <f aca="false">P95*Premissas!$C$44</f>
        <v>1148.20866678906</v>
      </c>
      <c r="S95" s="16" t="n">
        <f aca="false">IF($A95&gt;=Premissas!$C$25,Premissas!$C$45*(1+Premissas!$C$60)^((YEAR($A95)-YEAR(Premissas!$C$19))*12+MONTH($A95)-MONTH(Premissas!$C$19)),0)</f>
        <v>1006.49427313207</v>
      </c>
      <c r="T95" s="16" t="n">
        <f aca="false">IF($A95&gt;=Premissas!$C$27,Premissas!$C$46*(1+Premissas!$C$60)^((YEAR($A95)-YEAR(Premissas!$C$19))*12+MONTH($A95)-MONTH(Premissas!$C$19)),0)</f>
        <v>402.597709252827</v>
      </c>
      <c r="U95" s="16" t="n">
        <f aca="false">IF($A95&gt;=Premissas!$C$27,Premissas!$C$47*(1+Premissas!$C$60)^((YEAR($A95)-YEAR(Premissas!$C$19))*12+MONTH($A95)-MONTH(Premissas!$C$19)),0)</f>
        <v>201.298854626414</v>
      </c>
      <c r="V95" s="16" t="n">
        <f aca="false">IF($A95&gt;=Premissas!$C$27,MAX(0,P95-Q95-R95-S95)*Premissas!$C$49,0)</f>
        <v>733.637701663057</v>
      </c>
      <c r="W95" s="16" t="n">
        <f aca="false">P95-Q95-R95-S95-T95-U95-V95</f>
        <v>1330.23919505064</v>
      </c>
      <c r="X95" s="16" t="n">
        <f aca="false">W95-F95-G95-H95-M95</f>
        <v>-4397.80793570039</v>
      </c>
      <c r="Y95" s="16" t="n">
        <f aca="false">Y94+X95</f>
        <v>-559324.483592695</v>
      </c>
      <c r="Z95" s="16" t="n">
        <f aca="false">Premissas!$C$14*(1+Premissas!$C$57)^((YEAR(Premissas!$C$19)-YEAR(Premissas!$C$18))*12+MONTH(Premissas!$C$19)-MONTH(Premissas!$C$18))*(1+Premissas!$C$61)^((YEAR($A95)-YEAR(Premissas!$C$19))*12+MONTH($A95)-MONTH(Premissas!$C$19))</f>
        <v>689519.569896203</v>
      </c>
      <c r="AA95" s="16" t="n">
        <f aca="false">IF($A95&gt;=Premissas!$C$25,Z95*(1-Premissas!$C$53)-N95-Premissas!$C$54*MAX(0,Z95*(1-Premissas!$C$53)-(Premissas!$C$14*(1+Premissas!$C$57)^((YEAR(Premissas!$C$25)-YEAR(Premissas!$C$18))*12+MONTH(Premissas!$C$25)-MONTH(Premissas!$C$18))*(1+Premissas!$C$34))),"")</f>
        <v>441768.360606409</v>
      </c>
      <c r="AB95" s="16" t="n">
        <f aca="false">IF($A95&gt;=Premissas!$C$25,Y95+AA95,"")</f>
        <v>-117556.122986286</v>
      </c>
      <c r="AC95" s="20" t="str">
        <f aca="false">IF(AND($A95&gt;=Premissas!$C$27,W95&gt;=M95),$A95,"")</f>
        <v/>
      </c>
      <c r="AD95" s="20" t="str">
        <f aca="false">IF(AND($A95&gt;=Premissas!$C$27,Y95&gt;=0),$A95,"")</f>
        <v/>
      </c>
      <c r="AE95" s="20" t="str">
        <f aca="false">IF(AND($A95&gt;=Premissas!$C$25,N(AB95)&gt;=0),$A95,"")</f>
        <v/>
      </c>
    </row>
    <row r="96" customFormat="false" ht="15" hidden="false" customHeight="false" outlineLevel="0" collapsed="false">
      <c r="A96" s="20" t="n">
        <f aca="false">DATE(YEAR(A95),MONTH(A95)+1,1)</f>
        <v>49157</v>
      </c>
      <c r="B96" s="5" t="str">
        <f aca="false">IF($A96&lt;Premissas!$C$25,"Obra",IF($A96=Premissas!$C$25,"Chaves",IF($A96&lt;Premissas!$C$27,"Mobiliando","Airbnb")))</f>
        <v>Airbnb</v>
      </c>
      <c r="C96" s="35" t="n">
        <f aca="false">(YEAR($A96)-YEAR(Premissas!$C$18))*12+MONTH($A96)-MONTH(Premissas!$C$18)</f>
        <v>95</v>
      </c>
      <c r="D96" s="16" t="n">
        <f aca="false">($A96=Premissas!$C$19)*Premissas!$C$8+(($A96=EDATE(Premissas!$C$19,1))+($A96=EDATE(Premissas!$C$19,2)))*Premissas!$C$9+AND($A96&gt;=Premissas!$C$20,$A96&lt;EDATE(Premissas!$C$20,Premissas!$C$21))*Premissas!$C$10+(($A96=Premissas!$C$22)+($A96=Premissas!$C$23)+($A96=Premissas!$C$24))*Premissas!$C$11+($A96=Premissas!$C$25)*Premissas!$C$12</f>
        <v>0</v>
      </c>
      <c r="E96" s="36" t="n">
        <f aca="false">(1+Premissas!$C$57)^C96</f>
        <v>1.52785441008518</v>
      </c>
      <c r="F96" s="16" t="n">
        <f aca="false">D96*E96</f>
        <v>0</v>
      </c>
      <c r="G96" s="16" t="n">
        <f aca="false">($A96=Premissas!$C$25)*Premissas!$C$34*Premissas!$C$14*(1+Premissas!$C$57)^C96</f>
        <v>0</v>
      </c>
      <c r="H96" s="16" t="n">
        <f aca="false">IF(AND($A96&gt;Premissas!$C$25,$A96&lt;Premissas!$C$27),Premissas!$C$35/MAX(1,Premissas!$C$26),0)</f>
        <v>0</v>
      </c>
      <c r="I96" s="35" t="n">
        <f aca="false">IF(AND($A96&gt;Premissas!$C$25,((YEAR($A96)-YEAR(Premissas!$C$25))*12+MONTH($A96)-MONTH(Premissas!$C$25))&lt;=Premissas!$C$32),((YEAR($A96)-YEAR(Premissas!$C$25))*12+MONTH($A96)-MONTH(Premissas!$C$25)),0)</f>
        <v>72</v>
      </c>
      <c r="J96" s="16" t="n">
        <f aca="false">IF(I96&gt;0,N95*(1+Premissas!$C$59),0)</f>
        <v>190983.174308981</v>
      </c>
      <c r="K96" s="16" t="n">
        <f aca="false">J96*Premissas!$C$58</f>
        <v>1812.19979500731</v>
      </c>
      <c r="L96" s="16" t="n">
        <f aca="false">IF(I96&gt;0,J96/(Premissas!$C$32-I96+1),0)</f>
        <v>3897.61580222411</v>
      </c>
      <c r="M96" s="16" t="n">
        <f aca="false">K96+L96</f>
        <v>5709.81559723142</v>
      </c>
      <c r="N96" s="16" t="n">
        <f aca="false">IF($A96=Premissas!$C$25,Premissas!$C$13*E96,IF(I96&gt;0,J96-L96,0))</f>
        <v>187085.558506757</v>
      </c>
      <c r="O96" s="37" t="n">
        <f aca="false">IF($A96&gt;=Premissas!$C$27,Premissas!$C$39*IF(((YEAR($A96)-YEAR(Premissas!$C$27))*12+MONTH($A96)-MONTH(Premissas!$C$27))&lt;Premissas!$C$41,Premissas!$C$42,1),0)</f>
        <v>0.62</v>
      </c>
      <c r="P96" s="16" t="n">
        <f aca="false">O96*Premissas!$C$38*Premissas!$C$40*(1+Premissas!$C$60)^((YEAR($A96)-YEAR(Premissas!$C$19))*12+MONTH($A96)-MONTH(Premissas!$C$19))</f>
        <v>5759.83801589898</v>
      </c>
      <c r="Q96" s="16" t="n">
        <f aca="false">P96*Premissas!$C$43</f>
        <v>921.574082543837</v>
      </c>
      <c r="R96" s="16" t="n">
        <f aca="false">P96*Premissas!$C$44</f>
        <v>1151.9676031798</v>
      </c>
      <c r="S96" s="16" t="n">
        <f aca="false">IF($A96&gt;=Premissas!$C$25,Premissas!$C$45*(1+Premissas!$C$60)^((YEAR($A96)-YEAR(Premissas!$C$19))*12+MONTH($A96)-MONTH(Premissas!$C$19)),0)</f>
        <v>1009.78927347458</v>
      </c>
      <c r="T96" s="16" t="n">
        <f aca="false">IF($A96&gt;=Premissas!$C$27,Premissas!$C$46*(1+Premissas!$C$60)^((YEAR($A96)-YEAR(Premissas!$C$19))*12+MONTH($A96)-MONTH(Premissas!$C$19)),0)</f>
        <v>403.91570938983</v>
      </c>
      <c r="U96" s="16" t="n">
        <f aca="false">IF($A96&gt;=Premissas!$C$27,Premissas!$C$47*(1+Premissas!$C$60)^((YEAR($A96)-YEAR(Premissas!$C$19))*12+MONTH($A96)-MONTH(Premissas!$C$19)),0)</f>
        <v>201.957854694915</v>
      </c>
      <c r="V96" s="16" t="n">
        <f aca="false">IF($A96&gt;=Premissas!$C$27,MAX(0,P96-Q96-R96-S96)*Premissas!$C$49,0)</f>
        <v>736.039440592712</v>
      </c>
      <c r="W96" s="16" t="n">
        <f aca="false">P96-Q96-R96-S96-T96-U96-V96</f>
        <v>1334.59405202331</v>
      </c>
      <c r="X96" s="16" t="n">
        <f aca="false">W96-F96-G96-H96-M96</f>
        <v>-4375.2215452081</v>
      </c>
      <c r="Y96" s="16" t="n">
        <f aca="false">Y95+X96</f>
        <v>-563699.705137903</v>
      </c>
      <c r="Z96" s="16" t="n">
        <f aca="false">Premissas!$C$14*(1+Premissas!$C$57)^((YEAR(Premissas!$C$19)-YEAR(Premissas!$C$18))*12+MONTH(Premissas!$C$19)-MONTH(Premissas!$C$18))*(1+Premissas!$C$61)^((YEAR($A96)-YEAR(Premissas!$C$19))*12+MONTH($A96)-MONTH(Premissas!$C$19))</f>
        <v>692328.757975208</v>
      </c>
      <c r="AA96" s="16" t="n">
        <f aca="false">IF($A96&gt;=Premissas!$C$25,Z96*(1-Premissas!$C$53)-N96-Premissas!$C$54*MAX(0,Z96*(1-Premissas!$C$53)-(Premissas!$C$14*(1+Premissas!$C$57)^((YEAR(Premissas!$C$25)-YEAR(Premissas!$C$18))*12+MONTH(Premissas!$C$25)-MONTH(Premissas!$C$18))*(1+Premissas!$C$34))),"")</f>
        <v>447287.328627099</v>
      </c>
      <c r="AB96" s="16" t="n">
        <f aca="false">IF($A96&gt;=Premissas!$C$25,Y96+AA96,"")</f>
        <v>-116412.376510804</v>
      </c>
      <c r="AC96" s="20" t="str">
        <f aca="false">IF(AND($A96&gt;=Premissas!$C$27,W96&gt;=M96),$A96,"")</f>
        <v/>
      </c>
      <c r="AD96" s="20" t="str">
        <f aca="false">IF(AND($A96&gt;=Premissas!$C$27,Y96&gt;=0),$A96,"")</f>
        <v/>
      </c>
      <c r="AE96" s="20" t="str">
        <f aca="false">IF(AND($A96&gt;=Premissas!$C$25,N(AB96)&gt;=0),$A96,"")</f>
        <v/>
      </c>
    </row>
    <row r="97" customFormat="false" ht="15" hidden="false" customHeight="false" outlineLevel="0" collapsed="false">
      <c r="A97" s="20" t="n">
        <f aca="false">DATE(YEAR(A96),MONTH(A96)+1,1)</f>
        <v>49188</v>
      </c>
      <c r="B97" s="5" t="str">
        <f aca="false">IF($A97&lt;Premissas!$C$25,"Obra",IF($A97=Premissas!$C$25,"Chaves",IF($A97&lt;Premissas!$C$27,"Mobiliando","Airbnb")))</f>
        <v>Airbnb</v>
      </c>
      <c r="C97" s="35" t="n">
        <f aca="false">(YEAR($A97)-YEAR(Premissas!$C$18))*12+MONTH($A97)-MONTH(Premissas!$C$18)</f>
        <v>96</v>
      </c>
      <c r="D97" s="16" t="n">
        <f aca="false">($A97=Premissas!$C$19)*Premissas!$C$8+(($A97=EDATE(Premissas!$C$19,1))+($A97=EDATE(Premissas!$C$19,2)))*Premissas!$C$9+AND($A97&gt;=Premissas!$C$20,$A97&lt;EDATE(Premissas!$C$20,Premissas!$C$21))*Premissas!$C$10+(($A97=Premissas!$C$22)+($A97=Premissas!$C$23)+($A97=Premissas!$C$24))*Premissas!$C$11+($A97=Premissas!$C$25)*Premissas!$C$12</f>
        <v>0</v>
      </c>
      <c r="E97" s="36" t="n">
        <f aca="false">(1+Premissas!$C$57)^C97</f>
        <v>1.53468651499615</v>
      </c>
      <c r="F97" s="16" t="n">
        <f aca="false">D97*E97</f>
        <v>0</v>
      </c>
      <c r="G97" s="16" t="n">
        <f aca="false">($A97=Premissas!$C$25)*Premissas!$C$34*Premissas!$C$14*(1+Premissas!$C$57)^C97</f>
        <v>0</v>
      </c>
      <c r="H97" s="16" t="n">
        <f aca="false">IF(AND($A97&gt;Premissas!$C$25,$A97&lt;Premissas!$C$27),Premissas!$C$35/MAX(1,Premissas!$C$26),0)</f>
        <v>0</v>
      </c>
      <c r="I97" s="35" t="n">
        <f aca="false">IF(AND($A97&gt;Premissas!$C$25,((YEAR($A97)-YEAR(Premissas!$C$25))*12+MONTH($A97)-MONTH(Premissas!$C$25))&lt;=Premissas!$C$32),((YEAR($A97)-YEAR(Premissas!$C$25))*12+MONTH($A97)-MONTH(Premissas!$C$25)),0)</f>
        <v>73</v>
      </c>
      <c r="J97" s="16" t="n">
        <f aca="false">IF(I97&gt;0,N96*(1+Premissas!$C$59),0)</f>
        <v>187698.027942316</v>
      </c>
      <c r="K97" s="16" t="n">
        <f aca="false">J97*Premissas!$C$58</f>
        <v>1781.02772137422</v>
      </c>
      <c r="L97" s="16" t="n">
        <f aca="false">IF(I97&gt;0,J97/(Premissas!$C$32-I97+1),0)</f>
        <v>3910.37558213158</v>
      </c>
      <c r="M97" s="16" t="n">
        <f aca="false">K97+L97</f>
        <v>5691.4033035058</v>
      </c>
      <c r="N97" s="16" t="n">
        <f aca="false">IF($A97=Premissas!$C$25,Premissas!$C$13*E97,IF(I97&gt;0,J97-L97,0))</f>
        <v>183787.652360184</v>
      </c>
      <c r="O97" s="37" t="n">
        <f aca="false">IF($A97&gt;=Premissas!$C$27,Premissas!$C$39*IF(((YEAR($A97)-YEAR(Premissas!$C$27))*12+MONTH($A97)-MONTH(Premissas!$C$27))&lt;Premissas!$C$41,Premissas!$C$42,1),0)</f>
        <v>0.62</v>
      </c>
      <c r="P97" s="16" t="n">
        <f aca="false">O97*Premissas!$C$38*Premissas!$C$40*(1+Premissas!$C$60)^((YEAR($A97)-YEAR(Premissas!$C$19))*12+MONTH($A97)-MONTH(Premissas!$C$19))</f>
        <v>5778.69422675065</v>
      </c>
      <c r="Q97" s="16" t="n">
        <f aca="false">P97*Premissas!$C$43</f>
        <v>924.591076280104</v>
      </c>
      <c r="R97" s="16" t="n">
        <f aca="false">P97*Premissas!$C$44</f>
        <v>1155.73884535013</v>
      </c>
      <c r="S97" s="16" t="n">
        <f aca="false">IF($A97&gt;=Premissas!$C$25,Premissas!$C$45*(1+Premissas!$C$60)^((YEAR($A97)-YEAR(Premissas!$C$19))*12+MONTH($A97)-MONTH(Premissas!$C$19)),0)</f>
        <v>1013.09506079079</v>
      </c>
      <c r="T97" s="16" t="n">
        <f aca="false">IF($A97&gt;=Premissas!$C$27,Premissas!$C$46*(1+Premissas!$C$60)^((YEAR($A97)-YEAR(Premissas!$C$19))*12+MONTH($A97)-MONTH(Premissas!$C$19)),0)</f>
        <v>405.238024316315</v>
      </c>
      <c r="U97" s="16" t="n">
        <f aca="false">IF($A97&gt;=Premissas!$C$27,Premissas!$C$47*(1+Premissas!$C$60)^((YEAR($A97)-YEAR(Premissas!$C$19))*12+MONTH($A97)-MONTH(Premissas!$C$19)),0)</f>
        <v>202.619012158157</v>
      </c>
      <c r="V97" s="16" t="n">
        <f aca="false">IF($A97&gt;=Premissas!$C$27,MAX(0,P97-Q97-R97-S97)*Premissas!$C$49,0)</f>
        <v>738.449042190648</v>
      </c>
      <c r="W97" s="16" t="n">
        <f aca="false">P97-Q97-R97-S97-T97-U97-V97</f>
        <v>1338.96316566451</v>
      </c>
      <c r="X97" s="16" t="n">
        <f aca="false">W97-F97-G97-H97-M97</f>
        <v>-4352.44013784129</v>
      </c>
      <c r="Y97" s="16" t="n">
        <f aca="false">Y96+X97</f>
        <v>-568052.145275745</v>
      </c>
      <c r="Z97" s="16" t="n">
        <f aca="false">Premissas!$C$14*(1+Premissas!$C$57)^((YEAR(Premissas!$C$19)-YEAR(Premissas!$C$18))*12+MONTH(Premissas!$C$19)-MONTH(Premissas!$C$18))*(1+Premissas!$C$61)^((YEAR($A97)-YEAR(Premissas!$C$19))*12+MONTH($A97)-MONTH(Premissas!$C$19))</f>
        <v>695149.391034179</v>
      </c>
      <c r="AA97" s="16" t="n">
        <f aca="false">IF($A97&gt;=Premissas!$C$25,Z97*(1-Premissas!$C$53)-N97-Premissas!$C$54*MAX(0,Z97*(1-Premissas!$C$53)-(Premissas!$C$14*(1+Premissas!$C$57)^((YEAR(Premissas!$C$25)-YEAR(Premissas!$C$18))*12+MONTH(Premissas!$C$25)-MONTH(Premissas!$C$18))*(1+Premissas!$C$34))),"")</f>
        <v>452838.92058779</v>
      </c>
      <c r="AB97" s="16" t="n">
        <f aca="false">IF($A97&gt;=Premissas!$C$25,Y97+AA97,"")</f>
        <v>-115213.224687955</v>
      </c>
      <c r="AC97" s="20" t="str">
        <f aca="false">IF(AND($A97&gt;=Premissas!$C$27,W97&gt;=M97),$A97,"")</f>
        <v/>
      </c>
      <c r="AD97" s="20" t="str">
        <f aca="false">IF(AND($A97&gt;=Premissas!$C$27,Y97&gt;=0),$A97,"")</f>
        <v/>
      </c>
      <c r="AE97" s="20" t="str">
        <f aca="false">IF(AND($A97&gt;=Premissas!$C$25,N(AB97)&gt;=0),$A97,"")</f>
        <v/>
      </c>
    </row>
    <row r="98" customFormat="false" ht="15" hidden="false" customHeight="false" outlineLevel="0" collapsed="false">
      <c r="A98" s="20" t="n">
        <f aca="false">DATE(YEAR(A97),MONTH(A97)+1,1)</f>
        <v>49218</v>
      </c>
      <c r="B98" s="5" t="str">
        <f aca="false">IF($A98&lt;Premissas!$C$25,"Obra",IF($A98=Premissas!$C$25,"Chaves",IF($A98&lt;Premissas!$C$27,"Mobiliando","Airbnb")))</f>
        <v>Airbnb</v>
      </c>
      <c r="C98" s="35" t="n">
        <f aca="false">(YEAR($A98)-YEAR(Premissas!$C$18))*12+MONTH($A98)-MONTH(Premissas!$C$18)</f>
        <v>97</v>
      </c>
      <c r="D98" s="16" t="n">
        <f aca="false">($A98=Premissas!$C$19)*Premissas!$C$8+(($A98=EDATE(Premissas!$C$19,1))+($A98=EDATE(Premissas!$C$19,2)))*Premissas!$C$9+AND($A98&gt;=Premissas!$C$20,$A98&lt;EDATE(Premissas!$C$20,Premissas!$C$21))*Premissas!$C$10+(($A98=Premissas!$C$22)+($A98=Premissas!$C$23)+($A98=Premissas!$C$24))*Premissas!$C$11+($A98=Premissas!$C$25)*Premissas!$C$12</f>
        <v>0</v>
      </c>
      <c r="E98" s="36" t="n">
        <f aca="false">(1+Premissas!$C$57)^C98</f>
        <v>1.54154917102326</v>
      </c>
      <c r="F98" s="16" t="n">
        <f aca="false">D98*E98</f>
        <v>0</v>
      </c>
      <c r="G98" s="16" t="n">
        <f aca="false">($A98=Premissas!$C$25)*Premissas!$C$34*Premissas!$C$14*(1+Premissas!$C$57)^C98</f>
        <v>0</v>
      </c>
      <c r="H98" s="16" t="n">
        <f aca="false">IF(AND($A98&gt;Premissas!$C$25,$A98&lt;Premissas!$C$27),Premissas!$C$35/MAX(1,Premissas!$C$26),0)</f>
        <v>0</v>
      </c>
      <c r="I98" s="35" t="n">
        <f aca="false">IF(AND($A98&gt;Premissas!$C$25,((YEAR($A98)-YEAR(Premissas!$C$25))*12+MONTH($A98)-MONTH(Premissas!$C$25))&lt;=Premissas!$C$32),((YEAR($A98)-YEAR(Premissas!$C$25))*12+MONTH($A98)-MONTH(Premissas!$C$25)),0)</f>
        <v>74</v>
      </c>
      <c r="J98" s="16" t="n">
        <f aca="false">IF(I98&gt;0,N97*(1+Premissas!$C$59),0)</f>
        <v>184389.325309193</v>
      </c>
      <c r="K98" s="16" t="n">
        <f aca="false">J98*Premissas!$C$58</f>
        <v>1749.6321272064</v>
      </c>
      <c r="L98" s="16" t="n">
        <f aca="false">IF(I98&gt;0,J98/(Premissas!$C$32-I98+1),0)</f>
        <v>3923.17713423814</v>
      </c>
      <c r="M98" s="16" t="n">
        <f aca="false">K98+L98</f>
        <v>5672.80926144454</v>
      </c>
      <c r="N98" s="16" t="n">
        <f aca="false">IF($A98=Premissas!$C$25,Premissas!$C$13*E98,IF(I98&gt;0,J98-L98,0))</f>
        <v>180466.148174955</v>
      </c>
      <c r="O98" s="37" t="n">
        <f aca="false">IF($A98&gt;=Premissas!$C$27,Premissas!$C$39*IF(((YEAR($A98)-YEAR(Premissas!$C$27))*12+MONTH($A98)-MONTH(Premissas!$C$27))&lt;Premissas!$C$41,Premissas!$C$42,1),0)</f>
        <v>0.62</v>
      </c>
      <c r="P98" s="16" t="n">
        <f aca="false">O98*Premissas!$C$38*Premissas!$C$40*(1+Premissas!$C$60)^((YEAR($A98)-YEAR(Premissas!$C$19))*12+MONTH($A98)-MONTH(Premissas!$C$19))</f>
        <v>5797.61216792993</v>
      </c>
      <c r="Q98" s="16" t="n">
        <f aca="false">P98*Premissas!$C$43</f>
        <v>927.617946868788</v>
      </c>
      <c r="R98" s="16" t="n">
        <f aca="false">P98*Premissas!$C$44</f>
        <v>1159.52243358599</v>
      </c>
      <c r="S98" s="16" t="n">
        <f aca="false">IF($A98&gt;=Premissas!$C$25,Premissas!$C$45*(1+Premissas!$C$60)^((YEAR($A98)-YEAR(Premissas!$C$19))*12+MONTH($A98)-MONTH(Premissas!$C$19)),0)</f>
        <v>1016.41167039445</v>
      </c>
      <c r="T98" s="16" t="n">
        <f aca="false">IF($A98&gt;=Premissas!$C$27,Premissas!$C$46*(1+Premissas!$C$60)^((YEAR($A98)-YEAR(Premissas!$C$19))*12+MONTH($A98)-MONTH(Premissas!$C$19)),0)</f>
        <v>406.564668157779</v>
      </c>
      <c r="U98" s="16" t="n">
        <f aca="false">IF($A98&gt;=Premissas!$C$27,Premissas!$C$47*(1+Premissas!$C$60)^((YEAR($A98)-YEAR(Premissas!$C$19))*12+MONTH($A98)-MONTH(Premissas!$C$19)),0)</f>
        <v>203.282334078889</v>
      </c>
      <c r="V98" s="16" t="n">
        <f aca="false">IF($A98&gt;=Premissas!$C$27,MAX(0,P98-Q98-R98-S98)*Premissas!$C$49,0)</f>
        <v>740.866532197194</v>
      </c>
      <c r="W98" s="16" t="n">
        <f aca="false">P98-Q98-R98-S98-T98-U98-V98</f>
        <v>1343.34658264684</v>
      </c>
      <c r="X98" s="16" t="n">
        <f aca="false">W98-F98-G98-H98-M98</f>
        <v>-4329.4626787977</v>
      </c>
      <c r="Y98" s="16" t="n">
        <f aca="false">Y97+X98</f>
        <v>-572381.607954542</v>
      </c>
      <c r="Z98" s="16" t="n">
        <f aca="false">Premissas!$C$14*(1+Premissas!$C$57)^((YEAR(Premissas!$C$19)-YEAR(Premissas!$C$18))*12+MONTH(Premissas!$C$19)-MONTH(Premissas!$C$18))*(1+Premissas!$C$61)^((YEAR($A98)-YEAR(Premissas!$C$19))*12+MONTH($A98)-MONTH(Premissas!$C$19))</f>
        <v>697981.51570138</v>
      </c>
      <c r="AA98" s="16" t="n">
        <f aca="false">IF($A98&gt;=Premissas!$C$25,Z98*(1-Premissas!$C$53)-N98-Premissas!$C$54*MAX(0,Z98*(1-Premissas!$C$53)-(Premissas!$C$14*(1+Premissas!$C$57)^((YEAR(Premissas!$C$25)-YEAR(Premissas!$C$18))*12+MONTH(Premissas!$C$25)-MONTH(Premissas!$C$18))*(1+Premissas!$C$34))),"")</f>
        <v>458423.292382113</v>
      </c>
      <c r="AB98" s="16" t="n">
        <f aca="false">IF($A98&gt;=Premissas!$C$25,Y98+AA98,"")</f>
        <v>-113958.315572429</v>
      </c>
      <c r="AC98" s="20" t="str">
        <f aca="false">IF(AND($A98&gt;=Premissas!$C$27,W98&gt;=M98),$A98,"")</f>
        <v/>
      </c>
      <c r="AD98" s="20" t="str">
        <f aca="false">IF(AND($A98&gt;=Premissas!$C$27,Y98&gt;=0),$A98,"")</f>
        <v/>
      </c>
      <c r="AE98" s="20" t="str">
        <f aca="false">IF(AND($A98&gt;=Premissas!$C$25,N(AB98)&gt;=0),$A98,"")</f>
        <v/>
      </c>
    </row>
    <row r="99" customFormat="false" ht="15" hidden="false" customHeight="false" outlineLevel="0" collapsed="false">
      <c r="A99" s="20" t="n">
        <f aca="false">DATE(YEAR(A98),MONTH(A98)+1,1)</f>
        <v>49249</v>
      </c>
      <c r="B99" s="5" t="str">
        <f aca="false">IF($A99&lt;Premissas!$C$25,"Obra",IF($A99=Premissas!$C$25,"Chaves",IF($A99&lt;Premissas!$C$27,"Mobiliando","Airbnb")))</f>
        <v>Airbnb</v>
      </c>
      <c r="C99" s="35" t="n">
        <f aca="false">(YEAR($A99)-YEAR(Premissas!$C$18))*12+MONTH($A99)-MONTH(Premissas!$C$18)</f>
        <v>98</v>
      </c>
      <c r="D99" s="16" t="n">
        <f aca="false">($A99=Premissas!$C$19)*Premissas!$C$8+(($A99=EDATE(Premissas!$C$19,1))+($A99=EDATE(Premissas!$C$19,2)))*Premissas!$C$9+AND($A99&gt;=Premissas!$C$20,$A99&lt;EDATE(Premissas!$C$20,Premissas!$C$21))*Premissas!$C$10+(($A99=Premissas!$C$22)+($A99=Premissas!$C$23)+($A99=Premissas!$C$24))*Premissas!$C$11+($A99=Premissas!$C$25)*Premissas!$C$12</f>
        <v>0</v>
      </c>
      <c r="E99" s="36" t="n">
        <f aca="false">(1+Premissas!$C$57)^C99</f>
        <v>1.5484425147819</v>
      </c>
      <c r="F99" s="16" t="n">
        <f aca="false">D99*E99</f>
        <v>0</v>
      </c>
      <c r="G99" s="16" t="n">
        <f aca="false">($A99=Premissas!$C$25)*Premissas!$C$34*Premissas!$C$14*(1+Premissas!$C$57)^C99</f>
        <v>0</v>
      </c>
      <c r="H99" s="16" t="n">
        <f aca="false">IF(AND($A99&gt;Premissas!$C$25,$A99&lt;Premissas!$C$27),Premissas!$C$35/MAX(1,Premissas!$C$26),0)</f>
        <v>0</v>
      </c>
      <c r="I99" s="35" t="n">
        <f aca="false">IF(AND($A99&gt;Premissas!$C$25,((YEAR($A99)-YEAR(Premissas!$C$25))*12+MONTH($A99)-MONTH(Premissas!$C$25))&lt;=Premissas!$C$32),((YEAR($A99)-YEAR(Premissas!$C$25))*12+MONTH($A99)-MONTH(Premissas!$C$25)),0)</f>
        <v>75</v>
      </c>
      <c r="J99" s="16" t="n">
        <f aca="false">IF(I99&gt;0,N98*(1+Premissas!$C$59),0)</f>
        <v>181056.947383575</v>
      </c>
      <c r="K99" s="16" t="n">
        <f aca="false">J99*Premissas!$C$58</f>
        <v>1718.01188309044</v>
      </c>
      <c r="L99" s="16" t="n">
        <f aca="false">IF(I99&gt;0,J99/(Premissas!$C$32-I99+1),0)</f>
        <v>3936.02059529511</v>
      </c>
      <c r="M99" s="16" t="n">
        <f aca="false">K99+L99</f>
        <v>5654.03247838555</v>
      </c>
      <c r="N99" s="16" t="n">
        <f aca="false">IF($A99=Premissas!$C$25,Premissas!$C$13*E99,IF(I99&gt;0,J99-L99,0))</f>
        <v>177120.92678828</v>
      </c>
      <c r="O99" s="37" t="n">
        <f aca="false">IF($A99&gt;=Premissas!$C$27,Premissas!$C$39*IF(((YEAR($A99)-YEAR(Premissas!$C$27))*12+MONTH($A99)-MONTH(Premissas!$C$27))&lt;Premissas!$C$41,Premissas!$C$42,1),0)</f>
        <v>0.62</v>
      </c>
      <c r="P99" s="16" t="n">
        <f aca="false">O99*Premissas!$C$38*Premissas!$C$40*(1+Premissas!$C$60)^((YEAR($A99)-YEAR(Premissas!$C$19))*12+MONTH($A99)-MONTH(Premissas!$C$19))</f>
        <v>5816.59204152584</v>
      </c>
      <c r="Q99" s="16" t="n">
        <f aca="false">P99*Premissas!$C$43</f>
        <v>930.654726644134</v>
      </c>
      <c r="R99" s="16" t="n">
        <f aca="false">P99*Premissas!$C$44</f>
        <v>1163.31840830517</v>
      </c>
      <c r="S99" s="16" t="n">
        <f aca="false">IF($A99&gt;=Premissas!$C$25,Premissas!$C$45*(1+Premissas!$C$60)^((YEAR($A99)-YEAR(Premissas!$C$19))*12+MONTH($A99)-MONTH(Premissas!$C$19)),0)</f>
        <v>1019.73913771491</v>
      </c>
      <c r="T99" s="16" t="n">
        <f aca="false">IF($A99&gt;=Premissas!$C$27,Premissas!$C$46*(1+Premissas!$C$60)^((YEAR($A99)-YEAR(Premissas!$C$19))*12+MONTH($A99)-MONTH(Premissas!$C$19)),0)</f>
        <v>407.895655085963</v>
      </c>
      <c r="U99" s="16" t="n">
        <f aca="false">IF($A99&gt;=Premissas!$C$27,Premissas!$C$47*(1+Premissas!$C$60)^((YEAR($A99)-YEAR(Premissas!$C$19))*12+MONTH($A99)-MONTH(Premissas!$C$19)),0)</f>
        <v>203.947827542982</v>
      </c>
      <c r="V99" s="16" t="n">
        <f aca="false">IF($A99&gt;=Premissas!$C$27,MAX(0,P99-Q99-R99-S99)*Premissas!$C$49,0)</f>
        <v>743.291936436948</v>
      </c>
      <c r="W99" s="16" t="n">
        <f aca="false">P99-Q99-R99-S99-T99-U99-V99</f>
        <v>1347.74434979574</v>
      </c>
      <c r="X99" s="16" t="n">
        <f aca="false">W99-F99-G99-H99-M99</f>
        <v>-4306.28812858982</v>
      </c>
      <c r="Y99" s="16" t="n">
        <f aca="false">Y98+X99</f>
        <v>-576687.896083132</v>
      </c>
      <c r="Z99" s="16" t="n">
        <f aca="false">Premissas!$C$14*(1+Premissas!$C$57)^((YEAR(Premissas!$C$19)-YEAR(Premissas!$C$18))*12+MONTH(Premissas!$C$19)-MONTH(Premissas!$C$18))*(1+Premissas!$C$61)^((YEAR($A99)-YEAR(Premissas!$C$19))*12+MONTH($A99)-MONTH(Premissas!$C$19))</f>
        <v>700825.178795046</v>
      </c>
      <c r="AA99" s="16" t="n">
        <f aca="false">IF($A99&gt;=Premissas!$C$25,Z99*(1-Premissas!$C$53)-N99-Premissas!$C$54*MAX(0,Z99*(1-Premissas!$C$53)-(Premissas!$C$14*(1+Premissas!$C$57)^((YEAR(Premissas!$C$25)-YEAR(Premissas!$C$18))*12+MONTH(Premissas!$C$25)-MONTH(Premissas!$C$18))*(1+Premissas!$C$34))),"")</f>
        <v>464040.600580627</v>
      </c>
      <c r="AB99" s="16" t="n">
        <f aca="false">IF($A99&gt;=Premissas!$C$25,Y99+AA99,"")</f>
        <v>-112647.295502506</v>
      </c>
      <c r="AC99" s="20" t="str">
        <f aca="false">IF(AND($A99&gt;=Premissas!$C$27,W99&gt;=M99),$A99,"")</f>
        <v/>
      </c>
      <c r="AD99" s="20" t="str">
        <f aca="false">IF(AND($A99&gt;=Premissas!$C$27,Y99&gt;=0),$A99,"")</f>
        <v/>
      </c>
      <c r="AE99" s="20" t="str">
        <f aca="false">IF(AND($A99&gt;=Premissas!$C$25,N(AB99)&gt;=0),$A99,"")</f>
        <v/>
      </c>
    </row>
    <row r="100" customFormat="false" ht="15" hidden="false" customHeight="false" outlineLevel="0" collapsed="false">
      <c r="A100" s="20" t="n">
        <f aca="false">DATE(YEAR(A99),MONTH(A99)+1,1)</f>
        <v>49279</v>
      </c>
      <c r="B100" s="5" t="str">
        <f aca="false">IF($A100&lt;Premissas!$C$25,"Obra",IF($A100=Premissas!$C$25,"Chaves",IF($A100&lt;Premissas!$C$27,"Mobiliando","Airbnb")))</f>
        <v>Airbnb</v>
      </c>
      <c r="C100" s="35" t="n">
        <f aca="false">(YEAR($A100)-YEAR(Premissas!$C$18))*12+MONTH($A100)-MONTH(Premissas!$C$18)</f>
        <v>99</v>
      </c>
      <c r="D100" s="16" t="n">
        <f aca="false">($A100=Premissas!$C$19)*Premissas!$C$8+(($A100=EDATE(Premissas!$C$19,1))+($A100=EDATE(Premissas!$C$19,2)))*Premissas!$C$9+AND($A100&gt;=Premissas!$C$20,$A100&lt;EDATE(Premissas!$C$20,Premissas!$C$21))*Premissas!$C$10+(($A100=Premissas!$C$22)+($A100=Premissas!$C$23)+($A100=Premissas!$C$24))*Premissas!$C$11+($A100=Premissas!$C$25)*Premissas!$C$12</f>
        <v>0</v>
      </c>
      <c r="E100" s="36" t="n">
        <f aca="false">(1+Premissas!$C$57)^C100</f>
        <v>1.55536668349835</v>
      </c>
      <c r="F100" s="16" t="n">
        <f aca="false">D100*E100</f>
        <v>0</v>
      </c>
      <c r="G100" s="16" t="n">
        <f aca="false">($A100=Premissas!$C$25)*Premissas!$C$34*Premissas!$C$14*(1+Premissas!$C$57)^C100</f>
        <v>0</v>
      </c>
      <c r="H100" s="16" t="n">
        <f aca="false">IF(AND($A100&gt;Premissas!$C$25,$A100&lt;Premissas!$C$27),Premissas!$C$35/MAX(1,Premissas!$C$26),0)</f>
        <v>0</v>
      </c>
      <c r="I100" s="35" t="n">
        <f aca="false">IF(AND($A100&gt;Premissas!$C$25,((YEAR($A100)-YEAR(Premissas!$C$25))*12+MONTH($A100)-MONTH(Premissas!$C$25))&lt;=Premissas!$C$32),((YEAR($A100)-YEAR(Premissas!$C$25))*12+MONTH($A100)-MONTH(Premissas!$C$25)),0)</f>
        <v>76</v>
      </c>
      <c r="J100" s="16" t="n">
        <f aca="false">IF(I100&gt;0,N99*(1+Premissas!$C$59),0)</f>
        <v>177700.774612567</v>
      </c>
      <c r="K100" s="16" t="n">
        <f aca="false">J100*Premissas!$C$58</f>
        <v>1686.16585461366</v>
      </c>
      <c r="L100" s="16" t="n">
        <f aca="false">IF(I100&gt;0,J100/(Premissas!$C$32-I100+1),0)</f>
        <v>3948.90610250148</v>
      </c>
      <c r="M100" s="16" t="n">
        <f aca="false">K100+L100</f>
        <v>5635.07195711514</v>
      </c>
      <c r="N100" s="16" t="n">
        <f aca="false">IF($A100=Premissas!$C$25,Premissas!$C$13*E100,IF(I100&gt;0,J100-L100,0))</f>
        <v>173751.868510065</v>
      </c>
      <c r="O100" s="37" t="n">
        <f aca="false">IF($A100&gt;=Premissas!$C$27,Premissas!$C$39*IF(((YEAR($A100)-YEAR(Premissas!$C$27))*12+MONTH($A100)-MONTH(Premissas!$C$27))&lt;Premissas!$C$41,Premissas!$C$42,1),0)</f>
        <v>0.62</v>
      </c>
      <c r="P100" s="16" t="n">
        <f aca="false">O100*Premissas!$C$38*Premissas!$C$40*(1+Premissas!$C$60)^((YEAR($A100)-YEAR(Premissas!$C$19))*12+MONTH($A100)-MONTH(Premissas!$C$19))</f>
        <v>5835.634050289</v>
      </c>
      <c r="Q100" s="16" t="n">
        <f aca="false">P100*Premissas!$C$43</f>
        <v>933.701448046241</v>
      </c>
      <c r="R100" s="16" t="n">
        <f aca="false">P100*Premissas!$C$44</f>
        <v>1167.1268100578</v>
      </c>
      <c r="S100" s="16" t="n">
        <f aca="false">IF($A100&gt;=Premissas!$C$25,Premissas!$C$45*(1+Premissas!$C$60)^((YEAR($A100)-YEAR(Premissas!$C$19))*12+MONTH($A100)-MONTH(Premissas!$C$19)),0)</f>
        <v>1023.07749829751</v>
      </c>
      <c r="T100" s="16" t="n">
        <f aca="false">IF($A100&gt;=Premissas!$C$27,Premissas!$C$46*(1+Premissas!$C$60)^((YEAR($A100)-YEAR(Premissas!$C$19))*12+MONTH($A100)-MONTH(Premissas!$C$19)),0)</f>
        <v>409.230999319004</v>
      </c>
      <c r="U100" s="16" t="n">
        <f aca="false">IF($A100&gt;=Premissas!$C$27,Premissas!$C$47*(1+Premissas!$C$60)^((YEAR($A100)-YEAR(Premissas!$C$19))*12+MONTH($A100)-MONTH(Premissas!$C$19)),0)</f>
        <v>204.615499659502</v>
      </c>
      <c r="V100" s="16" t="n">
        <f aca="false">IF($A100&gt;=Premissas!$C$27,MAX(0,P100-Q100-R100-S100)*Premissas!$C$49,0)</f>
        <v>745.725280819049</v>
      </c>
      <c r="W100" s="16" t="n">
        <f aca="false">P100-Q100-R100-S100-T100-U100-V100</f>
        <v>1352.1565140899</v>
      </c>
      <c r="X100" s="16" t="n">
        <f aca="false">W100-F100-G100-H100-M100</f>
        <v>-4282.91544302524</v>
      </c>
      <c r="Y100" s="16" t="n">
        <f aca="false">Y99+X100</f>
        <v>-580970.811526157</v>
      </c>
      <c r="Z100" s="16" t="n">
        <f aca="false">Premissas!$C$14*(1+Premissas!$C$57)^((YEAR(Premissas!$C$19)-YEAR(Premissas!$C$18))*12+MONTH(Premissas!$C$19)-MONTH(Premissas!$C$18))*(1+Premissas!$C$61)^((YEAR($A100)-YEAR(Premissas!$C$19))*12+MONTH($A100)-MONTH(Premissas!$C$19))</f>
        <v>703680.427324154</v>
      </c>
      <c r="AA100" s="16" t="n">
        <f aca="false">IF($A100&gt;=Premissas!$C$25,Z100*(1-Premissas!$C$53)-N100-Premissas!$C$54*MAX(0,Z100*(1-Premissas!$C$53)-(Premissas!$C$14*(1+Premissas!$C$57)^((YEAR(Premissas!$C$25)-YEAR(Premissas!$C$18))*12+MONTH(Premissas!$C$25)-MONTH(Premissas!$C$18))*(1+Premissas!$C$34))),"")</f>
        <v>469691.002433599</v>
      </c>
      <c r="AB100" s="16" t="n">
        <f aca="false">IF($A100&gt;=Premissas!$C$25,Y100+AA100,"")</f>
        <v>-111279.809092558</v>
      </c>
      <c r="AC100" s="20" t="str">
        <f aca="false">IF(AND($A100&gt;=Premissas!$C$27,W100&gt;=M100),$A100,"")</f>
        <v/>
      </c>
      <c r="AD100" s="20" t="str">
        <f aca="false">IF(AND($A100&gt;=Premissas!$C$27,Y100&gt;=0),$A100,"")</f>
        <v/>
      </c>
      <c r="AE100" s="20" t="str">
        <f aca="false">IF(AND($A100&gt;=Premissas!$C$25,N(AB100)&gt;=0),$A100,"")</f>
        <v/>
      </c>
    </row>
    <row r="101" customFormat="false" ht="15" hidden="false" customHeight="false" outlineLevel="0" collapsed="false">
      <c r="A101" s="29" t="n">
        <f aca="false">DATE(YEAR(A100),MONTH(A100)+1,1)</f>
        <v>49310</v>
      </c>
      <c r="B101" s="30" t="str">
        <f aca="false">IF($A101&lt;Premissas!$C$25,"Obra",IF($A101=Premissas!$C$25,"Chaves",IF($A101&lt;Premissas!$C$27,"Mobiliando","Airbnb")))</f>
        <v>Airbnb</v>
      </c>
      <c r="C101" s="31" t="n">
        <f aca="false">(YEAR($A101)-YEAR(Premissas!$C$18))*12+MONTH($A101)-MONTH(Premissas!$C$18)</f>
        <v>100</v>
      </c>
      <c r="D101" s="32" t="n">
        <f aca="false">($A101=Premissas!$C$19)*Premissas!$C$8+(($A101=EDATE(Premissas!$C$19,1))+($A101=EDATE(Premissas!$C$19,2)))*Premissas!$C$9+AND($A101&gt;=Premissas!$C$20,$A101&lt;EDATE(Premissas!$C$20,Premissas!$C$21))*Premissas!$C$10+(($A101=Premissas!$C$22)+($A101=Premissas!$C$23)+($A101=Premissas!$C$24))*Premissas!$C$11+($A101=Premissas!$C$25)*Premissas!$C$12</f>
        <v>0</v>
      </c>
      <c r="E101" s="33" t="n">
        <f aca="false">(1+Premissas!$C$57)^C101</f>
        <v>1.56232181501255</v>
      </c>
      <c r="F101" s="32" t="n">
        <f aca="false">D101*E101</f>
        <v>0</v>
      </c>
      <c r="G101" s="32" t="n">
        <f aca="false">($A101=Premissas!$C$25)*Premissas!$C$34*Premissas!$C$14*(1+Premissas!$C$57)^C101</f>
        <v>0</v>
      </c>
      <c r="H101" s="32" t="n">
        <f aca="false">IF(AND($A101&gt;Premissas!$C$25,$A101&lt;Premissas!$C$27),Premissas!$C$35/MAX(1,Premissas!$C$26),0)</f>
        <v>0</v>
      </c>
      <c r="I101" s="31" t="n">
        <f aca="false">IF(AND($A101&gt;Premissas!$C$25,((YEAR($A101)-YEAR(Premissas!$C$25))*12+MONTH($A101)-MONTH(Premissas!$C$25))&lt;=Premissas!$C$32),((YEAR($A101)-YEAR(Premissas!$C$25))*12+MONTH($A101)-MONTH(Premissas!$C$25)),0)</f>
        <v>77</v>
      </c>
      <c r="J101" s="32" t="n">
        <f aca="false">IF(I101&gt;0,N100*(1+Premissas!$C$59),0)</f>
        <v>174320.686914238</v>
      </c>
      <c r="K101" s="32" t="n">
        <f aca="false">J101*Premissas!$C$58</f>
        <v>1654.09290234348</v>
      </c>
      <c r="L101" s="32" t="n">
        <f aca="false">IF(I101&gt;0,J101/(Premissas!$C$32-I101+1),0)</f>
        <v>3961.83379350541</v>
      </c>
      <c r="M101" s="32" t="n">
        <f aca="false">K101+L101</f>
        <v>5615.92669584889</v>
      </c>
      <c r="N101" s="32" t="n">
        <f aca="false">IF($A101=Premissas!$C$25,Premissas!$C$13*E101,IF(I101&gt;0,J101-L101,0))</f>
        <v>170358.853120733</v>
      </c>
      <c r="O101" s="34" t="n">
        <f aca="false">IF($A101&gt;=Premissas!$C$27,Premissas!$C$39*IF(((YEAR($A101)-YEAR(Premissas!$C$27))*12+MONTH($A101)-MONTH(Premissas!$C$27))&lt;Premissas!$C$41,Premissas!$C$42,1),0)</f>
        <v>0.62</v>
      </c>
      <c r="P101" s="32" t="n">
        <f aca="false">O101*Premissas!$C$38*Premissas!$C$40*(1+Premissas!$C$60)^((YEAR($A101)-YEAR(Premissas!$C$19))*12+MONTH($A101)-MONTH(Premissas!$C$19))</f>
        <v>5854.73839763379</v>
      </c>
      <c r="Q101" s="32" t="n">
        <f aca="false">P101*Premissas!$C$43</f>
        <v>936.758143621406</v>
      </c>
      <c r="R101" s="32" t="n">
        <f aca="false">P101*Premissas!$C$44</f>
        <v>1170.94767952676</v>
      </c>
      <c r="S101" s="32" t="n">
        <f aca="false">IF($A101&gt;=Premissas!$C$25,Premissas!$C$45*(1+Premissas!$C$60)^((YEAR($A101)-YEAR(Premissas!$C$19))*12+MONTH($A101)-MONTH(Premissas!$C$19)),0)</f>
        <v>1026.42678780396</v>
      </c>
      <c r="T101" s="32" t="n">
        <f aca="false">IF($A101&gt;=Premissas!$C$27,Premissas!$C$46*(1+Premissas!$C$60)^((YEAR($A101)-YEAR(Premissas!$C$19))*12+MONTH($A101)-MONTH(Premissas!$C$19)),0)</f>
        <v>410.570715121584</v>
      </c>
      <c r="U101" s="32" t="n">
        <f aca="false">IF($A101&gt;=Premissas!$C$27,Premissas!$C$47*(1+Premissas!$C$60)^((YEAR($A101)-YEAR(Premissas!$C$19))*12+MONTH($A101)-MONTH(Premissas!$C$19)),0)</f>
        <v>205.285357560792</v>
      </c>
      <c r="V101" s="32" t="n">
        <f aca="false">IF($A101&gt;=Premissas!$C$27,MAX(0,P101-Q101-R101-S101)*Premissas!$C$49,0)</f>
        <v>748.166591337458</v>
      </c>
      <c r="W101" s="32" t="n">
        <f aca="false">P101-Q101-R101-S101-T101-U101-V101</f>
        <v>1356.58312266183</v>
      </c>
      <c r="X101" s="32" t="n">
        <f aca="false">W101-F101-G101-H101-M101</f>
        <v>-4259.34357318706</v>
      </c>
      <c r="Y101" s="32" t="n">
        <f aca="false">Y100+X101</f>
        <v>-585230.155099344</v>
      </c>
      <c r="Z101" s="32" t="n">
        <f aca="false">Premissas!$C$14*(1+Premissas!$C$57)^((YEAR(Premissas!$C$19)-YEAR(Premissas!$C$18))*12+MONTH(Premissas!$C$19)-MONTH(Premissas!$C$18))*(1+Premissas!$C$61)^((YEAR($A101)-YEAR(Premissas!$C$19))*12+MONTH($A101)-MONTH(Premissas!$C$19))</f>
        <v>706547.308489203</v>
      </c>
      <c r="AA101" s="32" t="n">
        <f aca="false">IF($A101&gt;=Premissas!$C$25,Z101*(1-Premissas!$C$53)-N101-Premissas!$C$54*MAX(0,Z101*(1-Premissas!$C$53)-(Premissas!$C$14*(1+Premissas!$C$57)^((YEAR(Premissas!$C$25)-YEAR(Premissas!$C$18))*12+MONTH(Premissas!$C$25)-MONTH(Premissas!$C$18))*(1+Premissas!$C$34))),"")</f>
        <v>475374.655873806</v>
      </c>
      <c r="AB101" s="32" t="n">
        <f aca="false">IF($A101&gt;=Premissas!$C$25,Y101+AA101,"")</f>
        <v>-109855.499225538</v>
      </c>
      <c r="AC101" s="29" t="str">
        <f aca="false">IF(AND($A101&gt;=Premissas!$C$27,W101&gt;=M101),$A101,"")</f>
        <v/>
      </c>
      <c r="AD101" s="29" t="str">
        <f aca="false">IF(AND($A101&gt;=Premissas!$C$27,Y101&gt;=0),$A101,"")</f>
        <v/>
      </c>
      <c r="AE101" s="29" t="str">
        <f aca="false">IF(AND($A101&gt;=Premissas!$C$25,N(AB101)&gt;=0),$A101,"")</f>
        <v/>
      </c>
    </row>
    <row r="102" customFormat="false" ht="15" hidden="false" customHeight="false" outlineLevel="0" collapsed="false">
      <c r="A102" s="20" t="n">
        <f aca="false">DATE(YEAR(A101),MONTH(A101)+1,1)</f>
        <v>49341</v>
      </c>
      <c r="B102" s="5" t="str">
        <f aca="false">IF($A102&lt;Premissas!$C$25,"Obra",IF($A102=Premissas!$C$25,"Chaves",IF($A102&lt;Premissas!$C$27,"Mobiliando","Airbnb")))</f>
        <v>Airbnb</v>
      </c>
      <c r="C102" s="35" t="n">
        <f aca="false">(YEAR($A102)-YEAR(Premissas!$C$18))*12+MONTH($A102)-MONTH(Premissas!$C$18)</f>
        <v>101</v>
      </c>
      <c r="D102" s="16" t="n">
        <f aca="false">($A102=Premissas!$C$19)*Premissas!$C$8+(($A102=EDATE(Premissas!$C$19,1))+($A102=EDATE(Premissas!$C$19,2)))*Premissas!$C$9+AND($A102&gt;=Premissas!$C$20,$A102&lt;EDATE(Premissas!$C$20,Premissas!$C$21))*Premissas!$C$10+(($A102=Premissas!$C$22)+($A102=Premissas!$C$23)+($A102=Premissas!$C$24))*Premissas!$C$11+($A102=Premissas!$C$25)*Premissas!$C$12</f>
        <v>0</v>
      </c>
      <c r="E102" s="36" t="n">
        <f aca="false">(1+Premissas!$C$57)^C102</f>
        <v>1.56930804778082</v>
      </c>
      <c r="F102" s="16" t="n">
        <f aca="false">D102*E102</f>
        <v>0</v>
      </c>
      <c r="G102" s="16" t="n">
        <f aca="false">($A102=Premissas!$C$25)*Premissas!$C$34*Premissas!$C$14*(1+Premissas!$C$57)^C102</f>
        <v>0</v>
      </c>
      <c r="H102" s="16" t="n">
        <f aca="false">IF(AND($A102&gt;Premissas!$C$25,$A102&lt;Premissas!$C$27),Premissas!$C$35/MAX(1,Premissas!$C$26),0)</f>
        <v>0</v>
      </c>
      <c r="I102" s="35" t="n">
        <f aca="false">IF(AND($A102&gt;Premissas!$C$25,((YEAR($A102)-YEAR(Premissas!$C$25))*12+MONTH($A102)-MONTH(Premissas!$C$25))&lt;=Premissas!$C$32),((YEAR($A102)-YEAR(Premissas!$C$25))*12+MONTH($A102)-MONTH(Premissas!$C$25)),0)</f>
        <v>78</v>
      </c>
      <c r="J102" s="16" t="n">
        <f aca="false">IF(I102&gt;0,N101*(1+Premissas!$C$59),0)</f>
        <v>170916.563675444</v>
      </c>
      <c r="K102" s="16" t="n">
        <f aca="false">J102*Premissas!$C$58</f>
        <v>1621.79188180676</v>
      </c>
      <c r="L102" s="16" t="n">
        <f aca="false">IF(I102&gt;0,J102/(Premissas!$C$32-I102+1),0)</f>
        <v>3974.80380640567</v>
      </c>
      <c r="M102" s="16" t="n">
        <f aca="false">K102+L102</f>
        <v>5596.59568821243</v>
      </c>
      <c r="N102" s="16" t="n">
        <f aca="false">IF($A102=Premissas!$C$25,Premissas!$C$13*E102,IF(I102&gt;0,J102-L102,0))</f>
        <v>166941.759869038</v>
      </c>
      <c r="O102" s="37" t="n">
        <f aca="false">IF($A102&gt;=Premissas!$C$27,Premissas!$C$39*IF(((YEAR($A102)-YEAR(Premissas!$C$27))*12+MONTH($A102)-MONTH(Premissas!$C$27))&lt;Premissas!$C$41,Premissas!$C$42,1),0)</f>
        <v>0.62</v>
      </c>
      <c r="P102" s="16" t="n">
        <f aca="false">O102*Premissas!$C$38*Premissas!$C$40*(1+Premissas!$C$60)^((YEAR($A102)-YEAR(Premissas!$C$19))*12+MONTH($A102)-MONTH(Premissas!$C$19))</f>
        <v>5873.90528764049</v>
      </c>
      <c r="Q102" s="16" t="n">
        <f aca="false">P102*Premissas!$C$43</f>
        <v>939.824846022479</v>
      </c>
      <c r="R102" s="16" t="n">
        <f aca="false">P102*Premissas!$C$44</f>
        <v>1174.7810575281</v>
      </c>
      <c r="S102" s="16" t="n">
        <f aca="false">IF($A102&gt;=Premissas!$C$25,Premissas!$C$45*(1+Premissas!$C$60)^((YEAR($A102)-YEAR(Premissas!$C$19))*12+MONTH($A102)-MONTH(Premissas!$C$19)),0)</f>
        <v>1029.78704201271</v>
      </c>
      <c r="T102" s="16" t="n">
        <f aca="false">IF($A102&gt;=Premissas!$C$27,Premissas!$C$46*(1+Premissas!$C$60)^((YEAR($A102)-YEAR(Premissas!$C$19))*12+MONTH($A102)-MONTH(Premissas!$C$19)),0)</f>
        <v>411.914816805083</v>
      </c>
      <c r="U102" s="16" t="n">
        <f aca="false">IF($A102&gt;=Premissas!$C$27,Premissas!$C$47*(1+Premissas!$C$60)^((YEAR($A102)-YEAR(Premissas!$C$19))*12+MONTH($A102)-MONTH(Premissas!$C$19)),0)</f>
        <v>205.957408402542</v>
      </c>
      <c r="V102" s="16" t="n">
        <f aca="false">IF($A102&gt;=Premissas!$C$27,MAX(0,P102-Q102-R102-S102)*Premissas!$C$49,0)</f>
        <v>750.615894071231</v>
      </c>
      <c r="W102" s="16" t="n">
        <f aca="false">P102-Q102-R102-S102-T102-U102-V102</f>
        <v>1361.02422279835</v>
      </c>
      <c r="X102" s="16" t="n">
        <f aca="false">W102-F102-G102-H102-M102</f>
        <v>-4235.57146541408</v>
      </c>
      <c r="Y102" s="16" t="n">
        <f aca="false">Y101+X102</f>
        <v>-589465.726564759</v>
      </c>
      <c r="Z102" s="16" t="n">
        <f aca="false">Premissas!$C$14*(1+Premissas!$C$57)^((YEAR(Premissas!$C$19)-YEAR(Premissas!$C$18))*12+MONTH(Premissas!$C$19)-MONTH(Premissas!$C$18))*(1+Premissas!$C$61)^((YEAR($A102)-YEAR(Premissas!$C$19))*12+MONTH($A102)-MONTH(Premissas!$C$19))</f>
        <v>709425.869682992</v>
      </c>
      <c r="AA102" s="16" t="n">
        <f aca="false">IF($A102&gt;=Premissas!$C$25,Z102*(1-Premissas!$C$53)-N102-Premissas!$C$54*MAX(0,Z102*(1-Premissas!$C$53)-(Premissas!$C$14*(1+Premissas!$C$57)^((YEAR(Premissas!$C$25)-YEAR(Premissas!$C$18))*12+MONTH(Premissas!$C$25)-MONTH(Premissas!$C$18))*(1+Premissas!$C$34))),"")</f>
        <v>481091.719519338</v>
      </c>
      <c r="AB102" s="16" t="n">
        <f aca="false">IF($A102&gt;=Premissas!$C$25,Y102+AA102,"")</f>
        <v>-108374.007045421</v>
      </c>
      <c r="AC102" s="20" t="str">
        <f aca="false">IF(AND($A102&gt;=Premissas!$C$27,W102&gt;=M102),$A102,"")</f>
        <v/>
      </c>
      <c r="AD102" s="20" t="str">
        <f aca="false">IF(AND($A102&gt;=Premissas!$C$27,Y102&gt;=0),$A102,"")</f>
        <v/>
      </c>
      <c r="AE102" s="20" t="str">
        <f aca="false">IF(AND($A102&gt;=Premissas!$C$25,N(AB102)&gt;=0),$A102,"")</f>
        <v/>
      </c>
    </row>
    <row r="103" customFormat="false" ht="15" hidden="false" customHeight="false" outlineLevel="0" collapsed="false">
      <c r="A103" s="20" t="n">
        <f aca="false">DATE(YEAR(A102),MONTH(A102)+1,1)</f>
        <v>49369</v>
      </c>
      <c r="B103" s="5" t="str">
        <f aca="false">IF($A103&lt;Premissas!$C$25,"Obra",IF($A103=Premissas!$C$25,"Chaves",IF($A103&lt;Premissas!$C$27,"Mobiliando","Airbnb")))</f>
        <v>Airbnb</v>
      </c>
      <c r="C103" s="35" t="n">
        <f aca="false">(YEAR($A103)-YEAR(Premissas!$C$18))*12+MONTH($A103)-MONTH(Premissas!$C$18)</f>
        <v>102</v>
      </c>
      <c r="D103" s="16" t="n">
        <f aca="false">($A103=Premissas!$C$19)*Premissas!$C$8+(($A103=EDATE(Premissas!$C$19,1))+($A103=EDATE(Premissas!$C$19,2)))*Premissas!$C$9+AND($A103&gt;=Premissas!$C$20,$A103&lt;EDATE(Premissas!$C$20,Premissas!$C$21))*Premissas!$C$10+(($A103=Premissas!$C$22)+($A103=Premissas!$C$23)+($A103=Premissas!$C$24))*Premissas!$C$11+($A103=Premissas!$C$25)*Premissas!$C$12</f>
        <v>0</v>
      </c>
      <c r="E103" s="36" t="n">
        <f aca="false">(1+Premissas!$C$57)^C103</f>
        <v>1.57632552087859</v>
      </c>
      <c r="F103" s="16" t="n">
        <f aca="false">D103*E103</f>
        <v>0</v>
      </c>
      <c r="G103" s="16" t="n">
        <f aca="false">($A103=Premissas!$C$25)*Premissas!$C$34*Premissas!$C$14*(1+Premissas!$C$57)^C103</f>
        <v>0</v>
      </c>
      <c r="H103" s="16" t="n">
        <f aca="false">IF(AND($A103&gt;Premissas!$C$25,$A103&lt;Premissas!$C$27),Premissas!$C$35/MAX(1,Premissas!$C$26),0)</f>
        <v>0</v>
      </c>
      <c r="I103" s="35" t="n">
        <f aca="false">IF(AND($A103&gt;Premissas!$C$25,((YEAR($A103)-YEAR(Premissas!$C$25))*12+MONTH($A103)-MONTH(Premissas!$C$25))&lt;=Premissas!$C$32),((YEAR($A103)-YEAR(Premissas!$C$25))*12+MONTH($A103)-MONTH(Premissas!$C$25)),0)</f>
        <v>79</v>
      </c>
      <c r="J103" s="16" t="n">
        <f aca="false">IF(I103&gt;0,N102*(1+Premissas!$C$59),0)</f>
        <v>167488.283749632</v>
      </c>
      <c r="K103" s="16" t="n">
        <f aca="false">J103*Premissas!$C$58</f>
        <v>1589.26164346894</v>
      </c>
      <c r="L103" s="16" t="n">
        <f aca="false">IF(I103&gt;0,J103/(Premissas!$C$32-I103+1),0)</f>
        <v>3987.81627975313</v>
      </c>
      <c r="M103" s="16" t="n">
        <f aca="false">K103+L103</f>
        <v>5577.07792322208</v>
      </c>
      <c r="N103" s="16" t="n">
        <f aca="false">IF($A103=Premissas!$C$25,Premissas!$C$13*E103,IF(I103&gt;0,J103-L103,0))</f>
        <v>163500.467469878</v>
      </c>
      <c r="O103" s="37" t="n">
        <f aca="false">IF($A103&gt;=Premissas!$C$27,Premissas!$C$39*IF(((YEAR($A103)-YEAR(Premissas!$C$27))*12+MONTH($A103)-MONTH(Premissas!$C$27))&lt;Premissas!$C$41,Premissas!$C$42,1),0)</f>
        <v>0.62</v>
      </c>
      <c r="P103" s="16" t="n">
        <f aca="false">O103*Premissas!$C$38*Premissas!$C$40*(1+Premissas!$C$60)^((YEAR($A103)-YEAR(Premissas!$C$19))*12+MONTH($A103)-MONTH(Premissas!$C$19))</f>
        <v>5893.13492505751</v>
      </c>
      <c r="Q103" s="16" t="n">
        <f aca="false">P103*Premissas!$C$43</f>
        <v>942.901588009201</v>
      </c>
      <c r="R103" s="16" t="n">
        <f aca="false">P103*Premissas!$C$44</f>
        <v>1178.6269850115</v>
      </c>
      <c r="S103" s="16" t="n">
        <f aca="false">IF($A103&gt;=Premissas!$C$25,Premissas!$C$45*(1+Premissas!$C$60)^((YEAR($A103)-YEAR(Premissas!$C$19))*12+MONTH($A103)-MONTH(Premissas!$C$19)),0)</f>
        <v>1033.15829681934</v>
      </c>
      <c r="T103" s="16" t="n">
        <f aca="false">IF($A103&gt;=Premissas!$C$27,Premissas!$C$46*(1+Premissas!$C$60)^((YEAR($A103)-YEAR(Premissas!$C$19))*12+MONTH($A103)-MONTH(Premissas!$C$19)),0)</f>
        <v>413.263318727735</v>
      </c>
      <c r="U103" s="16" t="n">
        <f aca="false">IF($A103&gt;=Premissas!$C$27,Premissas!$C$47*(1+Premissas!$C$60)^((YEAR($A103)-YEAR(Premissas!$C$19))*12+MONTH($A103)-MONTH(Premissas!$C$19)),0)</f>
        <v>206.631659363868</v>
      </c>
      <c r="V103" s="16" t="n">
        <f aca="false">IF($A103&gt;=Premissas!$C$27,MAX(0,P103-Q103-R103-S103)*Premissas!$C$49,0)</f>
        <v>753.073215184803</v>
      </c>
      <c r="W103" s="16" t="n">
        <f aca="false">P103-Q103-R103-S103-T103-U103-V103</f>
        <v>1365.47986194106</v>
      </c>
      <c r="X103" s="16" t="n">
        <f aca="false">W103-F103-G103-H103-M103</f>
        <v>-4211.59806128102</v>
      </c>
      <c r="Y103" s="16" t="n">
        <f aca="false">Y102+X103</f>
        <v>-593677.32462604</v>
      </c>
      <c r="Z103" s="16" t="n">
        <f aca="false">Premissas!$C$14*(1+Premissas!$C$57)^((YEAR(Premissas!$C$19)-YEAR(Premissas!$C$18))*12+MONTH(Premissas!$C$19)-MONTH(Premissas!$C$18))*(1+Premissas!$C$61)^((YEAR($A103)-YEAR(Premissas!$C$19))*12+MONTH($A103)-MONTH(Premissas!$C$19))</f>
        <v>712316.158491403</v>
      </c>
      <c r="AA103" s="16" t="n">
        <f aca="false">IF($A103&gt;=Premissas!$C$25,Z103*(1-Premissas!$C$53)-N103-Premissas!$C$54*MAX(0,Z103*(1-Premissas!$C$53)-(Premissas!$C$14*(1+Premissas!$C$57)^((YEAR(Premissas!$C$25)-YEAR(Premissas!$C$18))*12+MONTH(Premissas!$C$25)-MONTH(Premissas!$C$18))*(1+Premissas!$C$34))),"")</f>
        <v>486842.352676417</v>
      </c>
      <c r="AB103" s="16" t="n">
        <f aca="false">IF($A103&gt;=Premissas!$C$25,Y103+AA103,"")</f>
        <v>-106834.971949622</v>
      </c>
      <c r="AC103" s="20" t="str">
        <f aca="false">IF(AND($A103&gt;=Premissas!$C$27,W103&gt;=M103),$A103,"")</f>
        <v/>
      </c>
      <c r="AD103" s="20" t="str">
        <f aca="false">IF(AND($A103&gt;=Premissas!$C$27,Y103&gt;=0),$A103,"")</f>
        <v/>
      </c>
      <c r="AE103" s="20" t="str">
        <f aca="false">IF(AND($A103&gt;=Premissas!$C$25,N(AB103)&gt;=0),$A103,"")</f>
        <v/>
      </c>
    </row>
    <row r="104" customFormat="false" ht="15" hidden="false" customHeight="false" outlineLevel="0" collapsed="false">
      <c r="A104" s="20" t="n">
        <f aca="false">DATE(YEAR(A103),MONTH(A103)+1,1)</f>
        <v>49400</v>
      </c>
      <c r="B104" s="5" t="str">
        <f aca="false">IF($A104&lt;Premissas!$C$25,"Obra",IF($A104=Premissas!$C$25,"Chaves",IF($A104&lt;Premissas!$C$27,"Mobiliando","Airbnb")))</f>
        <v>Airbnb</v>
      </c>
      <c r="C104" s="35" t="n">
        <f aca="false">(YEAR($A104)-YEAR(Premissas!$C$18))*12+MONTH($A104)-MONTH(Premissas!$C$18)</f>
        <v>103</v>
      </c>
      <c r="D104" s="16" t="n">
        <f aca="false">($A104=Premissas!$C$19)*Premissas!$C$8+(($A104=EDATE(Premissas!$C$19,1))+($A104=EDATE(Premissas!$C$19,2)))*Premissas!$C$9+AND($A104&gt;=Premissas!$C$20,$A104&lt;EDATE(Premissas!$C$20,Premissas!$C$21))*Premissas!$C$10+(($A104=Premissas!$C$22)+($A104=Premissas!$C$23)+($A104=Premissas!$C$24))*Premissas!$C$11+($A104=Premissas!$C$25)*Premissas!$C$12</f>
        <v>0</v>
      </c>
      <c r="E104" s="36" t="n">
        <f aca="false">(1+Premissas!$C$57)^C104</f>
        <v>1.58337437400321</v>
      </c>
      <c r="F104" s="16" t="n">
        <f aca="false">D104*E104</f>
        <v>0</v>
      </c>
      <c r="G104" s="16" t="n">
        <f aca="false">($A104=Premissas!$C$25)*Premissas!$C$34*Premissas!$C$14*(1+Premissas!$C$57)^C104</f>
        <v>0</v>
      </c>
      <c r="H104" s="16" t="n">
        <f aca="false">IF(AND($A104&gt;Premissas!$C$25,$A104&lt;Premissas!$C$27),Premissas!$C$35/MAX(1,Premissas!$C$26),0)</f>
        <v>0</v>
      </c>
      <c r="I104" s="35" t="n">
        <f aca="false">IF(AND($A104&gt;Premissas!$C$25,((YEAR($A104)-YEAR(Premissas!$C$25))*12+MONTH($A104)-MONTH(Premissas!$C$25))&lt;=Premissas!$C$32),((YEAR($A104)-YEAR(Premissas!$C$25))*12+MONTH($A104)-MONTH(Premissas!$C$25)),0)</f>
        <v>80</v>
      </c>
      <c r="J104" s="16" t="n">
        <f aca="false">IF(I104&gt;0,N103*(1+Premissas!$C$59),0)</f>
        <v>164035.725454643</v>
      </c>
      <c r="K104" s="16" t="n">
        <f aca="false">J104*Premissas!$C$58</f>
        <v>1556.50103271322</v>
      </c>
      <c r="L104" s="16" t="n">
        <f aca="false">IF(I104&gt;0,J104/(Premissas!$C$32-I104+1),0)</f>
        <v>4000.87135255226</v>
      </c>
      <c r="M104" s="16" t="n">
        <f aca="false">K104+L104</f>
        <v>5557.37238526548</v>
      </c>
      <c r="N104" s="16" t="n">
        <f aca="false">IF($A104=Premissas!$C$25,Premissas!$C$13*E104,IF(I104&gt;0,J104-L104,0))</f>
        <v>160034.85410209</v>
      </c>
      <c r="O104" s="37" t="n">
        <f aca="false">IF($A104&gt;=Premissas!$C$27,Premissas!$C$39*IF(((YEAR($A104)-YEAR(Premissas!$C$27))*12+MONTH($A104)-MONTH(Premissas!$C$27))&lt;Premissas!$C$41,Premissas!$C$42,1),0)</f>
        <v>0.62</v>
      </c>
      <c r="P104" s="16" t="n">
        <f aca="false">O104*Premissas!$C$38*Premissas!$C$40*(1+Premissas!$C$60)^((YEAR($A104)-YEAR(Premissas!$C$19))*12+MONTH($A104)-MONTH(Premissas!$C$19))</f>
        <v>5912.42751530353</v>
      </c>
      <c r="Q104" s="16" t="n">
        <f aca="false">P104*Premissas!$C$43</f>
        <v>945.988402448566</v>
      </c>
      <c r="R104" s="16" t="n">
        <f aca="false">P104*Premissas!$C$44</f>
        <v>1182.48550306071</v>
      </c>
      <c r="S104" s="16" t="n">
        <f aca="false">IF($A104&gt;=Premissas!$C$25,Premissas!$C$45*(1+Premissas!$C$60)^((YEAR($A104)-YEAR(Premissas!$C$19))*12+MONTH($A104)-MONTH(Premissas!$C$19)),0)</f>
        <v>1036.54058823695</v>
      </c>
      <c r="T104" s="16" t="n">
        <f aca="false">IF($A104&gt;=Premissas!$C$27,Premissas!$C$46*(1+Premissas!$C$60)^((YEAR($A104)-YEAR(Premissas!$C$19))*12+MONTH($A104)-MONTH(Premissas!$C$19)),0)</f>
        <v>414.616235294778</v>
      </c>
      <c r="U104" s="16" t="n">
        <f aca="false">IF($A104&gt;=Premissas!$C$27,Premissas!$C$47*(1+Premissas!$C$60)^((YEAR($A104)-YEAR(Premissas!$C$19))*12+MONTH($A104)-MONTH(Premissas!$C$19)),0)</f>
        <v>207.308117647389</v>
      </c>
      <c r="V104" s="16" t="n">
        <f aca="false">IF($A104&gt;=Premissas!$C$27,MAX(0,P104-Q104-R104-S104)*Premissas!$C$49,0)</f>
        <v>755.538580928262</v>
      </c>
      <c r="W104" s="16" t="n">
        <f aca="false">P104-Q104-R104-S104-T104-U104-V104</f>
        <v>1369.95008768689</v>
      </c>
      <c r="X104" s="16" t="n">
        <f aca="false">W104-F104-G104-H104-M104</f>
        <v>-4187.42229757859</v>
      </c>
      <c r="Y104" s="16" t="n">
        <f aca="false">Y103+X104</f>
        <v>-597864.746923618</v>
      </c>
      <c r="Z104" s="16" t="n">
        <f aca="false">Premissas!$C$14*(1+Premissas!$C$57)^((YEAR(Premissas!$C$19)-YEAR(Premissas!$C$18))*12+MONTH(Premissas!$C$19)-MONTH(Premissas!$C$18))*(1+Premissas!$C$61)^((YEAR($A104)-YEAR(Premissas!$C$19))*12+MONTH($A104)-MONTH(Premissas!$C$19))</f>
        <v>715218.22269419</v>
      </c>
      <c r="AA104" s="16" t="n">
        <f aca="false">IF($A104&gt;=Premissas!$C$25,Z104*(1-Premissas!$C$53)-N104-Premissas!$C$54*MAX(0,Z104*(1-Premissas!$C$53)-(Premissas!$C$14*(1+Premissas!$C$57)^((YEAR(Premissas!$C$25)-YEAR(Premissas!$C$18))*12+MONTH(Premissas!$C$25)-MONTH(Premissas!$C$18))*(1+Premissas!$C$34))),"")</f>
        <v>492626.715342232</v>
      </c>
      <c r="AB104" s="16" t="n">
        <f aca="false">IF($A104&gt;=Premissas!$C$25,Y104+AA104,"")</f>
        <v>-105238.031581386</v>
      </c>
      <c r="AC104" s="20" t="str">
        <f aca="false">IF(AND($A104&gt;=Premissas!$C$27,W104&gt;=M104),$A104,"")</f>
        <v/>
      </c>
      <c r="AD104" s="20" t="str">
        <f aca="false">IF(AND($A104&gt;=Premissas!$C$27,Y104&gt;=0),$A104,"")</f>
        <v/>
      </c>
      <c r="AE104" s="20" t="str">
        <f aca="false">IF(AND($A104&gt;=Premissas!$C$25,N(AB104)&gt;=0),$A104,"")</f>
        <v/>
      </c>
    </row>
    <row r="105" customFormat="false" ht="15" hidden="false" customHeight="false" outlineLevel="0" collapsed="false">
      <c r="A105" s="20" t="n">
        <f aca="false">DATE(YEAR(A104),MONTH(A104)+1,1)</f>
        <v>49430</v>
      </c>
      <c r="B105" s="5" t="str">
        <f aca="false">IF($A105&lt;Premissas!$C$25,"Obra",IF($A105=Premissas!$C$25,"Chaves",IF($A105&lt;Premissas!$C$27,"Mobiliando","Airbnb")))</f>
        <v>Airbnb</v>
      </c>
      <c r="C105" s="35" t="n">
        <f aca="false">(YEAR($A105)-YEAR(Premissas!$C$18))*12+MONTH($A105)-MONTH(Premissas!$C$18)</f>
        <v>104</v>
      </c>
      <c r="D105" s="16" t="n">
        <f aca="false">($A105=Premissas!$C$19)*Premissas!$C$8+(($A105=EDATE(Premissas!$C$19,1))+($A105=EDATE(Premissas!$C$19,2)))*Premissas!$C$9+AND($A105&gt;=Premissas!$C$20,$A105&lt;EDATE(Premissas!$C$20,Premissas!$C$21))*Premissas!$C$10+(($A105=Premissas!$C$22)+($A105=Premissas!$C$23)+($A105=Premissas!$C$24))*Premissas!$C$11+($A105=Premissas!$C$25)*Premissas!$C$12</f>
        <v>0</v>
      </c>
      <c r="E105" s="36" t="n">
        <f aca="false">(1+Premissas!$C$57)^C105</f>
        <v>1.59045474747671</v>
      </c>
      <c r="F105" s="16" t="n">
        <f aca="false">D105*E105</f>
        <v>0</v>
      </c>
      <c r="G105" s="16" t="n">
        <f aca="false">($A105=Premissas!$C$25)*Premissas!$C$34*Premissas!$C$14*(1+Premissas!$C$57)^C105</f>
        <v>0</v>
      </c>
      <c r="H105" s="16" t="n">
        <f aca="false">IF(AND($A105&gt;Premissas!$C$25,$A105&lt;Premissas!$C$27),Premissas!$C$35/MAX(1,Premissas!$C$26),0)</f>
        <v>0</v>
      </c>
      <c r="I105" s="35" t="n">
        <f aca="false">IF(AND($A105&gt;Premissas!$C$25,((YEAR($A105)-YEAR(Premissas!$C$25))*12+MONTH($A105)-MONTH(Premissas!$C$25))&lt;=Premissas!$C$32),((YEAR($A105)-YEAR(Premissas!$C$25))*12+MONTH($A105)-MONTH(Premissas!$C$25)),0)</f>
        <v>81</v>
      </c>
      <c r="J105" s="16" t="n">
        <f aca="false">IF(I105&gt;0,N104*(1+Premissas!$C$59),0)</f>
        <v>160558.766570503</v>
      </c>
      <c r="K105" s="16" t="n">
        <f aca="false">J105*Premissas!$C$58</f>
        <v>1523.50888981956</v>
      </c>
      <c r="L105" s="16" t="n">
        <f aca="false">IF(I105&gt;0,J105/(Premissas!$C$32-I105+1),0)</f>
        <v>4013.96916426257</v>
      </c>
      <c r="M105" s="16" t="n">
        <f aca="false">K105+L105</f>
        <v>5537.47805408213</v>
      </c>
      <c r="N105" s="16" t="n">
        <f aca="false">IF($A105=Premissas!$C$25,Premissas!$C$13*E105,IF(I105&gt;0,J105-L105,0))</f>
        <v>156544.79740624</v>
      </c>
      <c r="O105" s="37" t="n">
        <f aca="false">IF($A105&gt;=Premissas!$C$27,Premissas!$C$39*IF(((YEAR($A105)-YEAR(Premissas!$C$27))*12+MONTH($A105)-MONTH(Premissas!$C$27))&lt;Premissas!$C$41,Premissas!$C$42,1),0)</f>
        <v>0.62</v>
      </c>
      <c r="P105" s="16" t="n">
        <f aca="false">O105*Premissas!$C$38*Premissas!$C$40*(1+Premissas!$C$60)^((YEAR($A105)-YEAR(Premissas!$C$19))*12+MONTH($A105)-MONTH(Premissas!$C$19))</f>
        <v>5931.78326446975</v>
      </c>
      <c r="Q105" s="16" t="n">
        <f aca="false">P105*Premissas!$C$43</f>
        <v>949.08532231516</v>
      </c>
      <c r="R105" s="16" t="n">
        <f aca="false">P105*Premissas!$C$44</f>
        <v>1186.35665289395</v>
      </c>
      <c r="S105" s="16" t="n">
        <f aca="false">IF($A105&gt;=Premissas!$C$25,Premissas!$C$45*(1+Premissas!$C$60)^((YEAR($A105)-YEAR(Premissas!$C$19))*12+MONTH($A105)-MONTH(Premissas!$C$19)),0)</f>
        <v>1039.93395239652</v>
      </c>
      <c r="T105" s="16" t="n">
        <f aca="false">IF($A105&gt;=Premissas!$C$27,Premissas!$C$46*(1+Premissas!$C$60)^((YEAR($A105)-YEAR(Premissas!$C$19))*12+MONTH($A105)-MONTH(Premissas!$C$19)),0)</f>
        <v>415.973580958608</v>
      </c>
      <c r="U105" s="16" t="n">
        <f aca="false">IF($A105&gt;=Premissas!$C$27,Premissas!$C$47*(1+Premissas!$C$60)^((YEAR($A105)-YEAR(Premissas!$C$19))*12+MONTH($A105)-MONTH(Premissas!$C$19)),0)</f>
        <v>207.986790479304</v>
      </c>
      <c r="V105" s="16" t="n">
        <f aca="false">IF($A105&gt;=Premissas!$C$27,MAX(0,P105-Q105-R105-S105)*Premissas!$C$49,0)</f>
        <v>758.012017637633</v>
      </c>
      <c r="W105" s="16" t="n">
        <f aca="false">P105-Q105-R105-S105-T105-U105-V105</f>
        <v>1374.43494778858</v>
      </c>
      <c r="X105" s="16" t="n">
        <f aca="false">W105-F105-G105-H105-M105</f>
        <v>-4163.04310629355</v>
      </c>
      <c r="Y105" s="16" t="n">
        <f aca="false">Y104+X105</f>
        <v>-602027.790029912</v>
      </c>
      <c r="Z105" s="16" t="n">
        <f aca="false">Premissas!$C$14*(1+Premissas!$C$57)^((YEAR(Premissas!$C$19)-YEAR(Premissas!$C$18))*12+MONTH(Premissas!$C$19)-MONTH(Premissas!$C$18))*(1+Premissas!$C$61)^((YEAR($A105)-YEAR(Premissas!$C$19))*12+MONTH($A105)-MONTH(Premissas!$C$19))</f>
        <v>718132.110265767</v>
      </c>
      <c r="AA105" s="16" t="n">
        <f aca="false">IF($A105&gt;=Premissas!$C$25,Z105*(1-Premissas!$C$53)-N105-Premissas!$C$54*MAX(0,Z105*(1-Premissas!$C$53)-(Premissas!$C$14*(1+Premissas!$C$57)^((YEAR(Premissas!$C$25)-YEAR(Premissas!$C$18))*12+MONTH(Premissas!$C$25)-MONTH(Premissas!$C$18))*(1+Premissas!$C$34))),"")</f>
        <v>498444.968207773</v>
      </c>
      <c r="AB105" s="16" t="n">
        <f aca="false">IF($A105&gt;=Premissas!$C$25,Y105+AA105,"")</f>
        <v>-103582.821822139</v>
      </c>
      <c r="AC105" s="20" t="str">
        <f aca="false">IF(AND($A105&gt;=Premissas!$C$27,W105&gt;=M105),$A105,"")</f>
        <v/>
      </c>
      <c r="AD105" s="20" t="str">
        <f aca="false">IF(AND($A105&gt;=Premissas!$C$27,Y105&gt;=0),$A105,"")</f>
        <v/>
      </c>
      <c r="AE105" s="20" t="str">
        <f aca="false">IF(AND($A105&gt;=Premissas!$C$25,N(AB105)&gt;=0),$A105,"")</f>
        <v/>
      </c>
    </row>
    <row r="106" customFormat="false" ht="15" hidden="false" customHeight="false" outlineLevel="0" collapsed="false">
      <c r="A106" s="20" t="n">
        <f aca="false">DATE(YEAR(A105),MONTH(A105)+1,1)</f>
        <v>49461</v>
      </c>
      <c r="B106" s="5" t="str">
        <f aca="false">IF($A106&lt;Premissas!$C$25,"Obra",IF($A106=Premissas!$C$25,"Chaves",IF($A106&lt;Premissas!$C$27,"Mobiliando","Airbnb")))</f>
        <v>Airbnb</v>
      </c>
      <c r="C106" s="35" t="n">
        <f aca="false">(YEAR($A106)-YEAR(Premissas!$C$18))*12+MONTH($A106)-MONTH(Premissas!$C$18)</f>
        <v>105</v>
      </c>
      <c r="D106" s="16" t="n">
        <f aca="false">($A106=Premissas!$C$19)*Premissas!$C$8+(($A106=EDATE(Premissas!$C$19,1))+($A106=EDATE(Premissas!$C$19,2)))*Premissas!$C$9+AND($A106&gt;=Premissas!$C$20,$A106&lt;EDATE(Premissas!$C$20,Premissas!$C$21))*Premissas!$C$10+(($A106=Premissas!$C$22)+($A106=Premissas!$C$23)+($A106=Premissas!$C$24))*Premissas!$C$11+($A106=Premissas!$C$25)*Premissas!$C$12</f>
        <v>0</v>
      </c>
      <c r="E106" s="36" t="n">
        <f aca="false">(1+Premissas!$C$57)^C106</f>
        <v>1.59756678224861</v>
      </c>
      <c r="F106" s="16" t="n">
        <f aca="false">D106*E106</f>
        <v>0</v>
      </c>
      <c r="G106" s="16" t="n">
        <f aca="false">($A106=Premissas!$C$25)*Premissas!$C$34*Premissas!$C$14*(1+Premissas!$C$57)^C106</f>
        <v>0</v>
      </c>
      <c r="H106" s="16" t="n">
        <f aca="false">IF(AND($A106&gt;Premissas!$C$25,$A106&lt;Premissas!$C$27),Premissas!$C$35/MAX(1,Premissas!$C$26),0)</f>
        <v>0</v>
      </c>
      <c r="I106" s="35" t="n">
        <f aca="false">IF(AND($A106&gt;Premissas!$C$25,((YEAR($A106)-YEAR(Premissas!$C$25))*12+MONTH($A106)-MONTH(Premissas!$C$25))&lt;=Premissas!$C$32),((YEAR($A106)-YEAR(Premissas!$C$25))*12+MONTH($A106)-MONTH(Premissas!$C$25)),0)</f>
        <v>82</v>
      </c>
      <c r="J106" s="16" t="n">
        <f aca="false">IF(I106&gt;0,N105*(1+Premissas!$C$59),0)</f>
        <v>157057.284337205</v>
      </c>
      <c r="K106" s="16" t="n">
        <f aca="false">J106*Premissas!$C$58</f>
        <v>1490.28404994367</v>
      </c>
      <c r="L106" s="16" t="n">
        <f aca="false">IF(I106&gt;0,J106/(Premissas!$C$32-I106+1),0)</f>
        <v>4027.10985480014</v>
      </c>
      <c r="M106" s="16" t="n">
        <f aca="false">K106+L106</f>
        <v>5517.39390474381</v>
      </c>
      <c r="N106" s="16" t="n">
        <f aca="false">IF($A106=Premissas!$C$25,Premissas!$C$13*E106,IF(I106&gt;0,J106-L106,0))</f>
        <v>153030.174482405</v>
      </c>
      <c r="O106" s="37" t="n">
        <f aca="false">IF($A106&gt;=Premissas!$C$27,Premissas!$C$39*IF(((YEAR($A106)-YEAR(Premissas!$C$27))*12+MONTH($A106)-MONTH(Premissas!$C$27))&lt;Premissas!$C$41,Premissas!$C$42,1),0)</f>
        <v>0.62</v>
      </c>
      <c r="P106" s="16" t="n">
        <f aca="false">O106*Premissas!$C$38*Premissas!$C$40*(1+Premissas!$C$60)^((YEAR($A106)-YEAR(Premissas!$C$19))*12+MONTH($A106)-MONTH(Premissas!$C$19))</f>
        <v>5951.20237932203</v>
      </c>
      <c r="Q106" s="16" t="n">
        <f aca="false">P106*Premissas!$C$43</f>
        <v>952.192380691524</v>
      </c>
      <c r="R106" s="16" t="n">
        <f aca="false">P106*Premissas!$C$44</f>
        <v>1190.24047586441</v>
      </c>
      <c r="S106" s="16" t="n">
        <f aca="false">IF($A106&gt;=Premissas!$C$25,Premissas!$C$45*(1+Premissas!$C$60)^((YEAR($A106)-YEAR(Premissas!$C$19))*12+MONTH($A106)-MONTH(Premissas!$C$19)),0)</f>
        <v>1043.33842554734</v>
      </c>
      <c r="T106" s="16" t="n">
        <f aca="false">IF($A106&gt;=Premissas!$C$27,Premissas!$C$46*(1+Premissas!$C$60)^((YEAR($A106)-YEAR(Premissas!$C$19))*12+MONTH($A106)-MONTH(Premissas!$C$19)),0)</f>
        <v>417.335370218936</v>
      </c>
      <c r="U106" s="16" t="n">
        <f aca="false">IF($A106&gt;=Premissas!$C$27,Premissas!$C$47*(1+Premissas!$C$60)^((YEAR($A106)-YEAR(Premissas!$C$19))*12+MONTH($A106)-MONTH(Premissas!$C$19)),0)</f>
        <v>208.667685109468</v>
      </c>
      <c r="V106" s="16" t="n">
        <f aca="false">IF($A106&gt;=Premissas!$C$27,MAX(0,P106-Q106-R106-S106)*Premissas!$C$49,0)</f>
        <v>760.493551735158</v>
      </c>
      <c r="W106" s="16" t="n">
        <f aca="false">P106-Q106-R106-S106-T106-U106-V106</f>
        <v>1378.93449015519</v>
      </c>
      <c r="X106" s="16" t="n">
        <f aca="false">W106-F106-G106-H106-M106</f>
        <v>-4138.45941458862</v>
      </c>
      <c r="Y106" s="16" t="n">
        <f aca="false">Y105+X106</f>
        <v>-606166.2494445</v>
      </c>
      <c r="Z106" s="16" t="n">
        <f aca="false">Premissas!$C$14*(1+Premissas!$C$57)^((YEAR(Premissas!$C$19)-YEAR(Premissas!$C$18))*12+MONTH(Premissas!$C$19)-MONTH(Premissas!$C$18))*(1+Premissas!$C$61)^((YEAR($A106)-YEAR(Premissas!$C$19))*12+MONTH($A106)-MONTH(Premissas!$C$19))</f>
        <v>721057.869376002</v>
      </c>
      <c r="AA106" s="16" t="n">
        <f aca="false">IF($A106&gt;=Premissas!$C$25,Z106*(1-Premissas!$C$53)-N106-Premissas!$C$54*MAX(0,Z106*(1-Premissas!$C$53)-(Premissas!$C$14*(1+Premissas!$C$57)^((YEAR(Premissas!$C$25)-YEAR(Premissas!$C$18))*12+MONTH(Premissas!$C$25)-MONTH(Premissas!$C$18))*(1+Premissas!$C$34))),"")</f>
        <v>504297.272660686</v>
      </c>
      <c r="AB106" s="16" t="n">
        <f aca="false">IF($A106&gt;=Premissas!$C$25,Y106+AA106,"")</f>
        <v>-101868.976783815</v>
      </c>
      <c r="AC106" s="20" t="str">
        <f aca="false">IF(AND($A106&gt;=Premissas!$C$27,W106&gt;=M106),$A106,"")</f>
        <v/>
      </c>
      <c r="AD106" s="20" t="str">
        <f aca="false">IF(AND($A106&gt;=Premissas!$C$27,Y106&gt;=0),$A106,"")</f>
        <v/>
      </c>
      <c r="AE106" s="20" t="str">
        <f aca="false">IF(AND($A106&gt;=Premissas!$C$25,N(AB106)&gt;=0),$A106,"")</f>
        <v/>
      </c>
    </row>
    <row r="107" customFormat="false" ht="15" hidden="false" customHeight="false" outlineLevel="0" collapsed="false">
      <c r="A107" s="20" t="n">
        <f aca="false">DATE(YEAR(A106),MONTH(A106)+1,1)</f>
        <v>49491</v>
      </c>
      <c r="B107" s="5" t="str">
        <f aca="false">IF($A107&lt;Premissas!$C$25,"Obra",IF($A107=Premissas!$C$25,"Chaves",IF($A107&lt;Premissas!$C$27,"Mobiliando","Airbnb")))</f>
        <v>Airbnb</v>
      </c>
      <c r="C107" s="35" t="n">
        <f aca="false">(YEAR($A107)-YEAR(Premissas!$C$18))*12+MONTH($A107)-MONTH(Premissas!$C$18)</f>
        <v>106</v>
      </c>
      <c r="D107" s="16" t="n">
        <f aca="false">($A107=Premissas!$C$19)*Premissas!$C$8+(($A107=EDATE(Premissas!$C$19,1))+($A107=EDATE(Premissas!$C$19,2)))*Premissas!$C$9+AND($A107&gt;=Premissas!$C$20,$A107&lt;EDATE(Premissas!$C$20,Premissas!$C$21))*Premissas!$C$10+(($A107=Premissas!$C$22)+($A107=Premissas!$C$23)+($A107=Premissas!$C$24))*Premissas!$C$11+($A107=Premissas!$C$25)*Premissas!$C$12</f>
        <v>0</v>
      </c>
      <c r="E107" s="36" t="n">
        <f aca="false">(1+Premissas!$C$57)^C107</f>
        <v>1.60471061989869</v>
      </c>
      <c r="F107" s="16" t="n">
        <f aca="false">D107*E107</f>
        <v>0</v>
      </c>
      <c r="G107" s="16" t="n">
        <f aca="false">($A107=Premissas!$C$25)*Premissas!$C$34*Premissas!$C$14*(1+Premissas!$C$57)^C107</f>
        <v>0</v>
      </c>
      <c r="H107" s="16" t="n">
        <f aca="false">IF(AND($A107&gt;Premissas!$C$25,$A107&lt;Premissas!$C$27),Premissas!$C$35/MAX(1,Premissas!$C$26),0)</f>
        <v>0</v>
      </c>
      <c r="I107" s="35" t="n">
        <f aca="false">IF(AND($A107&gt;Premissas!$C$25,((YEAR($A107)-YEAR(Premissas!$C$25))*12+MONTH($A107)-MONTH(Premissas!$C$25))&lt;=Premissas!$C$32),((YEAR($A107)-YEAR(Premissas!$C$25))*12+MONTH($A107)-MONTH(Premissas!$C$25)),0)</f>
        <v>83</v>
      </c>
      <c r="J107" s="16" t="n">
        <f aca="false">IF(I107&gt;0,N106*(1+Premissas!$C$59),0)</f>
        <v>153531.155452485</v>
      </c>
      <c r="K107" s="16" t="n">
        <f aca="false">J107*Premissas!$C$58</f>
        <v>1456.82534309591</v>
      </c>
      <c r="L107" s="16" t="n">
        <f aca="false">IF(I107&gt;0,J107/(Premissas!$C$32-I107+1),0)</f>
        <v>4040.29356453908</v>
      </c>
      <c r="M107" s="16" t="n">
        <f aca="false">K107+L107</f>
        <v>5497.118907635</v>
      </c>
      <c r="N107" s="16" t="n">
        <f aca="false">IF($A107=Premissas!$C$25,Premissas!$C$13*E107,IF(I107&gt;0,J107-L107,0))</f>
        <v>149490.861887946</v>
      </c>
      <c r="O107" s="37" t="n">
        <f aca="false">IF($A107&gt;=Premissas!$C$27,Premissas!$C$39*IF(((YEAR($A107)-YEAR(Premissas!$C$27))*12+MONTH($A107)-MONTH(Premissas!$C$27))&lt;Premissas!$C$41,Premissas!$C$42,1),0)</f>
        <v>0.62</v>
      </c>
      <c r="P107" s="16" t="n">
        <f aca="false">O107*Premissas!$C$38*Premissas!$C$40*(1+Premissas!$C$60)^((YEAR($A107)-YEAR(Premissas!$C$19))*12+MONTH($A107)-MONTH(Premissas!$C$19))</f>
        <v>5970.68506730313</v>
      </c>
      <c r="Q107" s="16" t="n">
        <f aca="false">P107*Premissas!$C$43</f>
        <v>955.309610768501</v>
      </c>
      <c r="R107" s="16" t="n">
        <f aca="false">P107*Premissas!$C$44</f>
        <v>1194.13701346063</v>
      </c>
      <c r="S107" s="16" t="n">
        <f aca="false">IF($A107&gt;=Premissas!$C$25,Premissas!$C$45*(1+Premissas!$C$60)^((YEAR($A107)-YEAR(Premissas!$C$19))*12+MONTH($A107)-MONTH(Premissas!$C$19)),0)</f>
        <v>1046.75404405735</v>
      </c>
      <c r="T107" s="16" t="n">
        <f aca="false">IF($A107&gt;=Premissas!$C$27,Premissas!$C$46*(1+Premissas!$C$60)^((YEAR($A107)-YEAR(Premissas!$C$19))*12+MONTH($A107)-MONTH(Premissas!$C$19)),0)</f>
        <v>418.70161762294</v>
      </c>
      <c r="U107" s="16" t="n">
        <f aca="false">IF($A107&gt;=Premissas!$C$27,Premissas!$C$47*(1+Premissas!$C$60)^((YEAR($A107)-YEAR(Premissas!$C$19))*12+MONTH($A107)-MONTH(Premissas!$C$19)),0)</f>
        <v>209.35080881147</v>
      </c>
      <c r="V107" s="16" t="n">
        <f aca="false">IF($A107&gt;=Premissas!$C$27,MAX(0,P107-Q107-R107-S107)*Premissas!$C$49,0)</f>
        <v>762.983209729579</v>
      </c>
      <c r="W107" s="16" t="n">
        <f aca="false">P107-Q107-R107-S107-T107-U107-V107</f>
        <v>1383.44876285266</v>
      </c>
      <c r="X107" s="16" t="n">
        <f aca="false">W107-F107-G107-H107-M107</f>
        <v>-4113.67014478233</v>
      </c>
      <c r="Y107" s="16" t="n">
        <f aca="false">Y106+X107</f>
        <v>-610279.919589283</v>
      </c>
      <c r="Z107" s="16" t="n">
        <f aca="false">Premissas!$C$14*(1+Premissas!$C$57)^((YEAR(Premissas!$C$19)-YEAR(Premissas!$C$18))*12+MONTH(Premissas!$C$19)-MONTH(Premissas!$C$18))*(1+Premissas!$C$61)^((YEAR($A107)-YEAR(Premissas!$C$19))*12+MONTH($A107)-MONTH(Premissas!$C$19))</f>
        <v>723995.548391014</v>
      </c>
      <c r="AA107" s="16" t="n">
        <f aca="false">IF($A107&gt;=Premissas!$C$25,Z107*(1-Premissas!$C$53)-N107-Premissas!$C$54*MAX(0,Z107*(1-Premissas!$C$53)-(Premissas!$C$14*(1+Premissas!$C$57)^((YEAR(Premissas!$C$25)-YEAR(Premissas!$C$18))*12+MONTH(Premissas!$C$25)-MONTH(Premissas!$C$18))*(1+Premissas!$C$34))),"")</f>
        <v>510183.790788139</v>
      </c>
      <c r="AB107" s="16" t="n">
        <f aca="false">IF($A107&gt;=Premissas!$C$25,Y107+AA107,"")</f>
        <v>-100096.128801144</v>
      </c>
      <c r="AC107" s="20" t="str">
        <f aca="false">IF(AND($A107&gt;=Premissas!$C$27,W107&gt;=M107),$A107,"")</f>
        <v/>
      </c>
      <c r="AD107" s="20" t="str">
        <f aca="false">IF(AND($A107&gt;=Premissas!$C$27,Y107&gt;=0),$A107,"")</f>
        <v/>
      </c>
      <c r="AE107" s="20" t="str">
        <f aca="false">IF(AND($A107&gt;=Premissas!$C$25,N(AB107)&gt;=0),$A107,"")</f>
        <v/>
      </c>
    </row>
    <row r="108" customFormat="false" ht="15" hidden="false" customHeight="false" outlineLevel="0" collapsed="false">
      <c r="A108" s="20" t="n">
        <f aca="false">DATE(YEAR(A107),MONTH(A107)+1,1)</f>
        <v>49522</v>
      </c>
      <c r="B108" s="5" t="str">
        <f aca="false">IF($A108&lt;Premissas!$C$25,"Obra",IF($A108=Premissas!$C$25,"Chaves",IF($A108&lt;Premissas!$C$27,"Mobiliando","Airbnb")))</f>
        <v>Airbnb</v>
      </c>
      <c r="C108" s="35" t="n">
        <f aca="false">(YEAR($A108)-YEAR(Premissas!$C$18))*12+MONTH($A108)-MONTH(Premissas!$C$18)</f>
        <v>107</v>
      </c>
      <c r="D108" s="16" t="n">
        <f aca="false">($A108=Premissas!$C$19)*Premissas!$C$8+(($A108=EDATE(Premissas!$C$19,1))+($A108=EDATE(Premissas!$C$19,2)))*Premissas!$C$9+AND($A108&gt;=Premissas!$C$20,$A108&lt;EDATE(Premissas!$C$20,Premissas!$C$21))*Premissas!$C$10+(($A108=Premissas!$C$22)+($A108=Premissas!$C$23)+($A108=Premissas!$C$24))*Premissas!$C$11+($A108=Premissas!$C$25)*Premissas!$C$12</f>
        <v>0</v>
      </c>
      <c r="E108" s="36" t="n">
        <f aca="false">(1+Premissas!$C$57)^C108</f>
        <v>1.61188640263986</v>
      </c>
      <c r="F108" s="16" t="n">
        <f aca="false">D108*E108</f>
        <v>0</v>
      </c>
      <c r="G108" s="16" t="n">
        <f aca="false">($A108=Premissas!$C$25)*Premissas!$C$34*Premissas!$C$14*(1+Premissas!$C$57)^C108</f>
        <v>0</v>
      </c>
      <c r="H108" s="16" t="n">
        <f aca="false">IF(AND($A108&gt;Premissas!$C$25,$A108&lt;Premissas!$C$27),Premissas!$C$35/MAX(1,Premissas!$C$26),0)</f>
        <v>0</v>
      </c>
      <c r="I108" s="35" t="n">
        <f aca="false">IF(AND($A108&gt;Premissas!$C$25,((YEAR($A108)-YEAR(Premissas!$C$25))*12+MONTH($A108)-MONTH(Premissas!$C$25))&lt;=Premissas!$C$32),((YEAR($A108)-YEAR(Premissas!$C$25))*12+MONTH($A108)-MONTH(Premissas!$C$25)),0)</f>
        <v>84</v>
      </c>
      <c r="J108" s="16" t="n">
        <f aca="false">IF(I108&gt;0,N107*(1+Premissas!$C$59),0)</f>
        <v>149980.256069584</v>
      </c>
      <c r="K108" s="16" t="n">
        <f aca="false">J108*Premissas!$C$58</f>
        <v>1423.13159412002</v>
      </c>
      <c r="L108" s="16" t="n">
        <f aca="false">IF(I108&gt;0,J108/(Premissas!$C$32-I108+1),0)</f>
        <v>4053.52043431308</v>
      </c>
      <c r="M108" s="16" t="n">
        <f aca="false">K108+L108</f>
        <v>5476.6520284331</v>
      </c>
      <c r="N108" s="16" t="n">
        <f aca="false">IF($A108=Premissas!$C$25,Premissas!$C$13*E108,IF(I108&gt;0,J108-L108,0))</f>
        <v>145926.735635271</v>
      </c>
      <c r="O108" s="37" t="n">
        <f aca="false">IF($A108&gt;=Premissas!$C$27,Premissas!$C$39*IF(((YEAR($A108)-YEAR(Premissas!$C$27))*12+MONTH($A108)-MONTH(Premissas!$C$27))&lt;Premissas!$C$41,Premissas!$C$42,1),0)</f>
        <v>0.62</v>
      </c>
      <c r="P108" s="16" t="n">
        <f aca="false">O108*Premissas!$C$38*Premissas!$C$40*(1+Premissas!$C$60)^((YEAR($A108)-YEAR(Premissas!$C$19))*12+MONTH($A108)-MONTH(Premissas!$C$19))</f>
        <v>5990.23153653494</v>
      </c>
      <c r="Q108" s="16" t="n">
        <f aca="false">P108*Premissas!$C$43</f>
        <v>958.437045845591</v>
      </c>
      <c r="R108" s="16" t="n">
        <f aca="false">P108*Premissas!$C$44</f>
        <v>1198.04630730699</v>
      </c>
      <c r="S108" s="16" t="n">
        <f aca="false">IF($A108&gt;=Premissas!$C$25,Premissas!$C$45*(1+Premissas!$C$60)^((YEAR($A108)-YEAR(Premissas!$C$19))*12+MONTH($A108)-MONTH(Premissas!$C$19)),0)</f>
        <v>1050.18084441356</v>
      </c>
      <c r="T108" s="16" t="n">
        <f aca="false">IF($A108&gt;=Premissas!$C$27,Premissas!$C$46*(1+Premissas!$C$60)^((YEAR($A108)-YEAR(Premissas!$C$19))*12+MONTH($A108)-MONTH(Premissas!$C$19)),0)</f>
        <v>420.072337765424</v>
      </c>
      <c r="U108" s="16" t="n">
        <f aca="false">IF($A108&gt;=Premissas!$C$27,Premissas!$C$47*(1+Premissas!$C$60)^((YEAR($A108)-YEAR(Premissas!$C$19))*12+MONTH($A108)-MONTH(Premissas!$C$19)),0)</f>
        <v>210.036168882712</v>
      </c>
      <c r="V108" s="16" t="n">
        <f aca="false">IF($A108&gt;=Premissas!$C$27,MAX(0,P108-Q108-R108-S108)*Premissas!$C$49,0)</f>
        <v>765.481018216421</v>
      </c>
      <c r="W108" s="16" t="n">
        <f aca="false">P108-Q108-R108-S108-T108-U108-V108</f>
        <v>1387.97781410425</v>
      </c>
      <c r="X108" s="16" t="n">
        <f aca="false">W108-F108-G108-H108-M108</f>
        <v>-4088.67421432885</v>
      </c>
      <c r="Y108" s="16" t="n">
        <f aca="false">Y107+X108</f>
        <v>-614368.593803612</v>
      </c>
      <c r="Z108" s="16" t="n">
        <f aca="false">Premissas!$C$14*(1+Premissas!$C$57)^((YEAR(Premissas!$C$19)-YEAR(Premissas!$C$18))*12+MONTH(Premissas!$C$19)-MONTH(Premissas!$C$18))*(1+Premissas!$C$61)^((YEAR($A108)-YEAR(Premissas!$C$19))*12+MONTH($A108)-MONTH(Premissas!$C$19))</f>
        <v>726945.195873969</v>
      </c>
      <c r="AA108" s="16" t="n">
        <f aca="false">IF($A108&gt;=Premissas!$C$25,Z108*(1-Premissas!$C$53)-N108-Premissas!$C$54*MAX(0,Z108*(1-Premissas!$C$53)-(Premissas!$C$14*(1+Premissas!$C$57)^((YEAR(Premissas!$C$25)-YEAR(Premissas!$C$18))*12+MONTH(Premissas!$C$25)-MONTH(Premissas!$C$18))*(1+Premissas!$C$34))),"")</f>
        <v>516104.685379696</v>
      </c>
      <c r="AB108" s="16" t="n">
        <f aca="false">IF($A108&gt;=Premissas!$C$25,Y108+AA108,"")</f>
        <v>-98263.9084239159</v>
      </c>
      <c r="AC108" s="20" t="str">
        <f aca="false">IF(AND($A108&gt;=Premissas!$C$27,W108&gt;=M108),$A108,"")</f>
        <v/>
      </c>
      <c r="AD108" s="20" t="str">
        <f aca="false">IF(AND($A108&gt;=Premissas!$C$27,Y108&gt;=0),$A108,"")</f>
        <v/>
      </c>
      <c r="AE108" s="20" t="str">
        <f aca="false">IF(AND($A108&gt;=Premissas!$C$25,N(AB108)&gt;=0),$A108,"")</f>
        <v/>
      </c>
    </row>
    <row r="109" customFormat="false" ht="15" hidden="false" customHeight="false" outlineLevel="0" collapsed="false">
      <c r="A109" s="20" t="n">
        <f aca="false">DATE(YEAR(A108),MONTH(A108)+1,1)</f>
        <v>49553</v>
      </c>
      <c r="B109" s="5" t="str">
        <f aca="false">IF($A109&lt;Premissas!$C$25,"Obra",IF($A109=Premissas!$C$25,"Chaves",IF($A109&lt;Premissas!$C$27,"Mobiliando","Airbnb")))</f>
        <v>Airbnb</v>
      </c>
      <c r="C109" s="35" t="n">
        <f aca="false">(YEAR($A109)-YEAR(Premissas!$C$18))*12+MONTH($A109)-MONTH(Premissas!$C$18)</f>
        <v>108</v>
      </c>
      <c r="D109" s="16" t="n">
        <f aca="false">($A109=Premissas!$C$19)*Premissas!$C$8+(($A109=EDATE(Premissas!$C$19,1))+($A109=EDATE(Premissas!$C$19,2)))*Premissas!$C$9+AND($A109&gt;=Premissas!$C$20,$A109&lt;EDATE(Premissas!$C$20,Premissas!$C$21))*Premissas!$C$10+(($A109=Premissas!$C$22)+($A109=Premissas!$C$23)+($A109=Premissas!$C$24))*Premissas!$C$11+($A109=Premissas!$C$25)*Premissas!$C$12</f>
        <v>0</v>
      </c>
      <c r="E109" s="36" t="n">
        <f aca="false">(1+Premissas!$C$57)^C109</f>
        <v>1.61909427332094</v>
      </c>
      <c r="F109" s="16" t="n">
        <f aca="false">D109*E109</f>
        <v>0</v>
      </c>
      <c r="G109" s="16" t="n">
        <f aca="false">($A109=Premissas!$C$25)*Premissas!$C$34*Premissas!$C$14*(1+Premissas!$C$57)^C109</f>
        <v>0</v>
      </c>
      <c r="H109" s="16" t="n">
        <f aca="false">IF(AND($A109&gt;Premissas!$C$25,$A109&lt;Premissas!$C$27),Premissas!$C$35/MAX(1,Premissas!$C$26),0)</f>
        <v>0</v>
      </c>
      <c r="I109" s="35" t="n">
        <f aca="false">IF(AND($A109&gt;Premissas!$C$25,((YEAR($A109)-YEAR(Premissas!$C$25))*12+MONTH($A109)-MONTH(Premissas!$C$25))&lt;=Premissas!$C$32),((YEAR($A109)-YEAR(Premissas!$C$25))*12+MONTH($A109)-MONTH(Premissas!$C$25)),0)</f>
        <v>85</v>
      </c>
      <c r="J109" s="16" t="n">
        <f aca="false">IF(I109&gt;0,N108*(1+Premissas!$C$59),0)</f>
        <v>146404.461795006</v>
      </c>
      <c r="K109" s="16" t="n">
        <f aca="false">J109*Premissas!$C$58</f>
        <v>1389.20162267189</v>
      </c>
      <c r="L109" s="16" t="n">
        <f aca="false">IF(I109&gt;0,J109/(Premissas!$C$32-I109+1),0)</f>
        <v>4066.79060541684</v>
      </c>
      <c r="M109" s="16" t="n">
        <f aca="false">K109+L109</f>
        <v>5455.99222808873</v>
      </c>
      <c r="N109" s="16" t="n">
        <f aca="false">IF($A109=Premissas!$C$25,Premissas!$C$13*E109,IF(I109&gt;0,J109-L109,0))</f>
        <v>142337.67118959</v>
      </c>
      <c r="O109" s="37" t="n">
        <f aca="false">IF($A109&gt;=Premissas!$C$27,Premissas!$C$39*IF(((YEAR($A109)-YEAR(Premissas!$C$27))*12+MONTH($A109)-MONTH(Premissas!$C$27))&lt;Premissas!$C$41,Premissas!$C$42,1),0)</f>
        <v>0.62</v>
      </c>
      <c r="P109" s="16" t="n">
        <f aca="false">O109*Premissas!$C$38*Premissas!$C$40*(1+Premissas!$C$60)^((YEAR($A109)-YEAR(Premissas!$C$19))*12+MONTH($A109)-MONTH(Premissas!$C$19))</f>
        <v>6009.84199582068</v>
      </c>
      <c r="Q109" s="16" t="n">
        <f aca="false">P109*Premissas!$C$43</f>
        <v>961.574719331309</v>
      </c>
      <c r="R109" s="16" t="n">
        <f aca="false">P109*Premissas!$C$44</f>
        <v>1201.96839916414</v>
      </c>
      <c r="S109" s="16" t="n">
        <f aca="false">IF($A109&gt;=Premissas!$C$25,Premissas!$C$45*(1+Premissas!$C$60)^((YEAR($A109)-YEAR(Premissas!$C$19))*12+MONTH($A109)-MONTH(Premissas!$C$19)),0)</f>
        <v>1053.61886322242</v>
      </c>
      <c r="T109" s="16" t="n">
        <f aca="false">IF($A109&gt;=Premissas!$C$27,Premissas!$C$46*(1+Premissas!$C$60)^((YEAR($A109)-YEAR(Premissas!$C$19))*12+MONTH($A109)-MONTH(Premissas!$C$19)),0)</f>
        <v>421.447545288968</v>
      </c>
      <c r="U109" s="16" t="n">
        <f aca="false">IF($A109&gt;=Premissas!$C$27,Premissas!$C$47*(1+Premissas!$C$60)^((YEAR($A109)-YEAR(Premissas!$C$19))*12+MONTH($A109)-MONTH(Premissas!$C$19)),0)</f>
        <v>210.723772644484</v>
      </c>
      <c r="V109" s="16" t="n">
        <f aca="false">IF($A109&gt;=Premissas!$C$27,MAX(0,P109-Q109-R109-S109)*Premissas!$C$49,0)</f>
        <v>767.987003878274</v>
      </c>
      <c r="W109" s="16" t="n">
        <f aca="false">P109-Q109-R109-S109-T109-U109-V109</f>
        <v>1392.52169229109</v>
      </c>
      <c r="X109" s="16" t="n">
        <f aca="false">W109-F109-G109-H109-M109</f>
        <v>-4063.47053579764</v>
      </c>
      <c r="Y109" s="16" t="n">
        <f aca="false">Y108+X109</f>
        <v>-618432.064339409</v>
      </c>
      <c r="Z109" s="16" t="n">
        <f aca="false">Premissas!$C$14*(1+Premissas!$C$57)^((YEAR(Premissas!$C$19)-YEAR(Premissas!$C$18))*12+MONTH(Premissas!$C$19)-MONTH(Premissas!$C$18))*(1+Premissas!$C$61)^((YEAR($A109)-YEAR(Premissas!$C$19))*12+MONTH($A109)-MONTH(Premissas!$C$19))</f>
        <v>729906.860585888</v>
      </c>
      <c r="AA109" s="16" t="n">
        <f aca="false">IF($A109&gt;=Premissas!$C$25,Z109*(1-Premissas!$C$53)-N109-Premissas!$C$54*MAX(0,Z109*(1-Premissas!$C$53)-(Premissas!$C$14*(1+Premissas!$C$57)^((YEAR(Premissas!$C$25)-YEAR(Premissas!$C$18))*12+MONTH(Premissas!$C$25)-MONTH(Premissas!$C$18))*(1+Premissas!$C$34))),"")</f>
        <v>522060.1199302</v>
      </c>
      <c r="AB109" s="16" t="n">
        <f aca="false">IF($A109&gt;=Premissas!$C$25,Y109+AA109,"")</f>
        <v>-96371.9444092091</v>
      </c>
      <c r="AC109" s="20" t="str">
        <f aca="false">IF(AND($A109&gt;=Premissas!$C$27,W109&gt;=M109),$A109,"")</f>
        <v/>
      </c>
      <c r="AD109" s="20" t="str">
        <f aca="false">IF(AND($A109&gt;=Premissas!$C$27,Y109&gt;=0),$A109,"")</f>
        <v/>
      </c>
      <c r="AE109" s="20" t="str">
        <f aca="false">IF(AND($A109&gt;=Premissas!$C$25,N(AB109)&gt;=0),$A109,"")</f>
        <v/>
      </c>
    </row>
    <row r="110" customFormat="false" ht="15" hidden="false" customHeight="false" outlineLevel="0" collapsed="false">
      <c r="A110" s="20" t="n">
        <f aca="false">DATE(YEAR(A109),MONTH(A109)+1,1)</f>
        <v>49583</v>
      </c>
      <c r="B110" s="5" t="str">
        <f aca="false">IF($A110&lt;Premissas!$C$25,"Obra",IF($A110=Premissas!$C$25,"Chaves",IF($A110&lt;Premissas!$C$27,"Mobiliando","Airbnb")))</f>
        <v>Airbnb</v>
      </c>
      <c r="C110" s="35" t="n">
        <f aca="false">(YEAR($A110)-YEAR(Premissas!$C$18))*12+MONTH($A110)-MONTH(Premissas!$C$18)</f>
        <v>109</v>
      </c>
      <c r="D110" s="16" t="n">
        <f aca="false">($A110=Premissas!$C$19)*Premissas!$C$8+(($A110=EDATE(Premissas!$C$19,1))+($A110=EDATE(Premissas!$C$19,2)))*Premissas!$C$9+AND($A110&gt;=Premissas!$C$20,$A110&lt;EDATE(Premissas!$C$20,Premissas!$C$21))*Premissas!$C$10+(($A110=Premissas!$C$22)+($A110=Premissas!$C$23)+($A110=Premissas!$C$24))*Premissas!$C$11+($A110=Premissas!$C$25)*Premissas!$C$12</f>
        <v>0</v>
      </c>
      <c r="E110" s="36" t="n">
        <f aca="false">(1+Premissas!$C$57)^C110</f>
        <v>1.62633437542954</v>
      </c>
      <c r="F110" s="16" t="n">
        <f aca="false">D110*E110</f>
        <v>0</v>
      </c>
      <c r="G110" s="16" t="n">
        <f aca="false">($A110=Premissas!$C$25)*Premissas!$C$34*Premissas!$C$14*(1+Premissas!$C$57)^C110</f>
        <v>0</v>
      </c>
      <c r="H110" s="16" t="n">
        <f aca="false">IF(AND($A110&gt;Premissas!$C$25,$A110&lt;Premissas!$C$27),Premissas!$C$35/MAX(1,Premissas!$C$26),0)</f>
        <v>0</v>
      </c>
      <c r="I110" s="35" t="n">
        <f aca="false">IF(AND($A110&gt;Premissas!$C$25,((YEAR($A110)-YEAR(Premissas!$C$25))*12+MONTH($A110)-MONTH(Premissas!$C$25))&lt;=Premissas!$C$32),((YEAR($A110)-YEAR(Premissas!$C$25))*12+MONTH($A110)-MONTH(Premissas!$C$25)),0)</f>
        <v>86</v>
      </c>
      <c r="J110" s="16" t="n">
        <f aca="false">IF(I110&gt;0,N109*(1+Premissas!$C$59),0)</f>
        <v>142803.647686268</v>
      </c>
      <c r="K110" s="16" t="n">
        <f aca="false">J110*Premissas!$C$58</f>
        <v>1355.03424319815</v>
      </c>
      <c r="L110" s="16" t="n">
        <f aca="false">IF(I110&gt;0,J110/(Premissas!$C$32-I110+1),0)</f>
        <v>4080.10421960767</v>
      </c>
      <c r="M110" s="16" t="n">
        <f aca="false">K110+L110</f>
        <v>5435.13846280582</v>
      </c>
      <c r="N110" s="16" t="n">
        <f aca="false">IF($A110=Premissas!$C$25,Premissas!$C$13*E110,IF(I110&gt;0,J110-L110,0))</f>
        <v>138723.543466661</v>
      </c>
      <c r="O110" s="37" t="n">
        <f aca="false">IF($A110&gt;=Premissas!$C$27,Premissas!$C$39*IF(((YEAR($A110)-YEAR(Premissas!$C$27))*12+MONTH($A110)-MONTH(Premissas!$C$27))&lt;Premissas!$C$41,Premissas!$C$42,1),0)</f>
        <v>0.62</v>
      </c>
      <c r="P110" s="16" t="n">
        <f aca="false">O110*Premissas!$C$38*Premissas!$C$40*(1+Premissas!$C$60)^((YEAR($A110)-YEAR(Premissas!$C$19))*12+MONTH($A110)-MONTH(Premissas!$C$19))</f>
        <v>6029.51665464713</v>
      </c>
      <c r="Q110" s="16" t="n">
        <f aca="false">P110*Premissas!$C$43</f>
        <v>964.72266474354</v>
      </c>
      <c r="R110" s="16" t="n">
        <f aca="false">P110*Premissas!$C$44</f>
        <v>1205.90333092943</v>
      </c>
      <c r="S110" s="16" t="n">
        <f aca="false">IF($A110&gt;=Premissas!$C$25,Premissas!$C$45*(1+Premissas!$C$60)^((YEAR($A110)-YEAR(Premissas!$C$19))*12+MONTH($A110)-MONTH(Premissas!$C$19)),0)</f>
        <v>1057.06813721023</v>
      </c>
      <c r="T110" s="16" t="n">
        <f aca="false">IF($A110&gt;=Premissas!$C$27,Premissas!$C$46*(1+Premissas!$C$60)^((YEAR($A110)-YEAR(Premissas!$C$19))*12+MONTH($A110)-MONTH(Premissas!$C$19)),0)</f>
        <v>422.82725488409</v>
      </c>
      <c r="U110" s="16" t="n">
        <f aca="false">IF($A110&gt;=Premissas!$C$27,Premissas!$C$47*(1+Premissas!$C$60)^((YEAR($A110)-YEAR(Premissas!$C$19))*12+MONTH($A110)-MONTH(Premissas!$C$19)),0)</f>
        <v>211.413627442045</v>
      </c>
      <c r="V110" s="16" t="n">
        <f aca="false">IF($A110&gt;=Premissas!$C$27,MAX(0,P110-Q110-R110-S110)*Premissas!$C$49,0)</f>
        <v>770.501193485082</v>
      </c>
      <c r="W110" s="16" t="n">
        <f aca="false">P110-Q110-R110-S110-T110-U110-V110</f>
        <v>1397.08044595272</v>
      </c>
      <c r="X110" s="16" t="n">
        <f aca="false">W110-F110-G110-H110-M110</f>
        <v>-4038.0580168531</v>
      </c>
      <c r="Y110" s="16" t="n">
        <f aca="false">Y109+X110</f>
        <v>-622470.122356262</v>
      </c>
      <c r="Z110" s="16" t="n">
        <f aca="false">Premissas!$C$14*(1+Premissas!$C$57)^((YEAR(Premissas!$C$19)-YEAR(Premissas!$C$18))*12+MONTH(Premissas!$C$19)-MONTH(Premissas!$C$18))*(1+Premissas!$C$61)^((YEAR($A110)-YEAR(Premissas!$C$19))*12+MONTH($A110)-MONTH(Premissas!$C$19))</f>
        <v>732880.591486449</v>
      </c>
      <c r="AA110" s="16" t="n">
        <f aca="false">IF($A110&gt;=Premissas!$C$25,Z110*(1-Premissas!$C$53)-N110-Premissas!$C$54*MAX(0,Z110*(1-Premissas!$C$53)-(Premissas!$C$14*(1+Premissas!$C$57)^((YEAR(Premissas!$C$25)-YEAR(Premissas!$C$18))*12+MONTH(Premissas!$C$25)-MONTH(Premissas!$C$18))*(1+Premissas!$C$34))),"")</f>
        <v>528050.258642677</v>
      </c>
      <c r="AB110" s="16" t="n">
        <f aca="false">IF($A110&gt;=Premissas!$C$25,Y110+AA110,"")</f>
        <v>-94419.863713585</v>
      </c>
      <c r="AC110" s="20" t="str">
        <f aca="false">IF(AND($A110&gt;=Premissas!$C$27,W110&gt;=M110),$A110,"")</f>
        <v/>
      </c>
      <c r="AD110" s="20" t="str">
        <f aca="false">IF(AND($A110&gt;=Premissas!$C$27,Y110&gt;=0),$A110,"")</f>
        <v/>
      </c>
      <c r="AE110" s="20" t="str">
        <f aca="false">IF(AND($A110&gt;=Premissas!$C$25,N(AB110)&gt;=0),$A110,"")</f>
        <v/>
      </c>
    </row>
    <row r="111" customFormat="false" ht="15" hidden="false" customHeight="false" outlineLevel="0" collapsed="false">
      <c r="A111" s="20" t="n">
        <f aca="false">DATE(YEAR(A110),MONTH(A110)+1,1)</f>
        <v>49614</v>
      </c>
      <c r="B111" s="5" t="str">
        <f aca="false">IF($A111&lt;Premissas!$C$25,"Obra",IF($A111=Premissas!$C$25,"Chaves",IF($A111&lt;Premissas!$C$27,"Mobiliando","Airbnb")))</f>
        <v>Airbnb</v>
      </c>
      <c r="C111" s="35" t="n">
        <f aca="false">(YEAR($A111)-YEAR(Premissas!$C$18))*12+MONTH($A111)-MONTH(Premissas!$C$18)</f>
        <v>110</v>
      </c>
      <c r="D111" s="16" t="n">
        <f aca="false">($A111=Premissas!$C$19)*Premissas!$C$8+(($A111=EDATE(Premissas!$C$19,1))+($A111=EDATE(Premissas!$C$19,2)))*Premissas!$C$9+AND($A111&gt;=Premissas!$C$20,$A111&lt;EDATE(Premissas!$C$20,Premissas!$C$21))*Premissas!$C$10+(($A111=Premissas!$C$22)+($A111=Premissas!$C$23)+($A111=Premissas!$C$24))*Premissas!$C$11+($A111=Premissas!$C$25)*Premissas!$C$12</f>
        <v>0</v>
      </c>
      <c r="E111" s="36" t="n">
        <f aca="false">(1+Premissas!$C$57)^C111</f>
        <v>1.6336068530949</v>
      </c>
      <c r="F111" s="16" t="n">
        <f aca="false">D111*E111</f>
        <v>0</v>
      </c>
      <c r="G111" s="16" t="n">
        <f aca="false">($A111=Premissas!$C$25)*Premissas!$C$34*Premissas!$C$14*(1+Premissas!$C$57)^C111</f>
        <v>0</v>
      </c>
      <c r="H111" s="16" t="n">
        <f aca="false">IF(AND($A111&gt;Premissas!$C$25,$A111&lt;Premissas!$C$27),Premissas!$C$35/MAX(1,Premissas!$C$26),0)</f>
        <v>0</v>
      </c>
      <c r="I111" s="35" t="n">
        <f aca="false">IF(AND($A111&gt;Premissas!$C$25,((YEAR($A111)-YEAR(Premissas!$C$25))*12+MONTH($A111)-MONTH(Premissas!$C$25))&lt;=Premissas!$C$32),((YEAR($A111)-YEAR(Premissas!$C$25))*12+MONTH($A111)-MONTH(Premissas!$C$25)),0)</f>
        <v>87</v>
      </c>
      <c r="J111" s="16" t="n">
        <f aca="false">IF(I111&gt;0,N110*(1+Premissas!$C$59),0)</f>
        <v>139177.688249635</v>
      </c>
      <c r="K111" s="16" t="n">
        <f aca="false">J111*Premissas!$C$58</f>
        <v>1320.62826491474</v>
      </c>
      <c r="L111" s="16" t="n">
        <f aca="false">IF(I111&gt;0,J111/(Premissas!$C$32-I111+1),0)</f>
        <v>4093.46141910692</v>
      </c>
      <c r="M111" s="16" t="n">
        <f aca="false">K111+L111</f>
        <v>5414.08968402166</v>
      </c>
      <c r="N111" s="16" t="n">
        <f aca="false">IF($A111=Premissas!$C$25,Premissas!$C$13*E111,IF(I111&gt;0,J111-L111,0))</f>
        <v>135084.226830528</v>
      </c>
      <c r="O111" s="37" t="n">
        <f aca="false">IF($A111&gt;=Premissas!$C$27,Premissas!$C$39*IF(((YEAR($A111)-YEAR(Premissas!$C$27))*12+MONTH($A111)-MONTH(Premissas!$C$27))&lt;Premissas!$C$41,Premissas!$C$42,1),0)</f>
        <v>0.62</v>
      </c>
      <c r="P111" s="16" t="n">
        <f aca="false">O111*Premissas!$C$38*Premissas!$C$40*(1+Premissas!$C$60)^((YEAR($A111)-YEAR(Premissas!$C$19))*12+MONTH($A111)-MONTH(Premissas!$C$19))</f>
        <v>6049.25572318688</v>
      </c>
      <c r="Q111" s="16" t="n">
        <f aca="false">P111*Premissas!$C$43</f>
        <v>967.8809157099</v>
      </c>
      <c r="R111" s="16" t="n">
        <f aca="false">P111*Premissas!$C$44</f>
        <v>1209.85114463738</v>
      </c>
      <c r="S111" s="16" t="n">
        <f aca="false">IF($A111&gt;=Premissas!$C$25,Premissas!$C$45*(1+Premissas!$C$60)^((YEAR($A111)-YEAR(Premissas!$C$19))*12+MONTH($A111)-MONTH(Premissas!$C$19)),0)</f>
        <v>1060.52870322351</v>
      </c>
      <c r="T111" s="16" t="n">
        <f aca="false">IF($A111&gt;=Premissas!$C$27,Premissas!$C$46*(1+Premissas!$C$60)^((YEAR($A111)-YEAR(Premissas!$C$19))*12+MONTH($A111)-MONTH(Premissas!$C$19)),0)</f>
        <v>424.211481289402</v>
      </c>
      <c r="U111" s="16" t="n">
        <f aca="false">IF($A111&gt;=Premissas!$C$27,Premissas!$C$47*(1+Premissas!$C$60)^((YEAR($A111)-YEAR(Premissas!$C$19))*12+MONTH($A111)-MONTH(Premissas!$C$19)),0)</f>
        <v>212.105740644701</v>
      </c>
      <c r="V111" s="16" t="n">
        <f aca="false">IF($A111&gt;=Premissas!$C$27,MAX(0,P111-Q111-R111-S111)*Premissas!$C$49,0)</f>
        <v>773.023613894426</v>
      </c>
      <c r="W111" s="16" t="n">
        <f aca="false">P111-Q111-R111-S111-T111-U111-V111</f>
        <v>1401.65412378757</v>
      </c>
      <c r="X111" s="16" t="n">
        <f aca="false">W111-F111-G111-H111-M111</f>
        <v>-4012.43556023409</v>
      </c>
      <c r="Y111" s="16" t="n">
        <f aca="false">Y110+X111</f>
        <v>-626482.557916496</v>
      </c>
      <c r="Z111" s="16" t="n">
        <f aca="false">Premissas!$C$14*(1+Premissas!$C$57)^((YEAR(Premissas!$C$19)-YEAR(Premissas!$C$18))*12+MONTH(Premissas!$C$19)-MONTH(Premissas!$C$18))*(1+Premissas!$C$61)^((YEAR($A111)-YEAR(Premissas!$C$19))*12+MONTH($A111)-MONTH(Premissas!$C$19))</f>
        <v>735866.437734798</v>
      </c>
      <c r="AA111" s="16" t="n">
        <f aca="false">IF($A111&gt;=Premissas!$C$25,Z111*(1-Premissas!$C$53)-N111-Premissas!$C$54*MAX(0,Z111*(1-Premissas!$C$53)-(Premissas!$C$14*(1+Premissas!$C$57)^((YEAR(Premissas!$C$25)-YEAR(Premissas!$C$18))*12+MONTH(Premissas!$C$25)-MONTH(Premissas!$C$18))*(1+Premissas!$C$34))),"")</f>
        <v>534075.266431241</v>
      </c>
      <c r="AB111" s="16" t="n">
        <f aca="false">IF($A111&gt;=Premissas!$C$25,Y111+AA111,"")</f>
        <v>-92407.2914852556</v>
      </c>
      <c r="AC111" s="20" t="str">
        <f aca="false">IF(AND($A111&gt;=Premissas!$C$27,W111&gt;=M111),$A111,"")</f>
        <v/>
      </c>
      <c r="AD111" s="20" t="str">
        <f aca="false">IF(AND($A111&gt;=Premissas!$C$27,Y111&gt;=0),$A111,"")</f>
        <v/>
      </c>
      <c r="AE111" s="20" t="str">
        <f aca="false">IF(AND($A111&gt;=Premissas!$C$25,N(AB111)&gt;=0),$A111,"")</f>
        <v/>
      </c>
    </row>
    <row r="112" customFormat="false" ht="15" hidden="false" customHeight="false" outlineLevel="0" collapsed="false">
      <c r="A112" s="20" t="n">
        <f aca="false">DATE(YEAR(A111),MONTH(A111)+1,1)</f>
        <v>49644</v>
      </c>
      <c r="B112" s="5" t="str">
        <f aca="false">IF($A112&lt;Premissas!$C$25,"Obra",IF($A112=Premissas!$C$25,"Chaves",IF($A112&lt;Premissas!$C$27,"Mobiliando","Airbnb")))</f>
        <v>Airbnb</v>
      </c>
      <c r="C112" s="35" t="n">
        <f aca="false">(YEAR($A112)-YEAR(Premissas!$C$18))*12+MONTH($A112)-MONTH(Premissas!$C$18)</f>
        <v>111</v>
      </c>
      <c r="D112" s="16" t="n">
        <f aca="false">($A112=Premissas!$C$19)*Premissas!$C$8+(($A112=EDATE(Premissas!$C$19,1))+($A112=EDATE(Premissas!$C$19,2)))*Premissas!$C$9+AND($A112&gt;=Premissas!$C$20,$A112&lt;EDATE(Premissas!$C$20,Premissas!$C$21))*Premissas!$C$10+(($A112=Premissas!$C$22)+($A112=Premissas!$C$23)+($A112=Premissas!$C$24))*Premissas!$C$11+($A112=Premissas!$C$25)*Premissas!$C$12</f>
        <v>0</v>
      </c>
      <c r="E112" s="36" t="n">
        <f aca="false">(1+Premissas!$C$57)^C112</f>
        <v>1.64091185109076</v>
      </c>
      <c r="F112" s="16" t="n">
        <f aca="false">D112*E112</f>
        <v>0</v>
      </c>
      <c r="G112" s="16" t="n">
        <f aca="false">($A112=Premissas!$C$25)*Premissas!$C$34*Premissas!$C$14*(1+Premissas!$C$57)^C112</f>
        <v>0</v>
      </c>
      <c r="H112" s="16" t="n">
        <f aca="false">IF(AND($A112&gt;Premissas!$C$25,$A112&lt;Premissas!$C$27),Premissas!$C$35/MAX(1,Premissas!$C$26),0)</f>
        <v>0</v>
      </c>
      <c r="I112" s="35" t="n">
        <f aca="false">IF(AND($A112&gt;Premissas!$C$25,((YEAR($A112)-YEAR(Premissas!$C$25))*12+MONTH($A112)-MONTH(Premissas!$C$25))&lt;=Premissas!$C$32),((YEAR($A112)-YEAR(Premissas!$C$25))*12+MONTH($A112)-MONTH(Premissas!$C$25)),0)</f>
        <v>88</v>
      </c>
      <c r="J112" s="16" t="n">
        <f aca="false">IF(I112&gt;0,N111*(1+Premissas!$C$59),0)</f>
        <v>135526.457437851</v>
      </c>
      <c r="K112" s="16" t="n">
        <f aca="false">J112*Premissas!$C$58</f>
        <v>1285.98249178535</v>
      </c>
      <c r="L112" s="16" t="n">
        <f aca="false">IF(I112&gt;0,J112/(Premissas!$C$32-I112+1),0)</f>
        <v>4106.86234660154</v>
      </c>
      <c r="M112" s="16" t="n">
        <f aca="false">K112+L112</f>
        <v>5392.84483838689</v>
      </c>
      <c r="N112" s="16" t="n">
        <f aca="false">IF($A112=Premissas!$C$25,Premissas!$C$13*E112,IF(I112&gt;0,J112-L112,0))</f>
        <v>131419.595091249</v>
      </c>
      <c r="O112" s="37" t="n">
        <f aca="false">IF($A112&gt;=Premissas!$C$27,Premissas!$C$39*IF(((YEAR($A112)-YEAR(Premissas!$C$27))*12+MONTH($A112)-MONTH(Premissas!$C$27))&lt;Premissas!$C$41,Premissas!$C$42,1),0)</f>
        <v>0.62</v>
      </c>
      <c r="P112" s="16" t="n">
        <f aca="false">O112*Premissas!$C$38*Premissas!$C$40*(1+Premissas!$C$60)^((YEAR($A112)-YEAR(Premissas!$C$19))*12+MONTH($A112)-MONTH(Premissas!$C$19))</f>
        <v>6069.05941230057</v>
      </c>
      <c r="Q112" s="16" t="n">
        <f aca="false">P112*Premissas!$C$43</f>
        <v>971.049505968091</v>
      </c>
      <c r="R112" s="16" t="n">
        <f aca="false">P112*Premissas!$C$44</f>
        <v>1213.81188246011</v>
      </c>
      <c r="S112" s="16" t="n">
        <f aca="false">IF($A112&gt;=Premissas!$C$25,Premissas!$C$45*(1+Premissas!$C$60)^((YEAR($A112)-YEAR(Premissas!$C$19))*12+MONTH($A112)-MONTH(Premissas!$C$19)),0)</f>
        <v>1064.00059822941</v>
      </c>
      <c r="T112" s="16" t="n">
        <f aca="false">IF($A112&gt;=Premissas!$C$27,Premissas!$C$46*(1+Premissas!$C$60)^((YEAR($A112)-YEAR(Premissas!$C$19))*12+MONTH($A112)-MONTH(Premissas!$C$19)),0)</f>
        <v>425.600239291765</v>
      </c>
      <c r="U112" s="16" t="n">
        <f aca="false">IF($A112&gt;=Premissas!$C$27,Premissas!$C$47*(1+Premissas!$C$60)^((YEAR($A112)-YEAR(Premissas!$C$19))*12+MONTH($A112)-MONTH(Premissas!$C$19)),0)</f>
        <v>212.800119645882</v>
      </c>
      <c r="V112" s="16" t="n">
        <f aca="false">IF($A112&gt;=Premissas!$C$27,MAX(0,P112-Q112-R112-S112)*Premissas!$C$49,0)</f>
        <v>775.554292051812</v>
      </c>
      <c r="W112" s="16" t="n">
        <f aca="false">P112-Q112-R112-S112-T112-U112-V112</f>
        <v>1406.24277465349</v>
      </c>
      <c r="X112" s="16" t="n">
        <f aca="false">W112-F112-G112-H112-M112</f>
        <v>-3986.6020637334</v>
      </c>
      <c r="Y112" s="16" t="n">
        <f aca="false">Y111+X112</f>
        <v>-630469.15998023</v>
      </c>
      <c r="Z112" s="16" t="n">
        <f aca="false">Premissas!$C$14*(1+Premissas!$C$57)^((YEAR(Premissas!$C$19)-YEAR(Premissas!$C$18))*12+MONTH(Premissas!$C$19)-MONTH(Premissas!$C$18))*(1+Premissas!$C$61)^((YEAR($A112)-YEAR(Premissas!$C$19))*12+MONTH($A112)-MONTH(Premissas!$C$19))</f>
        <v>738864.448690362</v>
      </c>
      <c r="AA112" s="16" t="n">
        <f aca="false">IF($A112&gt;=Premissas!$C$25,Z112*(1-Premissas!$C$53)-N112-Premissas!$C$54*MAX(0,Z112*(1-Premissas!$C$53)-(Premissas!$C$14*(1+Premissas!$C$57)^((YEAR(Premissas!$C$25)-YEAR(Premissas!$C$18))*12+MONTH(Premissas!$C$25)-MONTH(Premissas!$C$18))*(1+Premissas!$C$34))),"")</f>
        <v>540135.308924015</v>
      </c>
      <c r="AB112" s="16" t="n">
        <f aca="false">IF($A112&gt;=Premissas!$C$25,Y112+AA112,"")</f>
        <v>-90333.8510562144</v>
      </c>
      <c r="AC112" s="20" t="str">
        <f aca="false">IF(AND($A112&gt;=Premissas!$C$27,W112&gt;=M112),$A112,"")</f>
        <v/>
      </c>
      <c r="AD112" s="20" t="str">
        <f aca="false">IF(AND($A112&gt;=Premissas!$C$27,Y112&gt;=0),$A112,"")</f>
        <v/>
      </c>
      <c r="AE112" s="20" t="str">
        <f aca="false">IF(AND($A112&gt;=Premissas!$C$25,N(AB112)&gt;=0),$A112,"")</f>
        <v/>
      </c>
    </row>
    <row r="113" customFormat="false" ht="15" hidden="false" customHeight="false" outlineLevel="0" collapsed="false">
      <c r="A113" s="29" t="n">
        <f aca="false">DATE(YEAR(A112),MONTH(A112)+1,1)</f>
        <v>49675</v>
      </c>
      <c r="B113" s="30" t="str">
        <f aca="false">IF($A113&lt;Premissas!$C$25,"Obra",IF($A113=Premissas!$C$25,"Chaves",IF($A113&lt;Premissas!$C$27,"Mobiliando","Airbnb")))</f>
        <v>Airbnb</v>
      </c>
      <c r="C113" s="31" t="n">
        <f aca="false">(YEAR($A113)-YEAR(Premissas!$C$18))*12+MONTH($A113)-MONTH(Premissas!$C$18)</f>
        <v>112</v>
      </c>
      <c r="D113" s="32" t="n">
        <f aca="false">($A113=Premissas!$C$19)*Premissas!$C$8+(($A113=EDATE(Premissas!$C$19,1))+($A113=EDATE(Premissas!$C$19,2)))*Premissas!$C$9+AND($A113&gt;=Premissas!$C$20,$A113&lt;EDATE(Premissas!$C$20,Premissas!$C$21))*Premissas!$C$10+(($A113=Premissas!$C$22)+($A113=Premissas!$C$23)+($A113=Premissas!$C$24))*Premissas!$C$11+($A113=Premissas!$C$25)*Premissas!$C$12</f>
        <v>0</v>
      </c>
      <c r="E113" s="33" t="n">
        <f aca="false">(1+Premissas!$C$57)^C113</f>
        <v>1.64824951483825</v>
      </c>
      <c r="F113" s="32" t="n">
        <f aca="false">D113*E113</f>
        <v>0</v>
      </c>
      <c r="G113" s="32" t="n">
        <f aca="false">($A113=Premissas!$C$25)*Premissas!$C$34*Premissas!$C$14*(1+Premissas!$C$57)^C113</f>
        <v>0</v>
      </c>
      <c r="H113" s="32" t="n">
        <f aca="false">IF(AND($A113&gt;Premissas!$C$25,$A113&lt;Premissas!$C$27),Premissas!$C$35/MAX(1,Premissas!$C$26),0)</f>
        <v>0</v>
      </c>
      <c r="I113" s="31" t="n">
        <f aca="false">IF(AND($A113&gt;Premissas!$C$25,((YEAR($A113)-YEAR(Premissas!$C$25))*12+MONTH($A113)-MONTH(Premissas!$C$25))&lt;=Premissas!$C$32),((YEAR($A113)-YEAR(Premissas!$C$25))*12+MONTH($A113)-MONTH(Premissas!$C$25)),0)</f>
        <v>89</v>
      </c>
      <c r="J113" s="32" t="n">
        <f aca="false">IF(I113&gt;0,N112*(1+Premissas!$C$59),0)</f>
        <v>131849.82864786</v>
      </c>
      <c r="K113" s="32" t="n">
        <f aca="false">J113*Premissas!$C$58</f>
        <v>1251.0957224998</v>
      </c>
      <c r="L113" s="32" t="n">
        <f aca="false">IF(I113&gt;0,J113/(Premissas!$C$32-I113+1),0)</f>
        <v>4120.30714524563</v>
      </c>
      <c r="M113" s="32" t="n">
        <f aca="false">K113+L113</f>
        <v>5371.40286774543</v>
      </c>
      <c r="N113" s="32" t="n">
        <f aca="false">IF($A113=Premissas!$C$25,Premissas!$C$13*E113,IF(I113&gt;0,J113-L113,0))</f>
        <v>127729.521502614</v>
      </c>
      <c r="O113" s="34" t="n">
        <f aca="false">IF($A113&gt;=Premissas!$C$27,Premissas!$C$39*IF(((YEAR($A113)-YEAR(Premissas!$C$27))*12+MONTH($A113)-MONTH(Premissas!$C$27))&lt;Premissas!$C$41,Premissas!$C$42,1),0)</f>
        <v>0.62</v>
      </c>
      <c r="P113" s="32" t="n">
        <f aca="false">O113*Premissas!$C$38*Premissas!$C$40*(1+Premissas!$C$60)^((YEAR($A113)-YEAR(Premissas!$C$19))*12+MONTH($A113)-MONTH(Premissas!$C$19))</f>
        <v>6088.92793353914</v>
      </c>
      <c r="Q113" s="32" t="n">
        <f aca="false">P113*Premissas!$C$43</f>
        <v>974.228469366263</v>
      </c>
      <c r="R113" s="32" t="n">
        <f aca="false">P113*Premissas!$C$44</f>
        <v>1217.78558670783</v>
      </c>
      <c r="S113" s="32" t="n">
        <f aca="false">IF($A113&gt;=Premissas!$C$25,Premissas!$C$45*(1+Premissas!$C$60)^((YEAR($A113)-YEAR(Premissas!$C$19))*12+MONTH($A113)-MONTH(Premissas!$C$19)),0)</f>
        <v>1067.48385931612</v>
      </c>
      <c r="T113" s="32" t="n">
        <f aca="false">IF($A113&gt;=Premissas!$C$27,Premissas!$C$46*(1+Premissas!$C$60)^((YEAR($A113)-YEAR(Premissas!$C$19))*12+MONTH($A113)-MONTH(Premissas!$C$19)),0)</f>
        <v>426.993543726448</v>
      </c>
      <c r="U113" s="32" t="n">
        <f aca="false">IF($A113&gt;=Premissas!$C$27,Premissas!$C$47*(1+Premissas!$C$60)^((YEAR($A113)-YEAR(Premissas!$C$19))*12+MONTH($A113)-MONTH(Premissas!$C$19)),0)</f>
        <v>213.496771863224</v>
      </c>
      <c r="V113" s="32" t="n">
        <f aca="false">IF($A113&gt;=Premissas!$C$27,MAX(0,P113-Q113-R113-S113)*Premissas!$C$49,0)</f>
        <v>778.093254990957</v>
      </c>
      <c r="W113" s="32" t="n">
        <f aca="false">P113-Q113-R113-S113-T113-U113-V113</f>
        <v>1410.8464475683</v>
      </c>
      <c r="X113" s="32" t="n">
        <f aca="false">W113-F113-G113-H113-M113</f>
        <v>-3960.55642017712</v>
      </c>
      <c r="Y113" s="32" t="n">
        <f aca="false">Y112+X113</f>
        <v>-634429.716400407</v>
      </c>
      <c r="Z113" s="32" t="n">
        <f aca="false">Premissas!$C$14*(1+Premissas!$C$57)^((YEAR(Premissas!$C$19)-YEAR(Premissas!$C$18))*12+MONTH(Premissas!$C$19)-MONTH(Premissas!$C$18))*(1+Premissas!$C$61)^((YEAR($A113)-YEAR(Premissas!$C$19))*12+MONTH($A113)-MONTH(Premissas!$C$19))</f>
        <v>741874.673913664</v>
      </c>
      <c r="AA113" s="32" t="n">
        <f aca="false">IF($A113&gt;=Premissas!$C$25,Z113*(1-Premissas!$C$53)-N113-Premissas!$C$54*MAX(0,Z113*(1-Premissas!$C$53)-(Premissas!$C$14*(1+Premissas!$C$57)^((YEAR(Premissas!$C$25)-YEAR(Premissas!$C$18))*12+MONTH(Premissas!$C$25)-MONTH(Premissas!$C$18))*(1+Premissas!$C$34))),"")</f>
        <v>546230.552466068</v>
      </c>
      <c r="AB113" s="32" t="n">
        <f aca="false">IF($A113&gt;=Premissas!$C$25,Y113+AA113,"")</f>
        <v>-88199.1639343386</v>
      </c>
      <c r="AC113" s="29" t="str">
        <f aca="false">IF(AND($A113&gt;=Premissas!$C$27,W113&gt;=M113),$A113,"")</f>
        <v/>
      </c>
      <c r="AD113" s="29" t="str">
        <f aca="false">IF(AND($A113&gt;=Premissas!$C$27,Y113&gt;=0),$A113,"")</f>
        <v/>
      </c>
      <c r="AE113" s="29" t="str">
        <f aca="false">IF(AND($A113&gt;=Premissas!$C$25,N(AB113)&gt;=0),$A113,"")</f>
        <v/>
      </c>
    </row>
    <row r="114" customFormat="false" ht="15" hidden="false" customHeight="false" outlineLevel="0" collapsed="false">
      <c r="A114" s="20" t="n">
        <f aca="false">DATE(YEAR(A113),MONTH(A113)+1,1)</f>
        <v>49706</v>
      </c>
      <c r="B114" s="5" t="str">
        <f aca="false">IF($A114&lt;Premissas!$C$25,"Obra",IF($A114=Premissas!$C$25,"Chaves",IF($A114&lt;Premissas!$C$27,"Mobiliando","Airbnb")))</f>
        <v>Airbnb</v>
      </c>
      <c r="C114" s="35" t="n">
        <f aca="false">(YEAR($A114)-YEAR(Premissas!$C$18))*12+MONTH($A114)-MONTH(Premissas!$C$18)</f>
        <v>113</v>
      </c>
      <c r="D114" s="16" t="n">
        <f aca="false">($A114=Premissas!$C$19)*Premissas!$C$8+(($A114=EDATE(Premissas!$C$19,1))+($A114=EDATE(Premissas!$C$19,2)))*Premissas!$C$9+AND($A114&gt;=Premissas!$C$20,$A114&lt;EDATE(Premissas!$C$20,Premissas!$C$21))*Premissas!$C$10+(($A114=Premissas!$C$22)+($A114=Premissas!$C$23)+($A114=Premissas!$C$24))*Premissas!$C$11+($A114=Premissas!$C$25)*Premissas!$C$12</f>
        <v>0</v>
      </c>
      <c r="E114" s="36" t="n">
        <f aca="false">(1+Premissas!$C$57)^C114</f>
        <v>1.65561999040876</v>
      </c>
      <c r="F114" s="16" t="n">
        <f aca="false">D114*E114</f>
        <v>0</v>
      </c>
      <c r="G114" s="16" t="n">
        <f aca="false">($A114=Premissas!$C$25)*Premissas!$C$34*Premissas!$C$14*(1+Premissas!$C$57)^C114</f>
        <v>0</v>
      </c>
      <c r="H114" s="16" t="n">
        <f aca="false">IF(AND($A114&gt;Premissas!$C$25,$A114&lt;Premissas!$C$27),Premissas!$C$35/MAX(1,Premissas!$C$26),0)</f>
        <v>0</v>
      </c>
      <c r="I114" s="35" t="n">
        <f aca="false">IF(AND($A114&gt;Premissas!$C$25,((YEAR($A114)-YEAR(Premissas!$C$25))*12+MONTH($A114)-MONTH(Premissas!$C$25))&lt;=Premissas!$C$32),((YEAR($A114)-YEAR(Premissas!$C$25))*12+MONTH($A114)-MONTH(Premissas!$C$25)),0)</f>
        <v>90</v>
      </c>
      <c r="J114" s="16" t="n">
        <f aca="false">IF(I114&gt;0,N113*(1+Premissas!$C$59),0)</f>
        <v>128147.674718519</v>
      </c>
      <c r="K114" s="16" t="n">
        <f aca="false">J114*Premissas!$C$58</f>
        <v>1215.96675045233</v>
      </c>
      <c r="L114" s="16" t="n">
        <f aca="false">IF(I114&gt;0,J114/(Premissas!$C$32-I114+1),0)</f>
        <v>4133.7959586619</v>
      </c>
      <c r="M114" s="16" t="n">
        <f aca="false">K114+L114</f>
        <v>5349.76270911422</v>
      </c>
      <c r="N114" s="16" t="n">
        <f aca="false">IF($A114=Premissas!$C$25,Premissas!$C$13*E114,IF(I114&gt;0,J114-L114,0))</f>
        <v>124013.878759857</v>
      </c>
      <c r="O114" s="37" t="n">
        <f aca="false">IF($A114&gt;=Premissas!$C$27,Premissas!$C$39*IF(((YEAR($A114)-YEAR(Premissas!$C$27))*12+MONTH($A114)-MONTH(Premissas!$C$27))&lt;Premissas!$C$41,Premissas!$C$42,1),0)</f>
        <v>0.62</v>
      </c>
      <c r="P114" s="16" t="n">
        <f aca="false">O114*Premissas!$C$38*Premissas!$C$40*(1+Premissas!$C$60)^((YEAR($A114)-YEAR(Premissas!$C$19))*12+MONTH($A114)-MONTH(Premissas!$C$19))</f>
        <v>6108.86149914611</v>
      </c>
      <c r="Q114" s="16" t="n">
        <f aca="false">P114*Premissas!$C$43</f>
        <v>977.417839863378</v>
      </c>
      <c r="R114" s="16" t="n">
        <f aca="false">P114*Premissas!$C$44</f>
        <v>1221.77229982922</v>
      </c>
      <c r="S114" s="16" t="n">
        <f aca="false">IF($A114&gt;=Premissas!$C$25,Premissas!$C$45*(1+Premissas!$C$60)^((YEAR($A114)-YEAR(Premissas!$C$19))*12+MONTH($A114)-MONTH(Premissas!$C$19)),0)</f>
        <v>1070.97852369322</v>
      </c>
      <c r="T114" s="16" t="n">
        <f aca="false">IF($A114&gt;=Premissas!$C$27,Premissas!$C$46*(1+Premissas!$C$60)^((YEAR($A114)-YEAR(Premissas!$C$19))*12+MONTH($A114)-MONTH(Premissas!$C$19)),0)</f>
        <v>428.391409477287</v>
      </c>
      <c r="U114" s="16" t="n">
        <f aca="false">IF($A114&gt;=Premissas!$C$27,Premissas!$C$47*(1+Premissas!$C$60)^((YEAR($A114)-YEAR(Premissas!$C$19))*12+MONTH($A114)-MONTH(Premissas!$C$19)),0)</f>
        <v>214.195704738644</v>
      </c>
      <c r="V114" s="16" t="n">
        <f aca="false">IF($A114&gt;=Premissas!$C$27,MAX(0,P114-Q114-R114-S114)*Premissas!$C$49,0)</f>
        <v>780.640529834081</v>
      </c>
      <c r="W114" s="16" t="n">
        <f aca="false">P114-Q114-R114-S114-T114-U114-V114</f>
        <v>1415.46519171028</v>
      </c>
      <c r="X114" s="16" t="n">
        <f aca="false">W114-F114-G114-H114-M114</f>
        <v>-3934.29751740394</v>
      </c>
      <c r="Y114" s="16" t="n">
        <f aca="false">Y113+X114</f>
        <v>-638364.013917811</v>
      </c>
      <c r="Z114" s="16" t="n">
        <f aca="false">Premissas!$C$14*(1+Premissas!$C$57)^((YEAR(Premissas!$C$19)-YEAR(Premissas!$C$18))*12+MONTH(Premissas!$C$19)-MONTH(Premissas!$C$18))*(1+Premissas!$C$61)^((YEAR($A114)-YEAR(Premissas!$C$19))*12+MONTH($A114)-MONTH(Premissas!$C$19))</f>
        <v>744897.163167142</v>
      </c>
      <c r="AA114" s="16" t="n">
        <f aca="false">IF($A114&gt;=Premissas!$C$25,Z114*(1-Premissas!$C$53)-N114-Premissas!$C$54*MAX(0,Z114*(1-Premissas!$C$53)-(Premissas!$C$14*(1+Premissas!$C$57)^((YEAR(Premissas!$C$25)-YEAR(Premissas!$C$18))*12+MONTH(Premissas!$C$25)-MONTH(Premissas!$C$18))*(1+Premissas!$C$34))),"")</f>
        <v>552361.164122355</v>
      </c>
      <c r="AB114" s="16" t="n">
        <f aca="false">IF($A114&gt;=Premissas!$C$25,Y114+AA114,"")</f>
        <v>-86002.8497954562</v>
      </c>
      <c r="AC114" s="20" t="str">
        <f aca="false">IF(AND($A114&gt;=Premissas!$C$27,W114&gt;=M114),$A114,"")</f>
        <v/>
      </c>
      <c r="AD114" s="20" t="str">
        <f aca="false">IF(AND($A114&gt;=Premissas!$C$27,Y114&gt;=0),$A114,"")</f>
        <v/>
      </c>
      <c r="AE114" s="20" t="str">
        <f aca="false">IF(AND($A114&gt;=Premissas!$C$25,N(AB114)&gt;=0),$A114,"")</f>
        <v/>
      </c>
    </row>
    <row r="115" customFormat="false" ht="15" hidden="false" customHeight="false" outlineLevel="0" collapsed="false">
      <c r="A115" s="20" t="n">
        <f aca="false">DATE(YEAR(A114),MONTH(A114)+1,1)</f>
        <v>49735</v>
      </c>
      <c r="B115" s="5" t="str">
        <f aca="false">IF($A115&lt;Premissas!$C$25,"Obra",IF($A115=Premissas!$C$25,"Chaves",IF($A115&lt;Premissas!$C$27,"Mobiliando","Airbnb")))</f>
        <v>Airbnb</v>
      </c>
      <c r="C115" s="35" t="n">
        <f aca="false">(YEAR($A115)-YEAR(Premissas!$C$18))*12+MONTH($A115)-MONTH(Premissas!$C$18)</f>
        <v>114</v>
      </c>
      <c r="D115" s="16" t="n">
        <f aca="false">($A115=Premissas!$C$19)*Premissas!$C$8+(($A115=EDATE(Premissas!$C$19,1))+($A115=EDATE(Premissas!$C$19,2)))*Premissas!$C$9+AND($A115&gt;=Premissas!$C$20,$A115&lt;EDATE(Premissas!$C$20,Premissas!$C$21))*Premissas!$C$10+(($A115=Premissas!$C$22)+($A115=Premissas!$C$23)+($A115=Premissas!$C$24))*Premissas!$C$11+($A115=Premissas!$C$25)*Premissas!$C$12</f>
        <v>0</v>
      </c>
      <c r="E115" s="36" t="n">
        <f aca="false">(1+Premissas!$C$57)^C115</f>
        <v>1.66302342452691</v>
      </c>
      <c r="F115" s="16" t="n">
        <f aca="false">D115*E115</f>
        <v>0</v>
      </c>
      <c r="G115" s="16" t="n">
        <f aca="false">($A115=Premissas!$C$25)*Premissas!$C$34*Premissas!$C$14*(1+Premissas!$C$57)^C115</f>
        <v>0</v>
      </c>
      <c r="H115" s="16" t="n">
        <f aca="false">IF(AND($A115&gt;Premissas!$C$25,$A115&lt;Premissas!$C$27),Premissas!$C$35/MAX(1,Premissas!$C$26),0)</f>
        <v>0</v>
      </c>
      <c r="I115" s="35" t="n">
        <f aca="false">IF(AND($A115&gt;Premissas!$C$25,((YEAR($A115)-YEAR(Premissas!$C$25))*12+MONTH($A115)-MONTH(Premissas!$C$25))&lt;=Premissas!$C$32),((YEAR($A115)-YEAR(Premissas!$C$25))*12+MONTH($A115)-MONTH(Premissas!$C$25)),0)</f>
        <v>91</v>
      </c>
      <c r="J115" s="16" t="n">
        <f aca="false">IF(I115&gt;0,N114*(1+Premissas!$C$59),0)</f>
        <v>124419.867928298</v>
      </c>
      <c r="K115" s="16" t="n">
        <f aca="false">J115*Premissas!$C$58</f>
        <v>1180.59436371979</v>
      </c>
      <c r="L115" s="16" t="n">
        <f aca="false">IF(I115&gt;0,J115/(Premissas!$C$32-I115+1),0)</f>
        <v>4147.32893094326</v>
      </c>
      <c r="M115" s="16" t="n">
        <f aca="false">K115+L115</f>
        <v>5327.92329466305</v>
      </c>
      <c r="N115" s="16" t="n">
        <f aca="false">IF($A115=Premissas!$C$25,Premissas!$C$13*E115,IF(I115&gt;0,J115-L115,0))</f>
        <v>120272.538997355</v>
      </c>
      <c r="O115" s="37" t="n">
        <f aca="false">IF($A115&gt;=Premissas!$C$27,Premissas!$C$39*IF(((YEAR($A115)-YEAR(Premissas!$C$27))*12+MONTH($A115)-MONTH(Premissas!$C$27))&lt;Premissas!$C$41,Premissas!$C$42,1),0)</f>
        <v>0.62</v>
      </c>
      <c r="P115" s="16" t="n">
        <f aca="false">O115*Premissas!$C$38*Premissas!$C$40*(1+Premissas!$C$60)^((YEAR($A115)-YEAR(Premissas!$C$19))*12+MONTH($A115)-MONTH(Premissas!$C$19))</f>
        <v>6128.86032205981</v>
      </c>
      <c r="Q115" s="16" t="n">
        <f aca="false">P115*Premissas!$C$43</f>
        <v>980.61765152957</v>
      </c>
      <c r="R115" s="16" t="n">
        <f aca="false">P115*Premissas!$C$44</f>
        <v>1225.77206441196</v>
      </c>
      <c r="S115" s="16" t="n">
        <f aca="false">IF($A115&gt;=Premissas!$C$25,Premissas!$C$45*(1+Premissas!$C$60)^((YEAR($A115)-YEAR(Premissas!$C$19))*12+MONTH($A115)-MONTH(Premissas!$C$19)),0)</f>
        <v>1074.48462869211</v>
      </c>
      <c r="T115" s="16" t="n">
        <f aca="false">IF($A115&gt;=Premissas!$C$27,Premissas!$C$46*(1+Premissas!$C$60)^((YEAR($A115)-YEAR(Premissas!$C$19))*12+MONTH($A115)-MONTH(Premissas!$C$19)),0)</f>
        <v>429.793851476845</v>
      </c>
      <c r="U115" s="16" t="n">
        <f aca="false">IF($A115&gt;=Premissas!$C$27,Premissas!$C$47*(1+Premissas!$C$60)^((YEAR($A115)-YEAR(Premissas!$C$19))*12+MONTH($A115)-MONTH(Premissas!$C$19)),0)</f>
        <v>214.896925738423</v>
      </c>
      <c r="V115" s="16" t="n">
        <f aca="false">IF($A115&gt;=Premissas!$C$27,MAX(0,P115-Q115-R115-S115)*Premissas!$C$49,0)</f>
        <v>783.196143792196</v>
      </c>
      <c r="W115" s="16" t="n">
        <f aca="false">P115-Q115-R115-S115-T115-U115-V115</f>
        <v>1420.0990564187</v>
      </c>
      <c r="X115" s="16" t="n">
        <f aca="false">W115-F115-G115-H115-M115</f>
        <v>-3907.82423824435</v>
      </c>
      <c r="Y115" s="16" t="n">
        <f aca="false">Y114+X115</f>
        <v>-642271.838156055</v>
      </c>
      <c r="Z115" s="16" t="n">
        <f aca="false">Premissas!$C$14*(1+Premissas!$C$57)^((YEAR(Premissas!$C$19)-YEAR(Premissas!$C$18))*12+MONTH(Premissas!$C$19)-MONTH(Premissas!$C$18))*(1+Premissas!$C$61)^((YEAR($A115)-YEAR(Premissas!$C$19))*12+MONTH($A115)-MONTH(Premissas!$C$19))</f>
        <v>747931.966415973</v>
      </c>
      <c r="AA115" s="16" t="n">
        <f aca="false">IF($A115&gt;=Premissas!$C$25,Z115*(1-Premissas!$C$53)-N115-Premissas!$C$54*MAX(0,Z115*(1-Premissas!$C$53)-(Premissas!$C$14*(1+Premissas!$C$57)^((YEAR(Premissas!$C$25)-YEAR(Premissas!$C$18))*12+MONTH(Premissas!$C$25)-MONTH(Premissas!$C$18))*(1+Premissas!$C$34))),"")</f>
        <v>558527.311680673</v>
      </c>
      <c r="AB115" s="16" t="n">
        <f aca="false">IF($A115&gt;=Premissas!$C$25,Y115+AA115,"")</f>
        <v>-83744.5264753817</v>
      </c>
      <c r="AC115" s="20" t="str">
        <f aca="false">IF(AND($A115&gt;=Premissas!$C$27,W115&gt;=M115),$A115,"")</f>
        <v/>
      </c>
      <c r="AD115" s="20" t="str">
        <f aca="false">IF(AND($A115&gt;=Premissas!$C$27,Y115&gt;=0),$A115,"")</f>
        <v/>
      </c>
      <c r="AE115" s="20" t="str">
        <f aca="false">IF(AND($A115&gt;=Premissas!$C$25,N(AB115)&gt;=0),$A115,"")</f>
        <v/>
      </c>
    </row>
    <row r="116" customFormat="false" ht="15" hidden="false" customHeight="false" outlineLevel="0" collapsed="false">
      <c r="A116" s="20" t="n">
        <f aca="false">DATE(YEAR(A115),MONTH(A115)+1,1)</f>
        <v>49766</v>
      </c>
      <c r="B116" s="5" t="str">
        <f aca="false">IF($A116&lt;Premissas!$C$25,"Obra",IF($A116=Premissas!$C$25,"Chaves",IF($A116&lt;Premissas!$C$27,"Mobiliando","Airbnb")))</f>
        <v>Airbnb</v>
      </c>
      <c r="C116" s="35" t="n">
        <f aca="false">(YEAR($A116)-YEAR(Premissas!$C$18))*12+MONTH($A116)-MONTH(Premissas!$C$18)</f>
        <v>115</v>
      </c>
      <c r="D116" s="16" t="n">
        <f aca="false">($A116=Premissas!$C$19)*Premissas!$C$8+(($A116=EDATE(Premissas!$C$19,1))+($A116=EDATE(Premissas!$C$19,2)))*Premissas!$C$9+AND($A116&gt;=Premissas!$C$20,$A116&lt;EDATE(Premissas!$C$20,Premissas!$C$21))*Premissas!$C$10+(($A116=Premissas!$C$22)+($A116=Premissas!$C$23)+($A116=Premissas!$C$24))*Premissas!$C$11+($A116=Premissas!$C$25)*Premissas!$C$12</f>
        <v>0</v>
      </c>
      <c r="E116" s="36" t="n">
        <f aca="false">(1+Premissas!$C$57)^C116</f>
        <v>1.67045996457338</v>
      </c>
      <c r="F116" s="16" t="n">
        <f aca="false">D116*E116</f>
        <v>0</v>
      </c>
      <c r="G116" s="16" t="n">
        <f aca="false">($A116=Premissas!$C$25)*Premissas!$C$34*Premissas!$C$14*(1+Premissas!$C$57)^C116</f>
        <v>0</v>
      </c>
      <c r="H116" s="16" t="n">
        <f aca="false">IF(AND($A116&gt;Premissas!$C$25,$A116&lt;Premissas!$C$27),Premissas!$C$35/MAX(1,Premissas!$C$26),0)</f>
        <v>0</v>
      </c>
      <c r="I116" s="35" t="n">
        <f aca="false">IF(AND($A116&gt;Premissas!$C$25,((YEAR($A116)-YEAR(Premissas!$C$25))*12+MONTH($A116)-MONTH(Premissas!$C$25))&lt;=Premissas!$C$32),((YEAR($A116)-YEAR(Premissas!$C$25))*12+MONTH($A116)-MONTH(Premissas!$C$25)),0)</f>
        <v>92</v>
      </c>
      <c r="J116" s="16" t="n">
        <f aca="false">IF(I116&gt;0,N115*(1+Premissas!$C$59),0)</f>
        <v>120666.279992976</v>
      </c>
      <c r="K116" s="16" t="n">
        <f aca="false">J116*Premissas!$C$58</f>
        <v>1144.97734503977</v>
      </c>
      <c r="L116" s="16" t="n">
        <f aca="false">IF(I116&gt;0,J116/(Premissas!$C$32-I116+1),0)</f>
        <v>4160.90620665436</v>
      </c>
      <c r="M116" s="16" t="n">
        <f aca="false">K116+L116</f>
        <v>5305.88355169413</v>
      </c>
      <c r="N116" s="16" t="n">
        <f aca="false">IF($A116=Premissas!$C$25,Premissas!$C$13*E116,IF(I116&gt;0,J116-L116,0))</f>
        <v>116505.373786322</v>
      </c>
      <c r="O116" s="37" t="n">
        <f aca="false">IF($A116&gt;=Premissas!$C$27,Premissas!$C$39*IF(((YEAR($A116)-YEAR(Premissas!$C$27))*12+MONTH($A116)-MONTH(Premissas!$C$27))&lt;Premissas!$C$41,Premissas!$C$42,1),0)</f>
        <v>0.62</v>
      </c>
      <c r="P116" s="16" t="n">
        <f aca="false">O116*Premissas!$C$38*Premissas!$C$40*(1+Premissas!$C$60)^((YEAR($A116)-YEAR(Premissas!$C$19))*12+MONTH($A116)-MONTH(Premissas!$C$19))</f>
        <v>6148.92461591568</v>
      </c>
      <c r="Q116" s="16" t="n">
        <f aca="false">P116*Premissas!$C$43</f>
        <v>983.827938546509</v>
      </c>
      <c r="R116" s="16" t="n">
        <f aca="false">P116*Premissas!$C$44</f>
        <v>1229.78492318314</v>
      </c>
      <c r="S116" s="16" t="n">
        <f aca="false">IF($A116&gt;=Premissas!$C$25,Premissas!$C$45*(1+Premissas!$C$60)^((YEAR($A116)-YEAR(Premissas!$C$19))*12+MONTH($A116)-MONTH(Premissas!$C$19)),0)</f>
        <v>1078.00221176642</v>
      </c>
      <c r="T116" s="16" t="n">
        <f aca="false">IF($A116&gt;=Premissas!$C$27,Premissas!$C$46*(1+Premissas!$C$60)^((YEAR($A116)-YEAR(Premissas!$C$19))*12+MONTH($A116)-MONTH(Premissas!$C$19)),0)</f>
        <v>431.200884706569</v>
      </c>
      <c r="U116" s="16" t="n">
        <f aca="false">IF($A116&gt;=Premissas!$C$27,Premissas!$C$47*(1+Premissas!$C$60)^((YEAR($A116)-YEAR(Premissas!$C$19))*12+MONTH($A116)-MONTH(Premissas!$C$19)),0)</f>
        <v>215.600442353285</v>
      </c>
      <c r="V116" s="16" t="n">
        <f aca="false">IF($A116&gt;=Premissas!$C$27,MAX(0,P116-Q116-R116-S116)*Premissas!$C$49,0)</f>
        <v>785.760124165393</v>
      </c>
      <c r="W116" s="16" t="n">
        <f aca="false">P116-Q116-R116-S116-T116-U116-V116</f>
        <v>1424.74809119436</v>
      </c>
      <c r="X116" s="16" t="n">
        <f aca="false">W116-F116-G116-H116-M116</f>
        <v>-3881.13546049976</v>
      </c>
      <c r="Y116" s="16" t="n">
        <f aca="false">Y115+X116</f>
        <v>-646152.973616555</v>
      </c>
      <c r="Z116" s="16" t="n">
        <f aca="false">Premissas!$C$14*(1+Premissas!$C$57)^((YEAR(Premissas!$C$19)-YEAR(Premissas!$C$18))*12+MONTH(Premissas!$C$19)-MONTH(Premissas!$C$18))*(1+Premissas!$C$61)^((YEAR($A116)-YEAR(Premissas!$C$19))*12+MONTH($A116)-MONTH(Premissas!$C$19))</f>
        <v>750979.1338289</v>
      </c>
      <c r="AA116" s="16" t="n">
        <f aca="false">IF($A116&gt;=Premissas!$C$25,Z116*(1-Premissas!$C$53)-N116-Premissas!$C$54*MAX(0,Z116*(1-Premissas!$C$53)-(Premissas!$C$14*(1+Premissas!$C$57)^((YEAR(Premissas!$C$25)-YEAR(Premissas!$C$18))*12+MONTH(Premissas!$C$25)-MONTH(Premissas!$C$18))*(1+Premissas!$C$34))),"")</f>
        <v>564729.163654634</v>
      </c>
      <c r="AB116" s="16" t="n">
        <f aca="false">IF($A116&gt;=Premissas!$C$25,Y116+AA116,"")</f>
        <v>-81423.8099619208</v>
      </c>
      <c r="AC116" s="20" t="str">
        <f aca="false">IF(AND($A116&gt;=Premissas!$C$27,W116&gt;=M116),$A116,"")</f>
        <v/>
      </c>
      <c r="AD116" s="20" t="str">
        <f aca="false">IF(AND($A116&gt;=Premissas!$C$27,Y116&gt;=0),$A116,"")</f>
        <v/>
      </c>
      <c r="AE116" s="20" t="str">
        <f aca="false">IF(AND($A116&gt;=Premissas!$C$25,N(AB116)&gt;=0),$A116,"")</f>
        <v/>
      </c>
    </row>
    <row r="117" customFormat="false" ht="15" hidden="false" customHeight="false" outlineLevel="0" collapsed="false">
      <c r="A117" s="20" t="n">
        <f aca="false">DATE(YEAR(A116),MONTH(A116)+1,1)</f>
        <v>49796</v>
      </c>
      <c r="B117" s="5" t="str">
        <f aca="false">IF($A117&lt;Premissas!$C$25,"Obra",IF($A117=Premissas!$C$25,"Chaves",IF($A117&lt;Premissas!$C$27,"Mobiliando","Airbnb")))</f>
        <v>Airbnb</v>
      </c>
      <c r="C117" s="35" t="n">
        <f aca="false">(YEAR($A117)-YEAR(Premissas!$C$18))*12+MONTH($A117)-MONTH(Premissas!$C$18)</f>
        <v>116</v>
      </c>
      <c r="D117" s="16" t="n">
        <f aca="false">($A117=Premissas!$C$19)*Premissas!$C$8+(($A117=EDATE(Premissas!$C$19,1))+($A117=EDATE(Premissas!$C$19,2)))*Premissas!$C$9+AND($A117&gt;=Premissas!$C$20,$A117&lt;EDATE(Premissas!$C$20,Premissas!$C$21))*Premissas!$C$10+(($A117=Premissas!$C$22)+($A117=Premissas!$C$23)+($A117=Premissas!$C$24))*Premissas!$C$11+($A117=Premissas!$C$25)*Premissas!$C$12</f>
        <v>0</v>
      </c>
      <c r="E117" s="36" t="n">
        <f aca="false">(1+Premissas!$C$57)^C117</f>
        <v>1.67792975858793</v>
      </c>
      <c r="F117" s="16" t="n">
        <f aca="false">D117*E117</f>
        <v>0</v>
      </c>
      <c r="G117" s="16" t="n">
        <f aca="false">($A117=Premissas!$C$25)*Premissas!$C$34*Premissas!$C$14*(1+Premissas!$C$57)^C117</f>
        <v>0</v>
      </c>
      <c r="H117" s="16" t="n">
        <f aca="false">IF(AND($A117&gt;Premissas!$C$25,$A117&lt;Premissas!$C$27),Premissas!$C$35/MAX(1,Premissas!$C$26),0)</f>
        <v>0</v>
      </c>
      <c r="I117" s="35" t="n">
        <f aca="false">IF(AND($A117&gt;Premissas!$C$25,((YEAR($A117)-YEAR(Premissas!$C$25))*12+MONTH($A117)-MONTH(Premissas!$C$25))&lt;=Premissas!$C$32),((YEAR($A117)-YEAR(Premissas!$C$25))*12+MONTH($A117)-MONTH(Premissas!$C$25)),0)</f>
        <v>93</v>
      </c>
      <c r="J117" s="16" t="n">
        <f aca="false">IF(I117&gt;0,N116*(1+Premissas!$C$59),0)</f>
        <v>116886.782063326</v>
      </c>
      <c r="K117" s="16" t="n">
        <f aca="false">J117*Premissas!$C$58</f>
        <v>1109.11447178864</v>
      </c>
      <c r="L117" s="16" t="n">
        <f aca="false">IF(I117&gt;0,J117/(Premissas!$C$32-I117+1),0)</f>
        <v>4174.52793083308</v>
      </c>
      <c r="M117" s="16" t="n">
        <f aca="false">K117+L117</f>
        <v>5283.64240262172</v>
      </c>
      <c r="N117" s="16" t="n">
        <f aca="false">IF($A117=Premissas!$C$25,Premissas!$C$13*E117,IF(I117&gt;0,J117-L117,0))</f>
        <v>112712.254132493</v>
      </c>
      <c r="O117" s="37" t="n">
        <f aca="false">IF($A117&gt;=Premissas!$C$27,Premissas!$C$39*IF(((YEAR($A117)-YEAR(Premissas!$C$27))*12+MONTH($A117)-MONTH(Premissas!$C$27))&lt;Premissas!$C$41,Premissas!$C$42,1),0)</f>
        <v>0.62</v>
      </c>
      <c r="P117" s="16" t="n">
        <f aca="false">O117*Premissas!$C$38*Premissas!$C$40*(1+Premissas!$C$60)^((YEAR($A117)-YEAR(Premissas!$C$19))*12+MONTH($A117)-MONTH(Premissas!$C$19))</f>
        <v>6169.05459504855</v>
      </c>
      <c r="Q117" s="16" t="n">
        <f aca="false">P117*Premissas!$C$43</f>
        <v>987.048735207767</v>
      </c>
      <c r="R117" s="16" t="n">
        <f aca="false">P117*Premissas!$C$44</f>
        <v>1233.81091900971</v>
      </c>
      <c r="S117" s="16" t="n">
        <f aca="false">IF($A117&gt;=Premissas!$C$25,Premissas!$C$45*(1+Premissas!$C$60)^((YEAR($A117)-YEAR(Premissas!$C$19))*12+MONTH($A117)-MONTH(Premissas!$C$19)),0)</f>
        <v>1081.53131049238</v>
      </c>
      <c r="T117" s="16" t="n">
        <f aca="false">IF($A117&gt;=Premissas!$C$27,Premissas!$C$46*(1+Premissas!$C$60)^((YEAR($A117)-YEAR(Premissas!$C$19))*12+MONTH($A117)-MONTH(Premissas!$C$19)),0)</f>
        <v>432.612524196953</v>
      </c>
      <c r="U117" s="16" t="n">
        <f aca="false">IF($A117&gt;=Premissas!$C$27,Premissas!$C$47*(1+Premissas!$C$60)^((YEAR($A117)-YEAR(Premissas!$C$19))*12+MONTH($A117)-MONTH(Premissas!$C$19)),0)</f>
        <v>216.306262098476</v>
      </c>
      <c r="V117" s="16" t="n">
        <f aca="false">IF($A117&gt;=Premissas!$C$27,MAX(0,P117-Q117-R117-S117)*Premissas!$C$49,0)</f>
        <v>788.332498343139</v>
      </c>
      <c r="W117" s="16" t="n">
        <f aca="false">P117-Q117-R117-S117-T117-U117-V117</f>
        <v>1429.41234570012</v>
      </c>
      <c r="X117" s="16" t="n">
        <f aca="false">W117-F117-G117-H117-M117</f>
        <v>-3854.2300569216</v>
      </c>
      <c r="Y117" s="16" t="n">
        <f aca="false">Y116+X117</f>
        <v>-650007.203673477</v>
      </c>
      <c r="Z117" s="16" t="n">
        <f aca="false">Premissas!$C$14*(1+Premissas!$C$57)^((YEAR(Premissas!$C$19)-YEAR(Premissas!$C$18))*12+MONTH(Premissas!$C$19)-MONTH(Premissas!$C$18))*(1+Premissas!$C$61)^((YEAR($A117)-YEAR(Premissas!$C$19))*12+MONTH($A117)-MONTH(Premissas!$C$19))</f>
        <v>754038.715779055</v>
      </c>
      <c r="AA117" s="16" t="n">
        <f aca="false">IF($A117&gt;=Premissas!$C$25,Z117*(1-Premissas!$C$53)-N117-Premissas!$C$54*MAX(0,Z117*(1-Premissas!$C$53)-(Premissas!$C$14*(1+Premissas!$C$57)^((YEAR(Premissas!$C$25)-YEAR(Premissas!$C$18))*12+MONTH(Premissas!$C$25)-MONTH(Premissas!$C$18))*(1+Premissas!$C$34))),"")</f>
        <v>570966.889286637</v>
      </c>
      <c r="AB117" s="16" t="n">
        <f aca="false">IF($A117&gt;=Premissas!$C$25,Y117+AA117,"")</f>
        <v>-79040.3143868391</v>
      </c>
      <c r="AC117" s="20" t="str">
        <f aca="false">IF(AND($A117&gt;=Premissas!$C$27,W117&gt;=M117),$A117,"")</f>
        <v/>
      </c>
      <c r="AD117" s="20" t="str">
        <f aca="false">IF(AND($A117&gt;=Premissas!$C$27,Y117&gt;=0),$A117,"")</f>
        <v/>
      </c>
      <c r="AE117" s="20" t="str">
        <f aca="false">IF(AND($A117&gt;=Premissas!$C$25,N(AB117)&gt;=0),$A117,"")</f>
        <v/>
      </c>
    </row>
    <row r="118" customFormat="false" ht="15" hidden="false" customHeight="false" outlineLevel="0" collapsed="false">
      <c r="A118" s="20" t="n">
        <f aca="false">DATE(YEAR(A117),MONTH(A117)+1,1)</f>
        <v>49827</v>
      </c>
      <c r="B118" s="5" t="str">
        <f aca="false">IF($A118&lt;Premissas!$C$25,"Obra",IF($A118=Premissas!$C$25,"Chaves",IF($A118&lt;Premissas!$C$27,"Mobiliando","Airbnb")))</f>
        <v>Airbnb</v>
      </c>
      <c r="C118" s="35" t="n">
        <f aca="false">(YEAR($A118)-YEAR(Premissas!$C$18))*12+MONTH($A118)-MONTH(Premissas!$C$18)</f>
        <v>117</v>
      </c>
      <c r="D118" s="16" t="n">
        <f aca="false">($A118=Premissas!$C$19)*Premissas!$C$8+(($A118=EDATE(Premissas!$C$19,1))+($A118=EDATE(Premissas!$C$19,2)))*Premissas!$C$9+AND($A118&gt;=Premissas!$C$20,$A118&lt;EDATE(Premissas!$C$20,Premissas!$C$21))*Premissas!$C$10+(($A118=Premissas!$C$22)+($A118=Premissas!$C$23)+($A118=Premissas!$C$24))*Premissas!$C$11+($A118=Premissas!$C$25)*Premissas!$C$12</f>
        <v>0</v>
      </c>
      <c r="E118" s="36" t="n">
        <f aca="false">(1+Premissas!$C$57)^C118</f>
        <v>1.68543295527228</v>
      </c>
      <c r="F118" s="16" t="n">
        <f aca="false">D118*E118</f>
        <v>0</v>
      </c>
      <c r="G118" s="16" t="n">
        <f aca="false">($A118=Premissas!$C$25)*Premissas!$C$34*Premissas!$C$14*(1+Premissas!$C$57)^C118</f>
        <v>0</v>
      </c>
      <c r="H118" s="16" t="n">
        <f aca="false">IF(AND($A118&gt;Premissas!$C$25,$A118&lt;Premissas!$C$27),Premissas!$C$35/MAX(1,Premissas!$C$26),0)</f>
        <v>0</v>
      </c>
      <c r="I118" s="35" t="n">
        <f aca="false">IF(AND($A118&gt;Premissas!$C$25,((YEAR($A118)-YEAR(Premissas!$C$25))*12+MONTH($A118)-MONTH(Premissas!$C$25))&lt;=Premissas!$C$32),((YEAR($A118)-YEAR(Premissas!$C$25))*12+MONTH($A118)-MONTH(Premissas!$C$25)),0)</f>
        <v>94</v>
      </c>
      <c r="J118" s="16" t="n">
        <f aca="false">IF(I118&gt;0,N117*(1+Premissas!$C$59),0)</f>
        <v>113081.244722788</v>
      </c>
      <c r="K118" s="16" t="n">
        <f aca="false">J118*Premissas!$C$58</f>
        <v>1073.00451595945</v>
      </c>
      <c r="L118" s="16" t="n">
        <f aca="false">IF(I118&gt;0,J118/(Premissas!$C$32-I118+1),0)</f>
        <v>4188.19424899215</v>
      </c>
      <c r="M118" s="16" t="n">
        <f aca="false">K118+L118</f>
        <v>5261.19876495159</v>
      </c>
      <c r="N118" s="16" t="n">
        <f aca="false">IF($A118=Premissas!$C$25,Premissas!$C$13*E118,IF(I118&gt;0,J118-L118,0))</f>
        <v>108893.050473796</v>
      </c>
      <c r="O118" s="37" t="n">
        <f aca="false">IF($A118&gt;=Premissas!$C$27,Premissas!$C$39*IF(((YEAR($A118)-YEAR(Premissas!$C$27))*12+MONTH($A118)-MONTH(Premissas!$C$27))&lt;Premissas!$C$41,Premissas!$C$42,1),0)</f>
        <v>0.62</v>
      </c>
      <c r="P118" s="16" t="n">
        <f aca="false">O118*Premissas!$C$38*Premissas!$C$40*(1+Premissas!$C$60)^((YEAR($A118)-YEAR(Premissas!$C$19))*12+MONTH($A118)-MONTH(Premissas!$C$19))</f>
        <v>6189.25047449491</v>
      </c>
      <c r="Q118" s="16" t="n">
        <f aca="false">P118*Premissas!$C$43</f>
        <v>990.280075919186</v>
      </c>
      <c r="R118" s="16" t="n">
        <f aca="false">P118*Premissas!$C$44</f>
        <v>1237.85009489898</v>
      </c>
      <c r="S118" s="16" t="n">
        <f aca="false">IF($A118&gt;=Premissas!$C$25,Premissas!$C$45*(1+Premissas!$C$60)^((YEAR($A118)-YEAR(Premissas!$C$19))*12+MONTH($A118)-MONTH(Premissas!$C$19)),0)</f>
        <v>1085.07196256923</v>
      </c>
      <c r="T118" s="16" t="n">
        <f aca="false">IF($A118&gt;=Premissas!$C$27,Premissas!$C$46*(1+Premissas!$C$60)^((YEAR($A118)-YEAR(Premissas!$C$19))*12+MONTH($A118)-MONTH(Premissas!$C$19)),0)</f>
        <v>434.028785027694</v>
      </c>
      <c r="U118" s="16" t="n">
        <f aca="false">IF($A118&gt;=Premissas!$C$27,Premissas!$C$47*(1+Premissas!$C$60)^((YEAR($A118)-YEAR(Premissas!$C$19))*12+MONTH($A118)-MONTH(Premissas!$C$19)),0)</f>
        <v>217.014392513847</v>
      </c>
      <c r="V118" s="16" t="n">
        <f aca="false">IF($A118&gt;=Premissas!$C$27,MAX(0,P118-Q118-R118-S118)*Premissas!$C$49,0)</f>
        <v>790.913293804565</v>
      </c>
      <c r="W118" s="16" t="n">
        <f aca="false">P118-Q118-R118-S118-T118-U118-V118</f>
        <v>1434.0918697614</v>
      </c>
      <c r="X118" s="16" t="n">
        <f aca="false">W118-F118-G118-H118-M118</f>
        <v>-3827.10689519019</v>
      </c>
      <c r="Y118" s="16" t="n">
        <f aca="false">Y117+X118</f>
        <v>-653834.310568667</v>
      </c>
      <c r="Z118" s="16" t="n">
        <f aca="false">Premissas!$C$14*(1+Premissas!$C$57)^((YEAR(Premissas!$C$19)-YEAR(Premissas!$C$18))*12+MONTH(Premissas!$C$19)-MONTH(Premissas!$C$18))*(1+Premissas!$C$61)^((YEAR($A118)-YEAR(Premissas!$C$19))*12+MONTH($A118)-MONTH(Premissas!$C$19))</f>
        <v>757110.762844803</v>
      </c>
      <c r="AA118" s="16" t="n">
        <f aca="false">IF($A118&gt;=Premissas!$C$25,Z118*(1-Premissas!$C$53)-N118-Premissas!$C$54*MAX(0,Z118*(1-Premissas!$C$53)-(Premissas!$C$14*(1+Premissas!$C$57)^((YEAR(Premissas!$C$25)-YEAR(Premissas!$C$18))*12+MONTH(Premissas!$C$25)-MONTH(Premissas!$C$18))*(1+Premissas!$C$34))),"")</f>
        <v>577240.658550867</v>
      </c>
      <c r="AB118" s="16" t="n">
        <f aca="false">IF($A118&gt;=Premissas!$C$25,Y118+AA118,"")</f>
        <v>-76593.6520178</v>
      </c>
      <c r="AC118" s="20" t="str">
        <f aca="false">IF(AND($A118&gt;=Premissas!$C$27,W118&gt;=M118),$A118,"")</f>
        <v/>
      </c>
      <c r="AD118" s="20" t="str">
        <f aca="false">IF(AND($A118&gt;=Premissas!$C$27,Y118&gt;=0),$A118,"")</f>
        <v/>
      </c>
      <c r="AE118" s="20" t="str">
        <f aca="false">IF(AND($A118&gt;=Premissas!$C$25,N(AB118)&gt;=0),$A118,"")</f>
        <v/>
      </c>
    </row>
    <row r="119" customFormat="false" ht="15" hidden="false" customHeight="false" outlineLevel="0" collapsed="false">
      <c r="A119" s="20" t="n">
        <f aca="false">DATE(YEAR(A118),MONTH(A118)+1,1)</f>
        <v>49857</v>
      </c>
      <c r="B119" s="5" t="str">
        <f aca="false">IF($A119&lt;Premissas!$C$25,"Obra",IF($A119=Premissas!$C$25,"Chaves",IF($A119&lt;Premissas!$C$27,"Mobiliando","Airbnb")))</f>
        <v>Airbnb</v>
      </c>
      <c r="C119" s="35" t="n">
        <f aca="false">(YEAR($A119)-YEAR(Premissas!$C$18))*12+MONTH($A119)-MONTH(Premissas!$C$18)</f>
        <v>118</v>
      </c>
      <c r="D119" s="16" t="n">
        <f aca="false">($A119=Premissas!$C$19)*Premissas!$C$8+(($A119=EDATE(Premissas!$C$19,1))+($A119=EDATE(Premissas!$C$19,2)))*Premissas!$C$9+AND($A119&gt;=Premissas!$C$20,$A119&lt;EDATE(Premissas!$C$20,Premissas!$C$21))*Premissas!$C$10+(($A119=Premissas!$C$22)+($A119=Premissas!$C$23)+($A119=Premissas!$C$24))*Premissas!$C$11+($A119=Premissas!$C$25)*Premissas!$C$12</f>
        <v>0</v>
      </c>
      <c r="E119" s="36" t="n">
        <f aca="false">(1+Premissas!$C$57)^C119</f>
        <v>1.69296970399312</v>
      </c>
      <c r="F119" s="16" t="n">
        <f aca="false">D119*E119</f>
        <v>0</v>
      </c>
      <c r="G119" s="16" t="n">
        <f aca="false">($A119=Premissas!$C$25)*Premissas!$C$34*Premissas!$C$14*(1+Premissas!$C$57)^C119</f>
        <v>0</v>
      </c>
      <c r="H119" s="16" t="n">
        <f aca="false">IF(AND($A119&gt;Premissas!$C$25,$A119&lt;Premissas!$C$27),Premissas!$C$35/MAX(1,Premissas!$C$26),0)</f>
        <v>0</v>
      </c>
      <c r="I119" s="35" t="n">
        <f aca="false">IF(AND($A119&gt;Premissas!$C$25,((YEAR($A119)-YEAR(Premissas!$C$25))*12+MONTH($A119)-MONTH(Premissas!$C$25))&lt;=Premissas!$C$32),((YEAR($A119)-YEAR(Premissas!$C$25))*12+MONTH($A119)-MONTH(Premissas!$C$25)),0)</f>
        <v>95</v>
      </c>
      <c r="J119" s="16" t="n">
        <f aca="false">IF(I119&gt;0,N118*(1+Premissas!$C$59),0)</f>
        <v>109249.537985137</v>
      </c>
      <c r="K119" s="16" t="n">
        <f aca="false">J119*Premissas!$C$58</f>
        <v>1036.64624413983</v>
      </c>
      <c r="L119" s="16" t="n">
        <f aca="false">IF(I119&gt;0,J119/(Premissas!$C$32-I119+1),0)</f>
        <v>4201.90530712065</v>
      </c>
      <c r="M119" s="16" t="n">
        <f aca="false">K119+L119</f>
        <v>5238.55155126048</v>
      </c>
      <c r="N119" s="16" t="n">
        <f aca="false">IF($A119=Premissas!$C$25,Premissas!$C$13*E119,IF(I119&gt;0,J119-L119,0))</f>
        <v>105047.632678016</v>
      </c>
      <c r="O119" s="37" t="n">
        <f aca="false">IF($A119&gt;=Premissas!$C$27,Premissas!$C$39*IF(((YEAR($A119)-YEAR(Premissas!$C$27))*12+MONTH($A119)-MONTH(Premissas!$C$27))&lt;Premissas!$C$41,Premissas!$C$42,1),0)</f>
        <v>0.62</v>
      </c>
      <c r="P119" s="16" t="n">
        <f aca="false">O119*Premissas!$C$38*Premissas!$C$40*(1+Premissas!$C$60)^((YEAR($A119)-YEAR(Premissas!$C$19))*12+MONTH($A119)-MONTH(Premissas!$C$19))</f>
        <v>6209.51246999526</v>
      </c>
      <c r="Q119" s="16" t="n">
        <f aca="false">P119*Premissas!$C$43</f>
        <v>993.521995199242</v>
      </c>
      <c r="R119" s="16" t="n">
        <f aca="false">P119*Premissas!$C$44</f>
        <v>1241.90249399905</v>
      </c>
      <c r="S119" s="16" t="n">
        <f aca="false">IF($A119&gt;=Premissas!$C$25,Premissas!$C$45*(1+Premissas!$C$60)^((YEAR($A119)-YEAR(Premissas!$C$19))*12+MONTH($A119)-MONTH(Premissas!$C$19)),0)</f>
        <v>1088.62420581965</v>
      </c>
      <c r="T119" s="16" t="n">
        <f aca="false">IF($A119&gt;=Premissas!$C$27,Premissas!$C$46*(1+Premissas!$C$60)^((YEAR($A119)-YEAR(Premissas!$C$19))*12+MONTH($A119)-MONTH(Premissas!$C$19)),0)</f>
        <v>435.449682327858</v>
      </c>
      <c r="U119" s="16" t="n">
        <f aca="false">IF($A119&gt;=Premissas!$C$27,Premissas!$C$47*(1+Premissas!$C$60)^((YEAR($A119)-YEAR(Premissas!$C$19))*12+MONTH($A119)-MONTH(Premissas!$C$19)),0)</f>
        <v>217.724841163929</v>
      </c>
      <c r="V119" s="16" t="n">
        <f aca="false">IF($A119&gt;=Premissas!$C$27,MAX(0,P119-Q119-R119-S119)*Premissas!$C$49,0)</f>
        <v>793.502538118763</v>
      </c>
      <c r="W119" s="16" t="n">
        <f aca="false">P119-Q119-R119-S119-T119-U119-V119</f>
        <v>1438.78671336677</v>
      </c>
      <c r="X119" s="16" t="n">
        <f aca="false">W119-F119-G119-H119-M119</f>
        <v>-3799.76483789371</v>
      </c>
      <c r="Y119" s="16" t="n">
        <f aca="false">Y118+X119</f>
        <v>-657634.07540656</v>
      </c>
      <c r="Z119" s="16" t="n">
        <f aca="false">Premissas!$C$14*(1+Premissas!$C$57)^((YEAR(Premissas!$C$19)-YEAR(Premissas!$C$18))*12+MONTH(Premissas!$C$19)-MONTH(Premissas!$C$18))*(1+Premissas!$C$61)^((YEAR($A119)-YEAR(Premissas!$C$19))*12+MONTH($A119)-MONTH(Premissas!$C$19))</f>
        <v>760195.325810565</v>
      </c>
      <c r="AA119" s="16" t="n">
        <f aca="false">IF($A119&gt;=Premissas!$C$25,Z119*(1-Premissas!$C$53)-N119-Premissas!$C$54*MAX(0,Z119*(1-Premissas!$C$53)-(Premissas!$C$14*(1+Premissas!$C$57)^((YEAR(Premissas!$C$25)-YEAR(Premissas!$C$18))*12+MONTH(Premissas!$C$25)-MONTH(Premissas!$C$18))*(1+Premissas!$C$34))),"")</f>
        <v>583550.64215629</v>
      </c>
      <c r="AB119" s="16" t="n">
        <f aca="false">IF($A119&gt;=Premissas!$C$25,Y119+AA119,"")</f>
        <v>-74083.4332502702</v>
      </c>
      <c r="AC119" s="20" t="str">
        <f aca="false">IF(AND($A119&gt;=Premissas!$C$27,W119&gt;=M119),$A119,"")</f>
        <v/>
      </c>
      <c r="AD119" s="20" t="str">
        <f aca="false">IF(AND($A119&gt;=Premissas!$C$27,Y119&gt;=0),$A119,"")</f>
        <v/>
      </c>
      <c r="AE119" s="20" t="str">
        <f aca="false">IF(AND($A119&gt;=Premissas!$C$25,N(AB119)&gt;=0),$A119,"")</f>
        <v/>
      </c>
    </row>
    <row r="120" customFormat="false" ht="15" hidden="false" customHeight="false" outlineLevel="0" collapsed="false">
      <c r="A120" s="20" t="n">
        <f aca="false">DATE(YEAR(A119),MONTH(A119)+1,1)</f>
        <v>49888</v>
      </c>
      <c r="B120" s="5" t="str">
        <f aca="false">IF($A120&lt;Premissas!$C$25,"Obra",IF($A120=Premissas!$C$25,"Chaves",IF($A120&lt;Premissas!$C$27,"Mobiliando","Airbnb")))</f>
        <v>Airbnb</v>
      </c>
      <c r="C120" s="35" t="n">
        <f aca="false">(YEAR($A120)-YEAR(Premissas!$C$18))*12+MONTH($A120)-MONTH(Premissas!$C$18)</f>
        <v>119</v>
      </c>
      <c r="D120" s="16" t="n">
        <f aca="false">($A120=Premissas!$C$19)*Premissas!$C$8+(($A120=EDATE(Premissas!$C$19,1))+($A120=EDATE(Premissas!$C$19,2)))*Premissas!$C$9+AND($A120&gt;=Premissas!$C$20,$A120&lt;EDATE(Premissas!$C$20,Premissas!$C$21))*Premissas!$C$10+(($A120=Premissas!$C$22)+($A120=Premissas!$C$23)+($A120=Premissas!$C$24))*Premissas!$C$11+($A120=Premissas!$C$25)*Premissas!$C$12</f>
        <v>0</v>
      </c>
      <c r="E120" s="36" t="n">
        <f aca="false">(1+Premissas!$C$57)^C120</f>
        <v>1.70054015478506</v>
      </c>
      <c r="F120" s="16" t="n">
        <f aca="false">D120*E120</f>
        <v>0</v>
      </c>
      <c r="G120" s="16" t="n">
        <f aca="false">($A120=Premissas!$C$25)*Premissas!$C$34*Premissas!$C$14*(1+Premissas!$C$57)^C120</f>
        <v>0</v>
      </c>
      <c r="H120" s="16" t="n">
        <f aca="false">IF(AND($A120&gt;Premissas!$C$25,$A120&lt;Premissas!$C$27),Premissas!$C$35/MAX(1,Premissas!$C$26),0)</f>
        <v>0</v>
      </c>
      <c r="I120" s="35" t="n">
        <f aca="false">IF(AND($A120&gt;Premissas!$C$25,((YEAR($A120)-YEAR(Premissas!$C$25))*12+MONTH($A120)-MONTH(Premissas!$C$25))&lt;=Premissas!$C$32),((YEAR($A120)-YEAR(Premissas!$C$25))*12+MONTH($A120)-MONTH(Premissas!$C$25)),0)</f>
        <v>96</v>
      </c>
      <c r="J120" s="16" t="n">
        <f aca="false">IF(I120&gt;0,N119*(1+Premissas!$C$59),0)</f>
        <v>105391.53129214</v>
      </c>
      <c r="K120" s="16" t="n">
        <f aca="false">J120*Premissas!$C$58</f>
        <v>1000.03841748975</v>
      </c>
      <c r="L120" s="16" t="n">
        <f aca="false">IF(I120&gt;0,J120/(Premissas!$C$32-I120+1),0)</f>
        <v>4215.6612516856</v>
      </c>
      <c r="M120" s="16" t="n">
        <f aca="false">K120+L120</f>
        <v>5215.69966917535</v>
      </c>
      <c r="N120" s="16" t="n">
        <f aca="false">IF($A120=Premissas!$C$25,Premissas!$C$13*E120,IF(I120&gt;0,J120-L120,0))</f>
        <v>101175.870040454</v>
      </c>
      <c r="O120" s="37" t="n">
        <f aca="false">IF($A120&gt;=Premissas!$C$27,Premissas!$C$39*IF(((YEAR($A120)-YEAR(Premissas!$C$27))*12+MONTH($A120)-MONTH(Premissas!$C$27))&lt;Premissas!$C$41,Premissas!$C$42,1),0)</f>
        <v>0.62</v>
      </c>
      <c r="P120" s="16" t="n">
        <f aca="false">O120*Premissas!$C$38*Premissas!$C$40*(1+Premissas!$C$60)^((YEAR($A120)-YEAR(Premissas!$C$19))*12+MONTH($A120)-MONTH(Premissas!$C$19))</f>
        <v>6229.84079799634</v>
      </c>
      <c r="Q120" s="16" t="n">
        <f aca="false">P120*Premissas!$C$43</f>
        <v>996.774527679415</v>
      </c>
      <c r="R120" s="16" t="n">
        <f aca="false">P120*Premissas!$C$44</f>
        <v>1245.96815959927</v>
      </c>
      <c r="S120" s="16" t="n">
        <f aca="false">IF($A120&gt;=Premissas!$C$25,Premissas!$C$45*(1+Premissas!$C$60)^((YEAR($A120)-YEAR(Premissas!$C$19))*12+MONTH($A120)-MONTH(Premissas!$C$19)),0)</f>
        <v>1092.1880781901</v>
      </c>
      <c r="T120" s="16" t="n">
        <f aca="false">IF($A120&gt;=Premissas!$C$27,Premissas!$C$46*(1+Premissas!$C$60)^((YEAR($A120)-YEAR(Premissas!$C$19))*12+MONTH($A120)-MONTH(Premissas!$C$19)),0)</f>
        <v>436.875231276041</v>
      </c>
      <c r="U120" s="16" t="n">
        <f aca="false">IF($A120&gt;=Premissas!$C$27,Premissas!$C$47*(1+Premissas!$C$60)^((YEAR($A120)-YEAR(Premissas!$C$19))*12+MONTH($A120)-MONTH(Premissas!$C$19)),0)</f>
        <v>218.43761563802</v>
      </c>
      <c r="V120" s="16" t="n">
        <f aca="false">IF($A120&gt;=Premissas!$C$27,MAX(0,P120-Q120-R120-S120)*Premissas!$C$49,0)</f>
        <v>796.100258945078</v>
      </c>
      <c r="W120" s="16" t="n">
        <f aca="false">P120-Q120-R120-S120-T120-U120-V120</f>
        <v>1443.49692666842</v>
      </c>
      <c r="X120" s="16" t="n">
        <f aca="false">W120-F120-G120-H120-M120</f>
        <v>-3772.20274250693</v>
      </c>
      <c r="Y120" s="16" t="n">
        <f aca="false">Y119+X120</f>
        <v>-661406.278149067</v>
      </c>
      <c r="Z120" s="16" t="n">
        <f aca="false">Premissas!$C$14*(1+Premissas!$C$57)^((YEAR(Premissas!$C$19)-YEAR(Premissas!$C$18))*12+MONTH(Premissas!$C$19)-MONTH(Premissas!$C$18))*(1+Premissas!$C$61)^((YEAR($A120)-YEAR(Premissas!$C$19))*12+MONTH($A120)-MONTH(Premissas!$C$19))</f>
        <v>763292.455667668</v>
      </c>
      <c r="AA120" s="16" t="n">
        <f aca="false">IF($A120&gt;=Premissas!$C$25,Z120*(1-Premissas!$C$53)-N120-Premissas!$C$54*MAX(0,Z120*(1-Premissas!$C$53)-(Premissas!$C$14*(1+Premissas!$C$57)^((YEAR(Premissas!$C$25)-YEAR(Premissas!$C$18))*12+MONTH(Premissas!$C$25)-MONTH(Premissas!$C$18))*(1+Premissas!$C$34))),"")</f>
        <v>589897.011549677</v>
      </c>
      <c r="AB120" s="16" t="n">
        <f aca="false">IF($A120&gt;=Premissas!$C$25,Y120+AA120,"")</f>
        <v>-71509.26659939</v>
      </c>
      <c r="AC120" s="20" t="str">
        <f aca="false">IF(AND($A120&gt;=Premissas!$C$27,W120&gt;=M120),$A120,"")</f>
        <v/>
      </c>
      <c r="AD120" s="20" t="str">
        <f aca="false">IF(AND($A120&gt;=Premissas!$C$27,Y120&gt;=0),$A120,"")</f>
        <v/>
      </c>
      <c r="AE120" s="20" t="str">
        <f aca="false">IF(AND($A120&gt;=Premissas!$C$25,N(AB120)&gt;=0),$A120,"")</f>
        <v/>
      </c>
    </row>
    <row r="121" customFormat="false" ht="15" hidden="false" customHeight="false" outlineLevel="0" collapsed="false">
      <c r="A121" s="20" t="n">
        <f aca="false">DATE(YEAR(A120),MONTH(A120)+1,1)</f>
        <v>49919</v>
      </c>
      <c r="B121" s="5" t="str">
        <f aca="false">IF($A121&lt;Premissas!$C$25,"Obra",IF($A121=Premissas!$C$25,"Chaves",IF($A121&lt;Premissas!$C$27,"Mobiliando","Airbnb")))</f>
        <v>Airbnb</v>
      </c>
      <c r="C121" s="35" t="n">
        <f aca="false">(YEAR($A121)-YEAR(Premissas!$C$18))*12+MONTH($A121)-MONTH(Premissas!$C$18)</f>
        <v>120</v>
      </c>
      <c r="D121" s="16" t="n">
        <f aca="false">($A121=Premissas!$C$19)*Premissas!$C$8+(($A121=EDATE(Premissas!$C$19,1))+($A121=EDATE(Premissas!$C$19,2)))*Premissas!$C$9+AND($A121&gt;=Premissas!$C$20,$A121&lt;EDATE(Premissas!$C$20,Premissas!$C$21))*Premissas!$C$10+(($A121=Premissas!$C$22)+($A121=Premissas!$C$23)+($A121=Premissas!$C$24))*Premissas!$C$11+($A121=Premissas!$C$25)*Premissas!$C$12</f>
        <v>0</v>
      </c>
      <c r="E121" s="36" t="n">
        <f aca="false">(1+Premissas!$C$57)^C121</f>
        <v>1.7081444583536</v>
      </c>
      <c r="F121" s="16" t="n">
        <f aca="false">D121*E121</f>
        <v>0</v>
      </c>
      <c r="G121" s="16" t="n">
        <f aca="false">($A121=Premissas!$C$25)*Premissas!$C$34*Premissas!$C$14*(1+Premissas!$C$57)^C121</f>
        <v>0</v>
      </c>
      <c r="H121" s="16" t="n">
        <f aca="false">IF(AND($A121&gt;Premissas!$C$25,$A121&lt;Premissas!$C$27),Premissas!$C$35/MAX(1,Premissas!$C$26),0)</f>
        <v>0</v>
      </c>
      <c r="I121" s="35" t="n">
        <f aca="false">IF(AND($A121&gt;Premissas!$C$25,((YEAR($A121)-YEAR(Premissas!$C$25))*12+MONTH($A121)-MONTH(Premissas!$C$25))&lt;=Premissas!$C$32),((YEAR($A121)-YEAR(Premissas!$C$25))*12+MONTH($A121)-MONTH(Premissas!$C$25)),0)</f>
        <v>97</v>
      </c>
      <c r="J121" s="16" t="n">
        <f aca="false">IF(I121&gt;0,N120*(1+Premissas!$C$59),0)</f>
        <v>101507.093511204</v>
      </c>
      <c r="K121" s="16" t="n">
        <f aca="false">J121*Premissas!$C$58</f>
        <v>963.179791719177</v>
      </c>
      <c r="L121" s="16" t="n">
        <f aca="false">IF(I121&gt;0,J121/(Premissas!$C$32-I121+1),0)</f>
        <v>4229.46222963352</v>
      </c>
      <c r="M121" s="16" t="n">
        <f aca="false">K121+L121</f>
        <v>5192.6420213527</v>
      </c>
      <c r="N121" s="16" t="n">
        <f aca="false">IF($A121=Premissas!$C$25,Premissas!$C$13*E121,IF(I121&gt;0,J121-L121,0))</f>
        <v>97277.6312815709</v>
      </c>
      <c r="O121" s="37" t="n">
        <f aca="false">IF($A121&gt;=Premissas!$C$27,Premissas!$C$39*IF(((YEAR($A121)-YEAR(Premissas!$C$27))*12+MONTH($A121)-MONTH(Premissas!$C$27))&lt;Premissas!$C$41,Premissas!$C$42,1),0)</f>
        <v>0.62</v>
      </c>
      <c r="P121" s="16" t="n">
        <f aca="false">O121*Premissas!$C$38*Premissas!$C$40*(1+Premissas!$C$60)^((YEAR($A121)-YEAR(Premissas!$C$19))*12+MONTH($A121)-MONTH(Premissas!$C$19))</f>
        <v>6250.23567565351</v>
      </c>
      <c r="Q121" s="16" t="n">
        <f aca="false">P121*Premissas!$C$43</f>
        <v>1000.03770810456</v>
      </c>
      <c r="R121" s="16" t="n">
        <f aca="false">P121*Premissas!$C$44</f>
        <v>1250.0471351307</v>
      </c>
      <c r="S121" s="16" t="n">
        <f aca="false">IF($A121&gt;=Premissas!$C$25,Premissas!$C$45*(1+Premissas!$C$60)^((YEAR($A121)-YEAR(Premissas!$C$19))*12+MONTH($A121)-MONTH(Premissas!$C$19)),0)</f>
        <v>1095.76361775132</v>
      </c>
      <c r="T121" s="16" t="n">
        <f aca="false">IF($A121&gt;=Premissas!$C$27,Premissas!$C$46*(1+Premissas!$C$60)^((YEAR($A121)-YEAR(Premissas!$C$19))*12+MONTH($A121)-MONTH(Premissas!$C$19)),0)</f>
        <v>438.305447100527</v>
      </c>
      <c r="U121" s="16" t="n">
        <f aca="false">IF($A121&gt;=Premissas!$C$27,Premissas!$C$47*(1+Premissas!$C$60)^((YEAR($A121)-YEAR(Premissas!$C$19))*12+MONTH($A121)-MONTH(Premissas!$C$19)),0)</f>
        <v>219.152723550263</v>
      </c>
      <c r="V121" s="16" t="n">
        <f aca="false">IF($A121&gt;=Premissas!$C$27,MAX(0,P121-Q121-R121-S121)*Premissas!$C$49,0)</f>
        <v>798.706484033406</v>
      </c>
      <c r="W121" s="16" t="n">
        <f aca="false">P121-Q121-R121-S121-T121-U121-V121</f>
        <v>1448.22255998273</v>
      </c>
      <c r="X121" s="16" t="n">
        <f aca="false">W121-F121-G121-H121-M121</f>
        <v>-3744.41946136996</v>
      </c>
      <c r="Y121" s="16" t="n">
        <f aca="false">Y120+X121</f>
        <v>-665150.697610437</v>
      </c>
      <c r="Z121" s="16" t="n">
        <f aca="false">Premissas!$C$14*(1+Premissas!$C$57)^((YEAR(Premissas!$C$19)-YEAR(Premissas!$C$18))*12+MONTH(Premissas!$C$19)-MONTH(Premissas!$C$18))*(1+Premissas!$C$61)^((YEAR($A121)-YEAR(Premissas!$C$19))*12+MONTH($A121)-MONTH(Premissas!$C$19))</f>
        <v>766402.203615183</v>
      </c>
      <c r="AA121" s="16" t="n">
        <f aca="false">IF($A121&gt;=Premissas!$C$25,Z121*(1-Premissas!$C$53)-N121-Premissas!$C$54*MAX(0,Z121*(1-Premissas!$C$53)-(Premissas!$C$14*(1+Premissas!$C$57)^((YEAR(Premissas!$C$25)-YEAR(Premissas!$C$18))*12+MONTH(Premissas!$C$25)-MONTH(Premissas!$C$18))*(1+Premissas!$C$34))),"")</f>
        <v>596279.938918625</v>
      </c>
      <c r="AB121" s="16" t="n">
        <f aca="false">IF($A121&gt;=Premissas!$C$25,Y121+AA121,"")</f>
        <v>-68870.7586918119</v>
      </c>
      <c r="AC121" s="20" t="str">
        <f aca="false">IF(AND($A121&gt;=Premissas!$C$27,W121&gt;=M121),$A121,"")</f>
        <v/>
      </c>
      <c r="AD121" s="20" t="str">
        <f aca="false">IF(AND($A121&gt;=Premissas!$C$27,Y121&gt;=0),$A121,"")</f>
        <v/>
      </c>
      <c r="AE121" s="20" t="str">
        <f aca="false">IF(AND($A121&gt;=Premissas!$C$25,N(AB121)&gt;=0),$A121,"")</f>
        <v/>
      </c>
    </row>
    <row r="122" customFormat="false" ht="15" hidden="false" customHeight="false" outlineLevel="0" collapsed="false">
      <c r="A122" s="20" t="n">
        <f aca="false">DATE(YEAR(A121),MONTH(A121)+1,1)</f>
        <v>49949</v>
      </c>
      <c r="B122" s="5" t="str">
        <f aca="false">IF($A122&lt;Premissas!$C$25,"Obra",IF($A122=Premissas!$C$25,"Chaves",IF($A122&lt;Premissas!$C$27,"Mobiliando","Airbnb")))</f>
        <v>Airbnb</v>
      </c>
      <c r="C122" s="35" t="n">
        <f aca="false">(YEAR($A122)-YEAR(Premissas!$C$18))*12+MONTH($A122)-MONTH(Premissas!$C$18)</f>
        <v>121</v>
      </c>
      <c r="D122" s="16" t="n">
        <f aca="false">($A122=Premissas!$C$19)*Premissas!$C$8+(($A122=EDATE(Premissas!$C$19,1))+($A122=EDATE(Premissas!$C$19,2)))*Premissas!$C$9+AND($A122&gt;=Premissas!$C$20,$A122&lt;EDATE(Premissas!$C$20,Premissas!$C$21))*Premissas!$C$10+(($A122=Premissas!$C$22)+($A122=Premissas!$C$23)+($A122=Premissas!$C$24))*Premissas!$C$11+($A122=Premissas!$C$25)*Premissas!$C$12</f>
        <v>0</v>
      </c>
      <c r="E122" s="36" t="n">
        <f aca="false">(1+Premissas!$C$57)^C122</f>
        <v>1.71578276607817</v>
      </c>
      <c r="F122" s="16" t="n">
        <f aca="false">D122*E122</f>
        <v>0</v>
      </c>
      <c r="G122" s="16" t="n">
        <f aca="false">($A122=Premissas!$C$25)*Premissas!$C$34*Premissas!$C$14*(1+Premissas!$C$57)^C122</f>
        <v>0</v>
      </c>
      <c r="H122" s="16" t="n">
        <f aca="false">IF(AND($A122&gt;Premissas!$C$25,$A122&lt;Premissas!$C$27),Premissas!$C$35/MAX(1,Premissas!$C$26),0)</f>
        <v>0</v>
      </c>
      <c r="I122" s="35" t="n">
        <f aca="false">IF(AND($A122&gt;Premissas!$C$25,((YEAR($A122)-YEAR(Premissas!$C$25))*12+MONTH($A122)-MONTH(Premissas!$C$25))&lt;=Premissas!$C$32),((YEAR($A122)-YEAR(Premissas!$C$25))*12+MONTH($A122)-MONTH(Premissas!$C$25)),0)</f>
        <v>98</v>
      </c>
      <c r="J122" s="16" t="n">
        <f aca="false">IF(I122&gt;0,N121*(1+Premissas!$C$59),0)</f>
        <v>97596.0929330155</v>
      </c>
      <c r="K122" s="16" t="n">
        <f aca="false">J122*Premissas!$C$58</f>
        <v>926.069117065708</v>
      </c>
      <c r="L122" s="16" t="n">
        <f aca="false">IF(I122&gt;0,J122/(Premissas!$C$32-I122+1),0)</f>
        <v>4243.30838839198</v>
      </c>
      <c r="M122" s="16" t="n">
        <f aca="false">K122+L122</f>
        <v>5169.37750545769</v>
      </c>
      <c r="N122" s="16" t="n">
        <f aca="false">IF($A122=Premissas!$C$25,Premissas!$C$13*E122,IF(I122&gt;0,J122-L122,0))</f>
        <v>93352.7845446235</v>
      </c>
      <c r="O122" s="37" t="n">
        <f aca="false">IF($A122&gt;=Premissas!$C$27,Premissas!$C$39*IF(((YEAR($A122)-YEAR(Premissas!$C$27))*12+MONTH($A122)-MONTH(Premissas!$C$27))&lt;Premissas!$C$41,Premissas!$C$42,1),0)</f>
        <v>0.62</v>
      </c>
      <c r="P122" s="16" t="n">
        <f aca="false">O122*Premissas!$C$38*Premissas!$C$40*(1+Premissas!$C$60)^((YEAR($A122)-YEAR(Premissas!$C$19))*12+MONTH($A122)-MONTH(Premissas!$C$19))</f>
        <v>6270.69732083302</v>
      </c>
      <c r="Q122" s="16" t="n">
        <f aca="false">P122*Premissas!$C$43</f>
        <v>1003.31157133328</v>
      </c>
      <c r="R122" s="16" t="n">
        <f aca="false">P122*Premissas!$C$44</f>
        <v>1254.1394641666</v>
      </c>
      <c r="S122" s="16" t="n">
        <f aca="false">IF($A122&gt;=Premissas!$C$25,Premissas!$C$45*(1+Premissas!$C$60)^((YEAR($A122)-YEAR(Premissas!$C$19))*12+MONTH($A122)-MONTH(Premissas!$C$19)),0)</f>
        <v>1099.35086269864</v>
      </c>
      <c r="T122" s="16" t="n">
        <f aca="false">IF($A122&gt;=Premissas!$C$27,Premissas!$C$46*(1+Premissas!$C$60)^((YEAR($A122)-YEAR(Premissas!$C$19))*12+MONTH($A122)-MONTH(Premissas!$C$19)),0)</f>
        <v>439.740345079454</v>
      </c>
      <c r="U122" s="16" t="n">
        <f aca="false">IF($A122&gt;=Premissas!$C$27,Premissas!$C$47*(1+Premissas!$C$60)^((YEAR($A122)-YEAR(Premissas!$C$19))*12+MONTH($A122)-MONTH(Premissas!$C$19)),0)</f>
        <v>219.870172539727</v>
      </c>
      <c r="V122" s="16" t="n">
        <f aca="false">IF($A122&gt;=Premissas!$C$27,MAX(0,P122-Q122-R122-S122)*Premissas!$C$49,0)</f>
        <v>801.321241224486</v>
      </c>
      <c r="W122" s="16" t="n">
        <f aca="false">P122-Q122-R122-S122-T122-U122-V122</f>
        <v>1452.96366379083</v>
      </c>
      <c r="X122" s="16" t="n">
        <f aca="false">W122-F122-G122-H122-M122</f>
        <v>-3716.41384166686</v>
      </c>
      <c r="Y122" s="16" t="n">
        <f aca="false">Y121+X122</f>
        <v>-668867.111452104</v>
      </c>
      <c r="Z122" s="16" t="n">
        <f aca="false">Premissas!$C$14*(1+Premissas!$C$57)^((YEAR(Premissas!$C$19)-YEAR(Premissas!$C$18))*12+MONTH(Premissas!$C$19)-MONTH(Premissas!$C$18))*(1+Premissas!$C$61)^((YEAR($A122)-YEAR(Premissas!$C$19))*12+MONTH($A122)-MONTH(Premissas!$C$19))</f>
        <v>769524.621060772</v>
      </c>
      <c r="AA122" s="16" t="n">
        <f aca="false">IF($A122&gt;=Premissas!$C$25,Z122*(1-Premissas!$C$53)-N122-Premissas!$C$54*MAX(0,Z122*(1-Premissas!$C$53)-(Premissas!$C$14*(1+Premissas!$C$57)^((YEAR(Premissas!$C$25)-YEAR(Premissas!$C$18))*12+MONTH(Premissas!$C$25)-MONTH(Premissas!$C$18))*(1+Premissas!$C$34))),"")</f>
        <v>602699.597194599</v>
      </c>
      <c r="AB122" s="16" t="n">
        <f aca="false">IF($A122&gt;=Premissas!$C$25,Y122+AA122,"")</f>
        <v>-66167.5142575057</v>
      </c>
      <c r="AC122" s="20" t="str">
        <f aca="false">IF(AND($A122&gt;=Premissas!$C$27,W122&gt;=M122),$A122,"")</f>
        <v/>
      </c>
      <c r="AD122" s="20" t="str">
        <f aca="false">IF(AND($A122&gt;=Premissas!$C$27,Y122&gt;=0),$A122,"")</f>
        <v/>
      </c>
      <c r="AE122" s="20" t="str">
        <f aca="false">IF(AND($A122&gt;=Premissas!$C$25,N(AB122)&gt;=0),$A122,"")</f>
        <v/>
      </c>
    </row>
    <row r="123" customFormat="false" ht="15" hidden="false" customHeight="false" outlineLevel="0" collapsed="false">
      <c r="A123" s="20" t="n">
        <f aca="false">DATE(YEAR(A122),MONTH(A122)+1,1)</f>
        <v>49980</v>
      </c>
      <c r="B123" s="5" t="str">
        <f aca="false">IF($A123&lt;Premissas!$C$25,"Obra",IF($A123=Premissas!$C$25,"Chaves",IF($A123&lt;Premissas!$C$27,"Mobiliando","Airbnb")))</f>
        <v>Airbnb</v>
      </c>
      <c r="C123" s="35" t="n">
        <f aca="false">(YEAR($A123)-YEAR(Premissas!$C$18))*12+MONTH($A123)-MONTH(Premissas!$C$18)</f>
        <v>122</v>
      </c>
      <c r="D123" s="16" t="n">
        <f aca="false">($A123=Premissas!$C$19)*Premissas!$C$8+(($A123=EDATE(Premissas!$C$19,1))+($A123=EDATE(Premissas!$C$19,2)))*Premissas!$C$9+AND($A123&gt;=Premissas!$C$20,$A123&lt;EDATE(Premissas!$C$20,Premissas!$C$21))*Premissas!$C$10+(($A123=Premissas!$C$22)+($A123=Premissas!$C$23)+($A123=Premissas!$C$24))*Premissas!$C$11+($A123=Premissas!$C$25)*Premissas!$C$12</f>
        <v>0</v>
      </c>
      <c r="E123" s="36" t="n">
        <f aca="false">(1+Premissas!$C$57)^C123</f>
        <v>1.72345523001512</v>
      </c>
      <c r="F123" s="16" t="n">
        <f aca="false">D123*E123</f>
        <v>0</v>
      </c>
      <c r="G123" s="16" t="n">
        <f aca="false">($A123=Premissas!$C$25)*Premissas!$C$34*Premissas!$C$14*(1+Premissas!$C$57)^C123</f>
        <v>0</v>
      </c>
      <c r="H123" s="16" t="n">
        <f aca="false">IF(AND($A123&gt;Premissas!$C$25,$A123&lt;Premissas!$C$27),Premissas!$C$35/MAX(1,Premissas!$C$26),0)</f>
        <v>0</v>
      </c>
      <c r="I123" s="35" t="n">
        <f aca="false">IF(AND($A123&gt;Premissas!$C$25,((YEAR($A123)-YEAR(Premissas!$C$25))*12+MONTH($A123)-MONTH(Premissas!$C$25))&lt;=Premissas!$C$32),((YEAR($A123)-YEAR(Premissas!$C$25))*12+MONTH($A123)-MONTH(Premissas!$C$25)),0)</f>
        <v>99</v>
      </c>
      <c r="J123" s="16" t="n">
        <f aca="false">IF(I123&gt;0,N122*(1+Premissas!$C$59),0)</f>
        <v>93658.3972691663</v>
      </c>
      <c r="K123" s="16" t="n">
        <f aca="false">J123*Premissas!$C$58</f>
        <v>888.705138272037</v>
      </c>
      <c r="L123" s="16" t="n">
        <f aca="false">IF(I123&gt;0,J123/(Premissas!$C$32-I123+1),0)</f>
        <v>4257.1998758712</v>
      </c>
      <c r="M123" s="16" t="n">
        <f aca="false">K123+L123</f>
        <v>5145.90501414323</v>
      </c>
      <c r="N123" s="16" t="n">
        <f aca="false">IF($A123=Premissas!$C$25,Premissas!$C$13*E123,IF(I123&gt;0,J123-L123,0))</f>
        <v>89401.1973932951</v>
      </c>
      <c r="O123" s="37" t="n">
        <f aca="false">IF($A123&gt;=Premissas!$C$27,Premissas!$C$39*IF(((YEAR($A123)-YEAR(Premissas!$C$27))*12+MONTH($A123)-MONTH(Premissas!$C$27))&lt;Premissas!$C$41,Premissas!$C$42,1),0)</f>
        <v>0.62</v>
      </c>
      <c r="P123" s="16" t="n">
        <f aca="false">O123*Premissas!$C$38*Premissas!$C$40*(1+Premissas!$C$60)^((YEAR($A123)-YEAR(Premissas!$C$19))*12+MONTH($A123)-MONTH(Premissas!$C$19))</f>
        <v>6291.22595211436</v>
      </c>
      <c r="Q123" s="16" t="n">
        <f aca="false">P123*Premissas!$C$43</f>
        <v>1006.5961523383</v>
      </c>
      <c r="R123" s="16" t="n">
        <f aca="false">P123*Premissas!$C$44</f>
        <v>1258.24519042287</v>
      </c>
      <c r="S123" s="16" t="n">
        <f aca="false">IF($A123&gt;=Premissas!$C$25,Premissas!$C$45*(1+Premissas!$C$60)^((YEAR($A123)-YEAR(Premissas!$C$19))*12+MONTH($A123)-MONTH(Premissas!$C$19)),0)</f>
        <v>1102.94985135245</v>
      </c>
      <c r="T123" s="16" t="n">
        <f aca="false">IF($A123&gt;=Premissas!$C$27,Premissas!$C$46*(1+Premissas!$C$60)^((YEAR($A123)-YEAR(Premissas!$C$19))*12+MONTH($A123)-MONTH(Premissas!$C$19)),0)</f>
        <v>441.179940540979</v>
      </c>
      <c r="U123" s="16" t="n">
        <f aca="false">IF($A123&gt;=Premissas!$C$27,Premissas!$C$47*(1+Premissas!$C$60)^((YEAR($A123)-YEAR(Premissas!$C$19))*12+MONTH($A123)-MONTH(Premissas!$C$19)),0)</f>
        <v>220.589970270489</v>
      </c>
      <c r="V123" s="16" t="n">
        <f aca="false">IF($A123&gt;=Premissas!$C$27,MAX(0,P123-Q123-R123-S123)*Premissas!$C$49,0)</f>
        <v>803.944558450204</v>
      </c>
      <c r="W123" s="16" t="n">
        <f aca="false">P123-Q123-R123-S123-T123-U123-V123</f>
        <v>1457.72028873907</v>
      </c>
      <c r="X123" s="16" t="n">
        <f aca="false">W123-F123-G123-H123-M123</f>
        <v>-3688.18472540416</v>
      </c>
      <c r="Y123" s="16" t="n">
        <f aca="false">Y122+X123</f>
        <v>-672555.296177508</v>
      </c>
      <c r="Z123" s="16" t="n">
        <f aca="false">Premissas!$C$14*(1+Premissas!$C$57)^((YEAR(Premissas!$C$19)-YEAR(Premissas!$C$18))*12+MONTH(Premissas!$C$19)-MONTH(Premissas!$C$18))*(1+Premissas!$C$61)^((YEAR($A123)-YEAR(Premissas!$C$19))*12+MONTH($A123)-MONTH(Premissas!$C$19))</f>
        <v>772659.759621539</v>
      </c>
      <c r="AA123" s="16" t="n">
        <f aca="false">IF($A123&gt;=Premissas!$C$25,Z123*(1-Premissas!$C$53)-N123-Premissas!$C$54*MAX(0,Z123*(1-Premissas!$C$53)-(Premissas!$C$14*(1+Premissas!$C$57)^((YEAR(Premissas!$C$25)-YEAR(Premissas!$C$18))*12+MONTH(Premissas!$C$25)-MONTH(Premissas!$C$18))*(1+Premissas!$C$34))),"")</f>
        <v>609156.16005598</v>
      </c>
      <c r="AB123" s="16" t="n">
        <f aca="false">IF($A123&gt;=Premissas!$C$25,Y123+AA123,"")</f>
        <v>-63399.1361215288</v>
      </c>
      <c r="AC123" s="20" t="str">
        <f aca="false">IF(AND($A123&gt;=Premissas!$C$27,W123&gt;=M123),$A123,"")</f>
        <v/>
      </c>
      <c r="AD123" s="20" t="str">
        <f aca="false">IF(AND($A123&gt;=Premissas!$C$27,Y123&gt;=0),$A123,"")</f>
        <v/>
      </c>
      <c r="AE123" s="20" t="str">
        <f aca="false">IF(AND($A123&gt;=Premissas!$C$25,N(AB123)&gt;=0),$A123,"")</f>
        <v/>
      </c>
    </row>
    <row r="124" customFormat="false" ht="15" hidden="false" customHeight="false" outlineLevel="0" collapsed="false">
      <c r="A124" s="20" t="n">
        <f aca="false">DATE(YEAR(A123),MONTH(A123)+1,1)</f>
        <v>50010</v>
      </c>
      <c r="B124" s="5" t="str">
        <f aca="false">IF($A124&lt;Premissas!$C$25,"Obra",IF($A124=Premissas!$C$25,"Chaves",IF($A124&lt;Premissas!$C$27,"Mobiliando","Airbnb")))</f>
        <v>Airbnb</v>
      </c>
      <c r="C124" s="35" t="n">
        <f aca="false">(YEAR($A124)-YEAR(Premissas!$C$18))*12+MONTH($A124)-MONTH(Premissas!$C$18)</f>
        <v>123</v>
      </c>
      <c r="D124" s="16" t="n">
        <f aca="false">($A124=Premissas!$C$19)*Premissas!$C$8+(($A124=EDATE(Premissas!$C$19,1))+($A124=EDATE(Premissas!$C$19,2)))*Premissas!$C$9+AND($A124&gt;=Premissas!$C$20,$A124&lt;EDATE(Premissas!$C$20,Premissas!$C$21))*Premissas!$C$10+(($A124=Premissas!$C$22)+($A124=Premissas!$C$23)+($A124=Premissas!$C$24))*Premissas!$C$11+($A124=Premissas!$C$25)*Premissas!$C$12</f>
        <v>0</v>
      </c>
      <c r="E124" s="36" t="n">
        <f aca="false">(1+Premissas!$C$57)^C124</f>
        <v>1.73116200290075</v>
      </c>
      <c r="F124" s="16" t="n">
        <f aca="false">D124*E124</f>
        <v>0</v>
      </c>
      <c r="G124" s="16" t="n">
        <f aca="false">($A124=Premissas!$C$25)*Premissas!$C$34*Premissas!$C$14*(1+Premissas!$C$57)^C124</f>
        <v>0</v>
      </c>
      <c r="H124" s="16" t="n">
        <f aca="false">IF(AND($A124&gt;Premissas!$C$25,$A124&lt;Premissas!$C$27),Premissas!$C$35/MAX(1,Premissas!$C$26),0)</f>
        <v>0</v>
      </c>
      <c r="I124" s="35" t="n">
        <f aca="false">IF(AND($A124&gt;Premissas!$C$25,((YEAR($A124)-YEAR(Premissas!$C$25))*12+MONTH($A124)-MONTH(Premissas!$C$25))&lt;=Premissas!$C$32),((YEAR($A124)-YEAR(Premissas!$C$25))*12+MONTH($A124)-MONTH(Premissas!$C$25)),0)</f>
        <v>100</v>
      </c>
      <c r="J124" s="16" t="n">
        <f aca="false">IF(I124&gt;0,N123*(1+Premissas!$C$59),0)</f>
        <v>89693.8736497777</v>
      </c>
      <c r="K124" s="16" t="n">
        <f aca="false">J124*Premissas!$C$58</f>
        <v>851.086594563396</v>
      </c>
      <c r="L124" s="16" t="n">
        <f aca="false">IF(I124&gt;0,J124/(Premissas!$C$32-I124+1),0)</f>
        <v>4271.13684046561</v>
      </c>
      <c r="M124" s="16" t="n">
        <f aca="false">K124+L124</f>
        <v>5122.223435029</v>
      </c>
      <c r="N124" s="16" t="n">
        <f aca="false">IF($A124=Premissas!$C$25,Premissas!$C$13*E124,IF(I124&gt;0,J124-L124,0))</f>
        <v>85422.7368093121</v>
      </c>
      <c r="O124" s="37" t="n">
        <f aca="false">IF($A124&gt;=Premissas!$C$27,Premissas!$C$39*IF(((YEAR($A124)-YEAR(Premissas!$C$27))*12+MONTH($A124)-MONTH(Premissas!$C$27))&lt;Premissas!$C$41,Premissas!$C$42,1),0)</f>
        <v>0.62</v>
      </c>
      <c r="P124" s="16" t="n">
        <f aca="false">O124*Premissas!$C$38*Premissas!$C$40*(1+Premissas!$C$60)^((YEAR($A124)-YEAR(Premissas!$C$19))*12+MONTH($A124)-MONTH(Premissas!$C$19))</f>
        <v>6311.82178879259</v>
      </c>
      <c r="Q124" s="16" t="n">
        <f aca="false">P124*Premissas!$C$43</f>
        <v>1009.89148620681</v>
      </c>
      <c r="R124" s="16" t="n">
        <f aca="false">P124*Premissas!$C$44</f>
        <v>1262.36435775852</v>
      </c>
      <c r="S124" s="16" t="n">
        <f aca="false">IF($A124&gt;=Premissas!$C$25,Premissas!$C$45*(1+Premissas!$C$60)^((YEAR($A124)-YEAR(Premissas!$C$19))*12+MONTH($A124)-MONTH(Premissas!$C$19)),0)</f>
        <v>1106.56062215859</v>
      </c>
      <c r="T124" s="16" t="n">
        <f aca="false">IF($A124&gt;=Premissas!$C$27,Premissas!$C$46*(1+Premissas!$C$60)^((YEAR($A124)-YEAR(Premissas!$C$19))*12+MONTH($A124)-MONTH(Premissas!$C$19)),0)</f>
        <v>442.624248863436</v>
      </c>
      <c r="U124" s="16" t="n">
        <f aca="false">IF($A124&gt;=Premissas!$C$27,Premissas!$C$47*(1+Premissas!$C$60)^((YEAR($A124)-YEAR(Premissas!$C$19))*12+MONTH($A124)-MONTH(Premissas!$C$19)),0)</f>
        <v>221.312124431718</v>
      </c>
      <c r="V124" s="16" t="n">
        <f aca="false">IF($A124&gt;=Premissas!$C$27,MAX(0,P124-Q124-R124-S124)*Premissas!$C$49,0)</f>
        <v>806.576463733884</v>
      </c>
      <c r="W124" s="16" t="n">
        <f aca="false">P124-Q124-R124-S124-T124-U124-V124</f>
        <v>1462.49248563963</v>
      </c>
      <c r="X124" s="16" t="n">
        <f aca="false">W124-F124-G124-H124-M124</f>
        <v>-3659.73094938937</v>
      </c>
      <c r="Y124" s="16" t="n">
        <f aca="false">Y123+X124</f>
        <v>-676215.027126898</v>
      </c>
      <c r="Z124" s="16" t="n">
        <f aca="false">Premissas!$C$14*(1+Premissas!$C$57)^((YEAR(Premissas!$C$19)-YEAR(Premissas!$C$18))*12+MONTH(Premissas!$C$19)-MONTH(Premissas!$C$18))*(1+Premissas!$C$61)^((YEAR($A124)-YEAR(Premissas!$C$19))*12+MONTH($A124)-MONTH(Premissas!$C$19))</f>
        <v>775807.671124881</v>
      </c>
      <c r="AA124" s="16" t="n">
        <f aca="false">IF($A124&gt;=Premissas!$C$25,Z124*(1-Premissas!$C$53)-N124-Premissas!$C$54*MAX(0,Z124*(1-Premissas!$C$53)-(Premissas!$C$14*(1+Premissas!$C$57)^((YEAR(Premissas!$C$25)-YEAR(Premissas!$C$18))*12+MONTH(Premissas!$C$25)-MONTH(Premissas!$C$18))*(1+Premissas!$C$34))),"")</f>
        <v>615649.801931133</v>
      </c>
      <c r="AB124" s="16" t="n">
        <f aca="false">IF($A124&gt;=Premissas!$C$25,Y124+AA124,"")</f>
        <v>-60565.2251957649</v>
      </c>
      <c r="AC124" s="20" t="str">
        <f aca="false">IF(AND($A124&gt;=Premissas!$C$27,W124&gt;=M124),$A124,"")</f>
        <v/>
      </c>
      <c r="AD124" s="20" t="str">
        <f aca="false">IF(AND($A124&gt;=Premissas!$C$27,Y124&gt;=0),$A124,"")</f>
        <v/>
      </c>
      <c r="AE124" s="20" t="str">
        <f aca="false">IF(AND($A124&gt;=Premissas!$C$25,N(AB124)&gt;=0),$A124,"")</f>
        <v/>
      </c>
    </row>
    <row r="125" customFormat="false" ht="15" hidden="false" customHeight="false" outlineLevel="0" collapsed="false">
      <c r="A125" s="29" t="n">
        <f aca="false">DATE(YEAR(A124),MONTH(A124)+1,1)</f>
        <v>50041</v>
      </c>
      <c r="B125" s="30" t="str">
        <f aca="false">IF($A125&lt;Premissas!$C$25,"Obra",IF($A125=Premissas!$C$25,"Chaves",IF($A125&lt;Premissas!$C$27,"Mobiliando","Airbnb")))</f>
        <v>Airbnb</v>
      </c>
      <c r="C125" s="31" t="n">
        <f aca="false">(YEAR($A125)-YEAR(Premissas!$C$18))*12+MONTH($A125)-MONTH(Premissas!$C$18)</f>
        <v>124</v>
      </c>
      <c r="D125" s="32" t="n">
        <f aca="false">($A125=Premissas!$C$19)*Premissas!$C$8+(($A125=EDATE(Premissas!$C$19,1))+($A125=EDATE(Premissas!$C$19,2)))*Premissas!$C$9+AND($A125&gt;=Premissas!$C$20,$A125&lt;EDATE(Premissas!$C$20,Premissas!$C$21))*Premissas!$C$10+(($A125=Premissas!$C$22)+($A125=Premissas!$C$23)+($A125=Premissas!$C$24))*Premissas!$C$11+($A125=Premissas!$C$25)*Premissas!$C$12</f>
        <v>0</v>
      </c>
      <c r="E125" s="33" t="n">
        <f aca="false">(1+Premissas!$C$57)^C125</f>
        <v>1.73890323815435</v>
      </c>
      <c r="F125" s="32" t="n">
        <f aca="false">D125*E125</f>
        <v>0</v>
      </c>
      <c r="G125" s="32" t="n">
        <f aca="false">($A125=Premissas!$C$25)*Premissas!$C$34*Premissas!$C$14*(1+Premissas!$C$57)^C125</f>
        <v>0</v>
      </c>
      <c r="H125" s="32" t="n">
        <f aca="false">IF(AND($A125&gt;Premissas!$C$25,$A125&lt;Premissas!$C$27),Premissas!$C$35/MAX(1,Premissas!$C$26),0)</f>
        <v>0</v>
      </c>
      <c r="I125" s="31" t="n">
        <f aca="false">IF(AND($A125&gt;Premissas!$C$25,((YEAR($A125)-YEAR(Premissas!$C$25))*12+MONTH($A125)-MONTH(Premissas!$C$25))&lt;=Premissas!$C$32),((YEAR($A125)-YEAR(Premissas!$C$25))*12+MONTH($A125)-MONTH(Premissas!$C$25)),0)</f>
        <v>101</v>
      </c>
      <c r="J125" s="32" t="n">
        <f aca="false">IF(I125&gt;0,N124*(1+Premissas!$C$59),0)</f>
        <v>85702.3886211091</v>
      </c>
      <c r="K125" s="32" t="n">
        <f aca="false">J125*Premissas!$C$58</f>
        <v>813.21221962487</v>
      </c>
      <c r="L125" s="32" t="n">
        <f aca="false">IF(I125&gt;0,J125/(Premissas!$C$32-I125+1),0)</f>
        <v>4285.11943105546</v>
      </c>
      <c r="M125" s="32" t="n">
        <f aca="false">K125+L125</f>
        <v>5098.33165068033</v>
      </c>
      <c r="N125" s="32" t="n">
        <f aca="false">IF($A125=Premissas!$C$25,Premissas!$C$13*E125,IF(I125&gt;0,J125-L125,0))</f>
        <v>81417.2691900536</v>
      </c>
      <c r="O125" s="34" t="n">
        <f aca="false">IF($A125&gt;=Premissas!$C$27,Premissas!$C$39*IF(((YEAR($A125)-YEAR(Premissas!$C$27))*12+MONTH($A125)-MONTH(Premissas!$C$27))&lt;Premissas!$C$41,Premissas!$C$42,1),0)</f>
        <v>0.62</v>
      </c>
      <c r="P125" s="32" t="n">
        <f aca="false">O125*Premissas!$C$38*Premissas!$C$40*(1+Premissas!$C$60)^((YEAR($A125)-YEAR(Premissas!$C$19))*12+MONTH($A125)-MONTH(Premissas!$C$19))</f>
        <v>6332.48505088071</v>
      </c>
      <c r="Q125" s="32" t="n">
        <f aca="false">P125*Premissas!$C$43</f>
        <v>1013.19760814091</v>
      </c>
      <c r="R125" s="32" t="n">
        <f aca="false">P125*Premissas!$C$44</f>
        <v>1266.49701017614</v>
      </c>
      <c r="S125" s="32" t="n">
        <f aca="false">IF($A125&gt;=Premissas!$C$25,Premissas!$C$45*(1+Premissas!$C$60)^((YEAR($A125)-YEAR(Premissas!$C$19))*12+MONTH($A125)-MONTH(Premissas!$C$19)),0)</f>
        <v>1110.18321368876</v>
      </c>
      <c r="T125" s="32" t="n">
        <f aca="false">IF($A125&gt;=Premissas!$C$27,Premissas!$C$46*(1+Premissas!$C$60)^((YEAR($A125)-YEAR(Premissas!$C$19))*12+MONTH($A125)-MONTH(Premissas!$C$19)),0)</f>
        <v>444.073285475506</v>
      </c>
      <c r="U125" s="32" t="n">
        <f aca="false">IF($A125&gt;=Premissas!$C$27,Premissas!$C$47*(1+Premissas!$C$60)^((YEAR($A125)-YEAR(Premissas!$C$19))*12+MONTH($A125)-MONTH(Premissas!$C$19)),0)</f>
        <v>222.036642737753</v>
      </c>
      <c r="V125" s="32" t="n">
        <f aca="false">IF($A125&gt;=Premissas!$C$27,MAX(0,P125-Q125-R125-S125)*Premissas!$C$49,0)</f>
        <v>809.216985190595</v>
      </c>
      <c r="W125" s="32" t="n">
        <f aca="false">P125-Q125-R125-S125-T125-U125-V125</f>
        <v>1467.28030547104</v>
      </c>
      <c r="X125" s="32" t="n">
        <f aca="false">W125-F125-G125-H125-M125</f>
        <v>-3631.05134520929</v>
      </c>
      <c r="Y125" s="32" t="n">
        <f aca="false">Y124+X125</f>
        <v>-679846.078472107</v>
      </c>
      <c r="Z125" s="32" t="n">
        <f aca="false">Premissas!$C$14*(1+Premissas!$C$57)^((YEAR(Premissas!$C$19)-YEAR(Premissas!$C$18))*12+MONTH(Premissas!$C$19)-MONTH(Premissas!$C$18))*(1+Premissas!$C$61)^((YEAR($A125)-YEAR(Premissas!$C$19))*12+MONTH($A125)-MONTH(Premissas!$C$19))</f>
        <v>778968.407609348</v>
      </c>
      <c r="AA125" s="32" t="n">
        <f aca="false">IF($A125&gt;=Premissas!$C$25,Z125*(1-Premissas!$C$53)-N125-Premissas!$C$54*MAX(0,Z125*(1-Premissas!$C$53)-(Premissas!$C$14*(1+Premissas!$C$57)^((YEAR(Premissas!$C$25)-YEAR(Premissas!$C$18))*12+MONTH(Premissas!$C$25)-MONTH(Premissas!$C$18))*(1+Premissas!$C$34))),"")</f>
        <v>622180.69800148</v>
      </c>
      <c r="AB125" s="32" t="n">
        <f aca="false">IF($A125&gt;=Premissas!$C$25,Y125+AA125,"")</f>
        <v>-57665.3804706266</v>
      </c>
      <c r="AC125" s="29" t="str">
        <f aca="false">IF(AND($A125&gt;=Premissas!$C$27,W125&gt;=M125),$A125,"")</f>
        <v/>
      </c>
      <c r="AD125" s="29" t="str">
        <f aca="false">IF(AND($A125&gt;=Premissas!$C$27,Y125&gt;=0),$A125,"")</f>
        <v/>
      </c>
      <c r="AE125" s="29" t="str">
        <f aca="false">IF(AND($A125&gt;=Premissas!$C$25,N(AB125)&gt;=0),$A125,"")</f>
        <v/>
      </c>
    </row>
    <row r="126" customFormat="false" ht="15" hidden="false" customHeight="false" outlineLevel="0" collapsed="false">
      <c r="A126" s="20" t="n">
        <f aca="false">DATE(YEAR(A125),MONTH(A125)+1,1)</f>
        <v>50072</v>
      </c>
      <c r="B126" s="5" t="str">
        <f aca="false">IF($A126&lt;Premissas!$C$25,"Obra",IF($A126=Premissas!$C$25,"Chaves",IF($A126&lt;Premissas!$C$27,"Mobiliando","Airbnb")))</f>
        <v>Airbnb</v>
      </c>
      <c r="C126" s="35" t="n">
        <f aca="false">(YEAR($A126)-YEAR(Premissas!$C$18))*12+MONTH($A126)-MONTH(Premissas!$C$18)</f>
        <v>125</v>
      </c>
      <c r="D126" s="16" t="n">
        <f aca="false">($A126=Premissas!$C$19)*Premissas!$C$8+(($A126=EDATE(Premissas!$C$19,1))+($A126=EDATE(Premissas!$C$19,2)))*Premissas!$C$9+AND($A126&gt;=Premissas!$C$20,$A126&lt;EDATE(Premissas!$C$20,Premissas!$C$21))*Premissas!$C$10+(($A126=Premissas!$C$22)+($A126=Premissas!$C$23)+($A126=Premissas!$C$24))*Premissas!$C$11+($A126=Premissas!$C$25)*Premissas!$C$12</f>
        <v>0</v>
      </c>
      <c r="E126" s="36" t="n">
        <f aca="false">(1+Premissas!$C$57)^C126</f>
        <v>1.74667908988125</v>
      </c>
      <c r="F126" s="16" t="n">
        <f aca="false">D126*E126</f>
        <v>0</v>
      </c>
      <c r="G126" s="16" t="n">
        <f aca="false">($A126=Premissas!$C$25)*Premissas!$C$34*Premissas!$C$14*(1+Premissas!$C$57)^C126</f>
        <v>0</v>
      </c>
      <c r="H126" s="16" t="n">
        <f aca="false">IF(AND($A126&gt;Premissas!$C$25,$A126&lt;Premissas!$C$27),Premissas!$C$35/MAX(1,Premissas!$C$26),0)</f>
        <v>0</v>
      </c>
      <c r="I126" s="35" t="n">
        <f aca="false">IF(AND($A126&gt;Premissas!$C$25,((YEAR($A126)-YEAR(Premissas!$C$25))*12+MONTH($A126)-MONTH(Premissas!$C$25))&lt;=Premissas!$C$32),((YEAR($A126)-YEAR(Premissas!$C$25))*12+MONTH($A126)-MONTH(Premissas!$C$25)),0)</f>
        <v>102</v>
      </c>
      <c r="J126" s="16" t="n">
        <f aca="false">IF(I126&gt;0,N125*(1+Premissas!$C$59),0)</f>
        <v>81683.8081431591</v>
      </c>
      <c r="K126" s="16" t="n">
        <f aca="false">J126*Premissas!$C$58</f>
        <v>775.080741578645</v>
      </c>
      <c r="L126" s="16" t="n">
        <f aca="false">IF(I126&gt;0,J126/(Premissas!$C$32-I126+1),0)</f>
        <v>4299.14779700837</v>
      </c>
      <c r="M126" s="16" t="n">
        <f aca="false">K126+L126</f>
        <v>5074.22853858702</v>
      </c>
      <c r="N126" s="16" t="n">
        <f aca="false">IF($A126=Premissas!$C$25,Premissas!$C$13*E126,IF(I126&gt;0,J126-L126,0))</f>
        <v>77384.6603461507</v>
      </c>
      <c r="O126" s="37" t="n">
        <f aca="false">IF($A126&gt;=Premissas!$C$27,Premissas!$C$39*IF(((YEAR($A126)-YEAR(Premissas!$C$27))*12+MONTH($A126)-MONTH(Premissas!$C$27))&lt;Premissas!$C$41,Premissas!$C$42,1),0)</f>
        <v>0.62</v>
      </c>
      <c r="P126" s="16" t="n">
        <f aca="false">O126*Premissas!$C$38*Premissas!$C$40*(1+Premissas!$C$60)^((YEAR($A126)-YEAR(Premissas!$C$19))*12+MONTH($A126)-MONTH(Premissas!$C$19))</f>
        <v>6353.21595911196</v>
      </c>
      <c r="Q126" s="16" t="n">
        <f aca="false">P126*Premissas!$C$43</f>
        <v>1016.51455345791</v>
      </c>
      <c r="R126" s="16" t="n">
        <f aca="false">P126*Premissas!$C$44</f>
        <v>1270.64319182239</v>
      </c>
      <c r="S126" s="16" t="n">
        <f aca="false">IF($A126&gt;=Premissas!$C$25,Premissas!$C$45*(1+Premissas!$C$60)^((YEAR($A126)-YEAR(Premissas!$C$19))*12+MONTH($A126)-MONTH(Premissas!$C$19)),0)</f>
        <v>1113.81766464095</v>
      </c>
      <c r="T126" s="16" t="n">
        <f aca="false">IF($A126&gt;=Premissas!$C$27,Premissas!$C$46*(1+Premissas!$C$60)^((YEAR($A126)-YEAR(Premissas!$C$19))*12+MONTH($A126)-MONTH(Premissas!$C$19)),0)</f>
        <v>445.527065856379</v>
      </c>
      <c r="U126" s="16" t="n">
        <f aca="false">IF($A126&gt;=Premissas!$C$27,Premissas!$C$47*(1+Premissas!$C$60)^((YEAR($A126)-YEAR(Premissas!$C$19))*12+MONTH($A126)-MONTH(Premissas!$C$19)),0)</f>
        <v>222.763532928189</v>
      </c>
      <c r="V126" s="16" t="n">
        <f aca="false">IF($A126&gt;=Premissas!$C$27,MAX(0,P126-Q126-R126-S126)*Premissas!$C$49,0)</f>
        <v>811.866151027445</v>
      </c>
      <c r="W126" s="16" t="n">
        <f aca="false">P126-Q126-R126-S126-T126-U126-V126</f>
        <v>1472.0837993787</v>
      </c>
      <c r="X126" s="16" t="n">
        <f aca="false">W126-F126-G126-H126-M126</f>
        <v>-3602.14473920832</v>
      </c>
      <c r="Y126" s="16" t="n">
        <f aca="false">Y125+X126</f>
        <v>-683448.223211315</v>
      </c>
      <c r="Z126" s="16" t="n">
        <f aca="false">Premissas!$C$14*(1+Premissas!$C$57)^((YEAR(Premissas!$C$19)-YEAR(Premissas!$C$18))*12+MONTH(Premissas!$C$19)-MONTH(Premissas!$C$18))*(1+Premissas!$C$61)^((YEAR($A126)-YEAR(Premissas!$C$19))*12+MONTH($A126)-MONTH(Premissas!$C$19))</f>
        <v>782142.021325499</v>
      </c>
      <c r="AA126" s="16" t="n">
        <f aca="false">IF($A126&gt;=Premissas!$C$25,Z126*(1-Premissas!$C$53)-N126-Premissas!$C$54*MAX(0,Z126*(1-Premissas!$C$53)-(Premissas!$C$14*(1+Premissas!$C$57)^((YEAR(Premissas!$C$25)-YEAR(Premissas!$C$18))*12+MONTH(Premissas!$C$25)-MONTH(Premissas!$C$18))*(1+Premissas!$C$34))),"")</f>
        <v>628749.024204588</v>
      </c>
      <c r="AB126" s="16" t="n">
        <f aca="false">IF($A126&gt;=Premissas!$C$25,Y126+AA126,"")</f>
        <v>-54699.1990067269</v>
      </c>
      <c r="AC126" s="20" t="str">
        <f aca="false">IF(AND($A126&gt;=Premissas!$C$27,W126&gt;=M126),$A126,"")</f>
        <v/>
      </c>
      <c r="AD126" s="20" t="str">
        <f aca="false">IF(AND($A126&gt;=Premissas!$C$27,Y126&gt;=0),$A126,"")</f>
        <v/>
      </c>
      <c r="AE126" s="20" t="str">
        <f aca="false">IF(AND($A126&gt;=Premissas!$C$25,N(AB126)&gt;=0),$A126,"")</f>
        <v/>
      </c>
    </row>
    <row r="127" customFormat="false" ht="15" hidden="false" customHeight="false" outlineLevel="0" collapsed="false">
      <c r="A127" s="20" t="n">
        <f aca="false">DATE(YEAR(A126),MONTH(A126)+1,1)</f>
        <v>50100</v>
      </c>
      <c r="B127" s="5" t="str">
        <f aca="false">IF($A127&lt;Premissas!$C$25,"Obra",IF($A127=Premissas!$C$25,"Chaves",IF($A127&lt;Premissas!$C$27,"Mobiliando","Airbnb")))</f>
        <v>Airbnb</v>
      </c>
      <c r="C127" s="35" t="n">
        <f aca="false">(YEAR($A127)-YEAR(Premissas!$C$18))*12+MONTH($A127)-MONTH(Premissas!$C$18)</f>
        <v>126</v>
      </c>
      <c r="D127" s="16" t="n">
        <f aca="false">($A127=Premissas!$C$19)*Premissas!$C$8+(($A127=EDATE(Premissas!$C$19,1))+($A127=EDATE(Premissas!$C$19,2)))*Premissas!$C$9+AND($A127&gt;=Premissas!$C$20,$A127&lt;EDATE(Premissas!$C$20,Premissas!$C$21))*Premissas!$C$10+(($A127=Premissas!$C$22)+($A127=Premissas!$C$23)+($A127=Premissas!$C$24))*Premissas!$C$11+($A127=Premissas!$C$25)*Premissas!$C$12</f>
        <v>0</v>
      </c>
      <c r="E127" s="36" t="n">
        <f aca="false">(1+Premissas!$C$57)^C127</f>
        <v>1.75448971287589</v>
      </c>
      <c r="F127" s="16" t="n">
        <f aca="false">D127*E127</f>
        <v>0</v>
      </c>
      <c r="G127" s="16" t="n">
        <f aca="false">($A127=Premissas!$C$25)*Premissas!$C$34*Premissas!$C$14*(1+Premissas!$C$57)^C127</f>
        <v>0</v>
      </c>
      <c r="H127" s="16" t="n">
        <f aca="false">IF(AND($A127&gt;Premissas!$C$25,$A127&lt;Premissas!$C$27),Premissas!$C$35/MAX(1,Premissas!$C$26),0)</f>
        <v>0</v>
      </c>
      <c r="I127" s="35" t="n">
        <f aca="false">IF(AND($A127&gt;Premissas!$C$25,((YEAR($A127)-YEAR(Premissas!$C$25))*12+MONTH($A127)-MONTH(Premissas!$C$25))&lt;=Premissas!$C$32),((YEAR($A127)-YEAR(Premissas!$C$25))*12+MONTH($A127)-MONTH(Premissas!$C$25)),0)</f>
        <v>103</v>
      </c>
      <c r="J127" s="16" t="n">
        <f aca="false">IF(I127&gt;0,N126*(1+Premissas!$C$59),0)</f>
        <v>77637.9975872579</v>
      </c>
      <c r="K127" s="16" t="n">
        <f aca="false">J127*Premissas!$C$58</f>
        <v>736.690882961148</v>
      </c>
      <c r="L127" s="16" t="n">
        <f aca="false">IF(I127&gt;0,J127/(Premissas!$C$32-I127+1),0)</f>
        <v>4313.22208818099</v>
      </c>
      <c r="M127" s="16" t="n">
        <f aca="false">K127+L127</f>
        <v>5049.91297114214</v>
      </c>
      <c r="N127" s="16" t="n">
        <f aca="false">IF($A127=Premissas!$C$25,Premissas!$C$13*E127,IF(I127&gt;0,J127-L127,0))</f>
        <v>73324.7754990769</v>
      </c>
      <c r="O127" s="37" t="n">
        <f aca="false">IF($A127&gt;=Premissas!$C$27,Premissas!$C$39*IF(((YEAR($A127)-YEAR(Premissas!$C$27))*12+MONTH($A127)-MONTH(Premissas!$C$27))&lt;Premissas!$C$41,Premissas!$C$42,1),0)</f>
        <v>0.62</v>
      </c>
      <c r="P127" s="16" t="n">
        <f aca="false">O127*Premissas!$C$38*Premissas!$C$40*(1+Premissas!$C$60)^((YEAR($A127)-YEAR(Premissas!$C$19))*12+MONTH($A127)-MONTH(Premissas!$C$19))</f>
        <v>6374.01473494221</v>
      </c>
      <c r="Q127" s="16" t="n">
        <f aca="false">P127*Premissas!$C$43</f>
        <v>1019.84235759075</v>
      </c>
      <c r="R127" s="16" t="n">
        <f aca="false">P127*Premissas!$C$44</f>
        <v>1274.80294698844</v>
      </c>
      <c r="S127" s="16" t="n">
        <f aca="false">IF($A127&gt;=Premissas!$C$25,Premissas!$C$45*(1+Premissas!$C$60)^((YEAR($A127)-YEAR(Premissas!$C$19))*12+MONTH($A127)-MONTH(Premissas!$C$19)),0)</f>
        <v>1117.4640138398</v>
      </c>
      <c r="T127" s="16" t="n">
        <f aca="false">IF($A127&gt;=Premissas!$C$27,Premissas!$C$46*(1+Premissas!$C$60)^((YEAR($A127)-YEAR(Premissas!$C$19))*12+MONTH($A127)-MONTH(Premissas!$C$19)),0)</f>
        <v>446.985605535919</v>
      </c>
      <c r="U127" s="16" t="n">
        <f aca="false">IF($A127&gt;=Premissas!$C$27,Premissas!$C$47*(1+Premissas!$C$60)^((YEAR($A127)-YEAR(Premissas!$C$19))*12+MONTH($A127)-MONTH(Premissas!$C$19)),0)</f>
        <v>223.49280276796</v>
      </c>
      <c r="V127" s="16" t="n">
        <f aca="false">IF($A127&gt;=Premissas!$C$27,MAX(0,P127-Q127-R127-S127)*Premissas!$C$49,0)</f>
        <v>814.523989543884</v>
      </c>
      <c r="W127" s="16" t="n">
        <f aca="false">P127-Q127-R127-S127-T127-U127-V127</f>
        <v>1476.90301867545</v>
      </c>
      <c r="X127" s="16" t="n">
        <f aca="false">W127-F127-G127-H127-M127</f>
        <v>-3573.00995246669</v>
      </c>
      <c r="Y127" s="16" t="n">
        <f aca="false">Y126+X127</f>
        <v>-687021.233163782</v>
      </c>
      <c r="Z127" s="16" t="n">
        <f aca="false">Premissas!$C$14*(1+Premissas!$C$57)^((YEAR(Premissas!$C$19)-YEAR(Premissas!$C$18))*12+MONTH(Premissas!$C$19)-MONTH(Premissas!$C$18))*(1+Premissas!$C$61)^((YEAR($A127)-YEAR(Premissas!$C$19))*12+MONTH($A127)-MONTH(Premissas!$C$19))</f>
        <v>785328.564736772</v>
      </c>
      <c r="AA127" s="16" t="n">
        <f aca="false">IF($A127&gt;=Premissas!$C$25,Z127*(1-Premissas!$C$53)-N127-Premissas!$C$54*MAX(0,Z127*(1-Premissas!$C$53)-(Premissas!$C$14*(1+Premissas!$C$57)^((YEAR(Premissas!$C$25)-YEAR(Premissas!$C$18))*12+MONTH(Premissas!$C$25)-MONTH(Premissas!$C$18))*(1+Premissas!$C$34))),"")</f>
        <v>635354.957237269</v>
      </c>
      <c r="AB127" s="16" t="n">
        <f aca="false">IF($A127&gt;=Premissas!$C$25,Y127+AA127,"")</f>
        <v>-51666.2759265126</v>
      </c>
      <c r="AC127" s="20" t="str">
        <f aca="false">IF(AND($A127&gt;=Premissas!$C$27,W127&gt;=M127),$A127,"")</f>
        <v/>
      </c>
      <c r="AD127" s="20" t="str">
        <f aca="false">IF(AND($A127&gt;=Premissas!$C$27,Y127&gt;=0),$A127,"")</f>
        <v/>
      </c>
      <c r="AE127" s="20" t="str">
        <f aca="false">IF(AND($A127&gt;=Premissas!$C$25,N(AB127)&gt;=0),$A127,"")</f>
        <v/>
      </c>
    </row>
    <row r="128" customFormat="false" ht="15" hidden="false" customHeight="false" outlineLevel="0" collapsed="false">
      <c r="A128" s="20" t="n">
        <f aca="false">DATE(YEAR(A127),MONTH(A127)+1,1)</f>
        <v>50131</v>
      </c>
      <c r="B128" s="5" t="str">
        <f aca="false">IF($A128&lt;Premissas!$C$25,"Obra",IF($A128=Premissas!$C$25,"Chaves",IF($A128&lt;Premissas!$C$27,"Mobiliando","Airbnb")))</f>
        <v>Airbnb</v>
      </c>
      <c r="C128" s="35" t="n">
        <f aca="false">(YEAR($A128)-YEAR(Premissas!$C$18))*12+MONTH($A128)-MONTH(Premissas!$C$18)</f>
        <v>127</v>
      </c>
      <c r="D128" s="16" t="n">
        <f aca="false">($A128=Premissas!$C$19)*Premissas!$C$8+(($A128=EDATE(Premissas!$C$19,1))+($A128=EDATE(Premissas!$C$19,2)))*Premissas!$C$9+AND($A128&gt;=Premissas!$C$20,$A128&lt;EDATE(Premissas!$C$20,Premissas!$C$21))*Premissas!$C$10+(($A128=Premissas!$C$22)+($A128=Premissas!$C$23)+($A128=Premissas!$C$24))*Premissas!$C$11+($A128=Premissas!$C$25)*Premissas!$C$12</f>
        <v>0</v>
      </c>
      <c r="E128" s="36" t="n">
        <f aca="false">(1+Premissas!$C$57)^C128</f>
        <v>1.76233526262492</v>
      </c>
      <c r="F128" s="16" t="n">
        <f aca="false">D128*E128</f>
        <v>0</v>
      </c>
      <c r="G128" s="16" t="n">
        <f aca="false">($A128=Premissas!$C$25)*Premissas!$C$34*Premissas!$C$14*(1+Premissas!$C$57)^C128</f>
        <v>0</v>
      </c>
      <c r="H128" s="16" t="n">
        <f aca="false">IF(AND($A128&gt;Premissas!$C$25,$A128&lt;Premissas!$C$27),Premissas!$C$35/MAX(1,Premissas!$C$26),0)</f>
        <v>0</v>
      </c>
      <c r="I128" s="35" t="n">
        <f aca="false">IF(AND($A128&gt;Premissas!$C$25,((YEAR($A128)-YEAR(Premissas!$C$25))*12+MONTH($A128)-MONTH(Premissas!$C$25))&lt;=Premissas!$C$32),((YEAR($A128)-YEAR(Premissas!$C$25))*12+MONTH($A128)-MONTH(Premissas!$C$25)),0)</f>
        <v>104</v>
      </c>
      <c r="J128" s="16" t="n">
        <f aca="false">IF(I128&gt;0,N127*(1+Premissas!$C$59),0)</f>
        <v>73564.821733649</v>
      </c>
      <c r="K128" s="16" t="n">
        <f aca="false">J128*Premissas!$C$58</f>
        <v>698.04136070011</v>
      </c>
      <c r="L128" s="16" t="n">
        <f aca="false">IF(I128&gt;0,J128/(Premissas!$C$32-I128+1),0)</f>
        <v>4327.34245492053</v>
      </c>
      <c r="M128" s="16" t="n">
        <f aca="false">K128+L128</f>
        <v>5025.38381562064</v>
      </c>
      <c r="N128" s="16" t="n">
        <f aca="false">IF($A128=Premissas!$C$25,Premissas!$C$13*E128,IF(I128&gt;0,J128-L128,0))</f>
        <v>69237.4792787285</v>
      </c>
      <c r="O128" s="37" t="n">
        <f aca="false">IF($A128&gt;=Premissas!$C$27,Premissas!$C$39*IF(((YEAR($A128)-YEAR(Premissas!$C$27))*12+MONTH($A128)-MONTH(Premissas!$C$27))&lt;Premissas!$C$41,Premissas!$C$42,1),0)</f>
        <v>0.62</v>
      </c>
      <c r="P128" s="16" t="n">
        <f aca="false">O128*Premissas!$C$38*Premissas!$C$40*(1+Premissas!$C$60)^((YEAR($A128)-YEAR(Premissas!$C$19))*12+MONTH($A128)-MONTH(Premissas!$C$19))</f>
        <v>6394.88160055231</v>
      </c>
      <c r="Q128" s="16" t="n">
        <f aca="false">P128*Premissas!$C$43</f>
        <v>1023.18105608837</v>
      </c>
      <c r="R128" s="16" t="n">
        <f aca="false">P128*Premissas!$C$44</f>
        <v>1278.97632011046</v>
      </c>
      <c r="S128" s="16" t="n">
        <f aca="false">IF($A128&gt;=Premissas!$C$25,Premissas!$C$45*(1+Premissas!$C$60)^((YEAR($A128)-YEAR(Premissas!$C$19))*12+MONTH($A128)-MONTH(Premissas!$C$19)),0)</f>
        <v>1121.12230023708</v>
      </c>
      <c r="T128" s="16" t="n">
        <f aca="false">IF($A128&gt;=Premissas!$C$27,Premissas!$C$46*(1+Premissas!$C$60)^((YEAR($A128)-YEAR(Premissas!$C$19))*12+MONTH($A128)-MONTH(Premissas!$C$19)),0)</f>
        <v>448.448920094832</v>
      </c>
      <c r="U128" s="16" t="n">
        <f aca="false">IF($A128&gt;=Premissas!$C$27,Premissas!$C$47*(1+Premissas!$C$60)^((YEAR($A128)-YEAR(Premissas!$C$19))*12+MONTH($A128)-MONTH(Premissas!$C$19)),0)</f>
        <v>224.224460047416</v>
      </c>
      <c r="V128" s="16" t="n">
        <f aca="false">IF($A128&gt;=Premissas!$C$27,MAX(0,P128-Q128-R128-S128)*Premissas!$C$49,0)</f>
        <v>817.190529132009</v>
      </c>
      <c r="W128" s="16" t="n">
        <f aca="false">P128-Q128-R128-S128-T128-U128-V128</f>
        <v>1481.73801484214</v>
      </c>
      <c r="X128" s="16" t="n">
        <f aca="false">W128-F128-G128-H128-M128</f>
        <v>-3543.6458007785</v>
      </c>
      <c r="Y128" s="16" t="n">
        <f aca="false">Y127+X128</f>
        <v>-690564.878964561</v>
      </c>
      <c r="Z128" s="16" t="n">
        <f aca="false">Premissas!$C$14*(1+Premissas!$C$57)^((YEAR(Premissas!$C$19)-YEAR(Premissas!$C$18))*12+MONTH(Premissas!$C$19)-MONTH(Premissas!$C$18))*(1+Premissas!$C$61)^((YEAR($A128)-YEAR(Premissas!$C$19))*12+MONTH($A128)-MONTH(Premissas!$C$19))</f>
        <v>788528.090520345</v>
      </c>
      <c r="AA128" s="16" t="n">
        <f aca="false">IF($A128&gt;=Premissas!$C$25,Z128*(1-Premissas!$C$53)-N128-Premissas!$C$54*MAX(0,Z128*(1-Premissas!$C$53)-(Premissas!$C$14*(1+Premissas!$C$57)^((YEAR(Premissas!$C$25)-YEAR(Premissas!$C$18))*12+MONTH(Premissas!$C$25)-MONTH(Premissas!$C$18))*(1+Premissas!$C$34))),"")</f>
        <v>641998.674558692</v>
      </c>
      <c r="AB128" s="16" t="n">
        <f aca="false">IF($A128&gt;=Premissas!$C$25,Y128+AA128,"")</f>
        <v>-48566.2044058682</v>
      </c>
      <c r="AC128" s="20" t="str">
        <f aca="false">IF(AND($A128&gt;=Premissas!$C$27,W128&gt;=M128),$A128,"")</f>
        <v/>
      </c>
      <c r="AD128" s="20" t="str">
        <f aca="false">IF(AND($A128&gt;=Premissas!$C$27,Y128&gt;=0),$A128,"")</f>
        <v/>
      </c>
      <c r="AE128" s="20" t="str">
        <f aca="false">IF(AND($A128&gt;=Premissas!$C$25,N(AB128)&gt;=0),$A128,"")</f>
        <v/>
      </c>
    </row>
    <row r="129" customFormat="false" ht="15" hidden="false" customHeight="false" outlineLevel="0" collapsed="false">
      <c r="A129" s="20" t="n">
        <f aca="false">DATE(YEAR(A128),MONTH(A128)+1,1)</f>
        <v>50161</v>
      </c>
      <c r="B129" s="5" t="str">
        <f aca="false">IF($A129&lt;Premissas!$C$25,"Obra",IF($A129=Premissas!$C$25,"Chaves",IF($A129&lt;Premissas!$C$27,"Mobiliando","Airbnb")))</f>
        <v>Airbnb</v>
      </c>
      <c r="C129" s="35" t="n">
        <f aca="false">(YEAR($A129)-YEAR(Premissas!$C$18))*12+MONTH($A129)-MONTH(Premissas!$C$18)</f>
        <v>128</v>
      </c>
      <c r="D129" s="16" t="n">
        <f aca="false">($A129=Premissas!$C$19)*Premissas!$C$8+(($A129=EDATE(Premissas!$C$19,1))+($A129=EDATE(Premissas!$C$19,2)))*Premissas!$C$9+AND($A129&gt;=Premissas!$C$20,$A129&lt;EDATE(Premissas!$C$20,Premissas!$C$21))*Premissas!$C$10+(($A129=Premissas!$C$22)+($A129=Premissas!$C$23)+($A129=Premissas!$C$24))*Premissas!$C$11+($A129=Premissas!$C$25)*Premissas!$C$12</f>
        <v>0</v>
      </c>
      <c r="E129" s="36" t="n">
        <f aca="false">(1+Premissas!$C$57)^C129</f>
        <v>1.77021589531027</v>
      </c>
      <c r="F129" s="16" t="n">
        <f aca="false">D129*E129</f>
        <v>0</v>
      </c>
      <c r="G129" s="16" t="n">
        <f aca="false">($A129=Premissas!$C$25)*Premissas!$C$34*Premissas!$C$14*(1+Premissas!$C$57)^C129</f>
        <v>0</v>
      </c>
      <c r="H129" s="16" t="n">
        <f aca="false">IF(AND($A129&gt;Premissas!$C$25,$A129&lt;Premissas!$C$27),Premissas!$C$35/MAX(1,Premissas!$C$26),0)</f>
        <v>0</v>
      </c>
      <c r="I129" s="35" t="n">
        <f aca="false">IF(AND($A129&gt;Premissas!$C$25,((YEAR($A129)-YEAR(Premissas!$C$25))*12+MONTH($A129)-MONTH(Premissas!$C$25))&lt;=Premissas!$C$32),((YEAR($A129)-YEAR(Premissas!$C$25))*12+MONTH($A129)-MONTH(Premissas!$C$25)),0)</f>
        <v>105</v>
      </c>
      <c r="J129" s="16" t="n">
        <f aca="false">IF(I129&gt;0,N128*(1+Premissas!$C$59),0)</f>
        <v>69464.1447690624</v>
      </c>
      <c r="K129" s="16" t="n">
        <f aca="false">J129*Premissas!$C$58</f>
        <v>659.130886091534</v>
      </c>
      <c r="L129" s="16" t="n">
        <f aca="false">IF(I129&gt;0,J129/(Premissas!$C$32-I129+1),0)</f>
        <v>4341.5090480664</v>
      </c>
      <c r="M129" s="16" t="n">
        <f aca="false">K129+L129</f>
        <v>5000.63993415794</v>
      </c>
      <c r="N129" s="16" t="n">
        <f aca="false">IF($A129=Premissas!$C$25,Premissas!$C$13*E129,IF(I129&gt;0,J129-L129,0))</f>
        <v>65122.635720996</v>
      </c>
      <c r="O129" s="37" t="n">
        <f aca="false">IF($A129&gt;=Premissas!$C$27,Premissas!$C$39*IF(((YEAR($A129)-YEAR(Premissas!$C$27))*12+MONTH($A129)-MONTH(Premissas!$C$27))&lt;Premissas!$C$41,Premissas!$C$42,1),0)</f>
        <v>0.62</v>
      </c>
      <c r="P129" s="16" t="n">
        <f aca="false">O129*Premissas!$C$38*Premissas!$C$40*(1+Premissas!$C$60)^((YEAR($A129)-YEAR(Premissas!$C$19))*12+MONTH($A129)-MONTH(Premissas!$C$19))</f>
        <v>6415.81677885049</v>
      </c>
      <c r="Q129" s="16" t="n">
        <f aca="false">P129*Premissas!$C$43</f>
        <v>1026.53068461608</v>
      </c>
      <c r="R129" s="16" t="n">
        <f aca="false">P129*Premissas!$C$44</f>
        <v>1283.1633557701</v>
      </c>
      <c r="S129" s="16" t="n">
        <f aca="false">IF($A129&gt;=Premissas!$C$25,Premissas!$C$45*(1+Premissas!$C$60)^((YEAR($A129)-YEAR(Premissas!$C$19))*12+MONTH($A129)-MONTH(Premissas!$C$19)),0)</f>
        <v>1124.79256291208</v>
      </c>
      <c r="T129" s="16" t="n">
        <f aca="false">IF($A129&gt;=Premissas!$C$27,Premissas!$C$46*(1+Premissas!$C$60)^((YEAR($A129)-YEAR(Premissas!$C$19))*12+MONTH($A129)-MONTH(Premissas!$C$19)),0)</f>
        <v>449.917025164831</v>
      </c>
      <c r="U129" s="16" t="n">
        <f aca="false">IF($A129&gt;=Premissas!$C$27,Premissas!$C$47*(1+Premissas!$C$60)^((YEAR($A129)-YEAR(Premissas!$C$19))*12+MONTH($A129)-MONTH(Premissas!$C$19)),0)</f>
        <v>224.958512582416</v>
      </c>
      <c r="V129" s="16" t="n">
        <f aca="false">IF($A129&gt;=Premissas!$C$27,MAX(0,P129-Q129-R129-S129)*Premissas!$C$49,0)</f>
        <v>819.865798276865</v>
      </c>
      <c r="W129" s="16" t="n">
        <f aca="false">P129-Q129-R129-S129-T129-U129-V129</f>
        <v>1486.58883952812</v>
      </c>
      <c r="X129" s="16" t="n">
        <f aca="false">W129-F129-G129-H129-M129</f>
        <v>-3514.05109462981</v>
      </c>
      <c r="Y129" s="16" t="n">
        <f aca="false">Y128+X129</f>
        <v>-694078.93005919</v>
      </c>
      <c r="Z129" s="16" t="n">
        <f aca="false">Premissas!$C$14*(1+Premissas!$C$57)^((YEAR(Premissas!$C$19)-YEAR(Premissas!$C$18))*12+MONTH(Premissas!$C$19)-MONTH(Premissas!$C$18))*(1+Premissas!$C$61)^((YEAR($A129)-YEAR(Premissas!$C$19))*12+MONTH($A129)-MONTH(Premissas!$C$19))</f>
        <v>791740.651568009</v>
      </c>
      <c r="AA129" s="16" t="n">
        <f aca="false">IF($A129&gt;=Premissas!$C$25,Z129*(1-Premissas!$C$53)-N129-Premissas!$C$54*MAX(0,Z129*(1-Premissas!$C$53)-(Premissas!$C$14*(1+Premissas!$C$57)^((YEAR(Premissas!$C$25)-YEAR(Premissas!$C$18))*12+MONTH(Premissas!$C$25)-MONTH(Premissas!$C$18))*(1+Premissas!$C$34))),"")</f>
        <v>648680.354393508</v>
      </c>
      <c r="AB129" s="16" t="n">
        <f aca="false">IF($A129&gt;=Premissas!$C$25,Y129+AA129,"")</f>
        <v>-45398.5756656822</v>
      </c>
      <c r="AC129" s="20" t="str">
        <f aca="false">IF(AND($A129&gt;=Premissas!$C$27,W129&gt;=M129),$A129,"")</f>
        <v/>
      </c>
      <c r="AD129" s="20" t="str">
        <f aca="false">IF(AND($A129&gt;=Premissas!$C$27,Y129&gt;=0),$A129,"")</f>
        <v/>
      </c>
      <c r="AE129" s="20" t="str">
        <f aca="false">IF(AND($A129&gt;=Premissas!$C$25,N(AB129)&gt;=0),$A129,"")</f>
        <v/>
      </c>
    </row>
    <row r="130" customFormat="false" ht="15" hidden="false" customHeight="false" outlineLevel="0" collapsed="false">
      <c r="A130" s="20" t="n">
        <f aca="false">DATE(YEAR(A129),MONTH(A129)+1,1)</f>
        <v>50192</v>
      </c>
      <c r="B130" s="5" t="str">
        <f aca="false">IF($A130&lt;Premissas!$C$25,"Obra",IF($A130=Premissas!$C$25,"Chaves",IF($A130&lt;Premissas!$C$27,"Mobiliando","Airbnb")))</f>
        <v>Airbnb</v>
      </c>
      <c r="C130" s="35" t="n">
        <f aca="false">(YEAR($A130)-YEAR(Premissas!$C$18))*12+MONTH($A130)-MONTH(Premissas!$C$18)</f>
        <v>129</v>
      </c>
      <c r="D130" s="16" t="n">
        <f aca="false">($A130=Premissas!$C$19)*Premissas!$C$8+(($A130=EDATE(Premissas!$C$19,1))+($A130=EDATE(Premissas!$C$19,2)))*Premissas!$C$9+AND($A130&gt;=Premissas!$C$20,$A130&lt;EDATE(Premissas!$C$20,Premissas!$C$21))*Premissas!$C$10+(($A130=Premissas!$C$22)+($A130=Premissas!$C$23)+($A130=Premissas!$C$24))*Premissas!$C$11+($A130=Premissas!$C$25)*Premissas!$C$12</f>
        <v>0</v>
      </c>
      <c r="E130" s="36" t="n">
        <f aca="false">(1+Premissas!$C$57)^C130</f>
        <v>1.77813176781226</v>
      </c>
      <c r="F130" s="16" t="n">
        <f aca="false">D130*E130</f>
        <v>0</v>
      </c>
      <c r="G130" s="16" t="n">
        <f aca="false">($A130=Premissas!$C$25)*Premissas!$C$34*Premissas!$C$14*(1+Premissas!$C$57)^C130</f>
        <v>0</v>
      </c>
      <c r="H130" s="16" t="n">
        <f aca="false">IF(AND($A130&gt;Premissas!$C$25,$A130&lt;Premissas!$C$27),Premissas!$C$35/MAX(1,Premissas!$C$26),0)</f>
        <v>0</v>
      </c>
      <c r="I130" s="35" t="n">
        <f aca="false">IF(AND($A130&gt;Premissas!$C$25,((YEAR($A130)-YEAR(Premissas!$C$25))*12+MONTH($A130)-MONTH(Premissas!$C$25))&lt;=Premissas!$C$32),((YEAR($A130)-YEAR(Premissas!$C$25))*12+MONTH($A130)-MONTH(Premissas!$C$25)),0)</f>
        <v>106</v>
      </c>
      <c r="J130" s="16" t="n">
        <f aca="false">IF(I130&gt;0,N129*(1+Premissas!$C$59),0)</f>
        <v>65335.8302842775</v>
      </c>
      <c r="K130" s="16" t="n">
        <f aca="false">J130*Premissas!$C$58</f>
        <v>619.958164776569</v>
      </c>
      <c r="L130" s="16" t="n">
        <f aca="false">IF(I130&gt;0,J130/(Premissas!$C$32-I130+1),0)</f>
        <v>4355.72201895183</v>
      </c>
      <c r="M130" s="16" t="n">
        <f aca="false">K130+L130</f>
        <v>4975.6801837284</v>
      </c>
      <c r="N130" s="16" t="n">
        <f aca="false">IF($A130=Premissas!$C$25,Premissas!$C$13*E130,IF(I130&gt;0,J130-L130,0))</f>
        <v>60980.1082653257</v>
      </c>
      <c r="O130" s="37" t="n">
        <f aca="false">IF($A130&gt;=Premissas!$C$27,Premissas!$C$39*IF(((YEAR($A130)-YEAR(Premissas!$C$27))*12+MONTH($A130)-MONTH(Premissas!$C$27))&lt;Premissas!$C$41,Premissas!$C$42,1),0)</f>
        <v>0.62</v>
      </c>
      <c r="P130" s="16" t="n">
        <f aca="false">O130*Premissas!$C$38*Premissas!$C$40*(1+Premissas!$C$60)^((YEAR($A130)-YEAR(Premissas!$C$19))*12+MONTH($A130)-MONTH(Premissas!$C$19))</f>
        <v>6436.82049347471</v>
      </c>
      <c r="Q130" s="16" t="n">
        <f aca="false">P130*Premissas!$C$43</f>
        <v>1029.89127895595</v>
      </c>
      <c r="R130" s="16" t="n">
        <f aca="false">P130*Premissas!$C$44</f>
        <v>1287.36409869494</v>
      </c>
      <c r="S130" s="16" t="n">
        <f aca="false">IF($A130&gt;=Premissas!$C$25,Premissas!$C$45*(1+Premissas!$C$60)^((YEAR($A130)-YEAR(Premissas!$C$19))*12+MONTH($A130)-MONTH(Premissas!$C$19)),0)</f>
        <v>1128.474841072</v>
      </c>
      <c r="T130" s="16" t="n">
        <f aca="false">IF($A130&gt;=Premissas!$C$27,Premissas!$C$46*(1+Premissas!$C$60)^((YEAR($A130)-YEAR(Premissas!$C$19))*12+MONTH($A130)-MONTH(Premissas!$C$19)),0)</f>
        <v>451.389936428802</v>
      </c>
      <c r="U130" s="16" t="n">
        <f aca="false">IF($A130&gt;=Premissas!$C$27,Premissas!$C$47*(1+Premissas!$C$60)^((YEAR($A130)-YEAR(Premissas!$C$19))*12+MONTH($A130)-MONTH(Premissas!$C$19)),0)</f>
        <v>225.694968214401</v>
      </c>
      <c r="V130" s="16" t="n">
        <f aca="false">IF($A130&gt;=Premissas!$C$27,MAX(0,P130-Q130-R130-S130)*Premissas!$C$49,0)</f>
        <v>822.549825556748</v>
      </c>
      <c r="W130" s="16" t="n">
        <f aca="false">P130-Q130-R130-S130-T130-U130-V130</f>
        <v>1491.45554455186</v>
      </c>
      <c r="X130" s="16" t="n">
        <f aca="false">W130-F130-G130-H130-M130</f>
        <v>-3484.22463917654</v>
      </c>
      <c r="Y130" s="16" t="n">
        <f aca="false">Y129+X130</f>
        <v>-697563.154698367</v>
      </c>
      <c r="Z130" s="16" t="n">
        <f aca="false">Premissas!$C$14*(1+Premissas!$C$57)^((YEAR(Premissas!$C$19)-YEAR(Premissas!$C$18))*12+MONTH(Premissas!$C$19)-MONTH(Premissas!$C$18))*(1+Premissas!$C$61)^((YEAR($A130)-YEAR(Premissas!$C$19))*12+MONTH($A130)-MONTH(Premissas!$C$19))</f>
        <v>794966.300987043</v>
      </c>
      <c r="AA130" s="16" t="n">
        <f aca="false">IF($A130&gt;=Premissas!$C$25,Z130*(1-Premissas!$C$53)-N130-Premissas!$C$54*MAX(0,Z130*(1-Premissas!$C$53)-(Premissas!$C$14*(1+Premissas!$C$57)^((YEAR(Premissas!$C$25)-YEAR(Premissas!$C$18))*12+MONTH(Premissas!$C$25)-MONTH(Premissas!$C$18))*(1+Premissas!$C$34))),"")</f>
        <v>655400.175734987</v>
      </c>
      <c r="AB130" s="16" t="n">
        <f aca="false">IF($A130&gt;=Premissas!$C$25,Y130+AA130,"")</f>
        <v>-42162.9789633798</v>
      </c>
      <c r="AC130" s="20" t="str">
        <f aca="false">IF(AND($A130&gt;=Premissas!$C$27,W130&gt;=M130),$A130,"")</f>
        <v/>
      </c>
      <c r="AD130" s="20" t="str">
        <f aca="false">IF(AND($A130&gt;=Premissas!$C$27,Y130&gt;=0),$A130,"")</f>
        <v/>
      </c>
      <c r="AE130" s="20" t="str">
        <f aca="false">IF(AND($A130&gt;=Premissas!$C$25,N(AB130)&gt;=0),$A130,"")</f>
        <v/>
      </c>
    </row>
    <row r="131" customFormat="false" ht="15" hidden="false" customHeight="false" outlineLevel="0" collapsed="false">
      <c r="A131" s="20" t="n">
        <f aca="false">DATE(YEAR(A130),MONTH(A130)+1,1)</f>
        <v>50222</v>
      </c>
      <c r="B131" s="5" t="str">
        <f aca="false">IF($A131&lt;Premissas!$C$25,"Obra",IF($A131=Premissas!$C$25,"Chaves",IF($A131&lt;Premissas!$C$27,"Mobiliando","Airbnb")))</f>
        <v>Airbnb</v>
      </c>
      <c r="C131" s="35" t="n">
        <f aca="false">(YEAR($A131)-YEAR(Premissas!$C$18))*12+MONTH($A131)-MONTH(Premissas!$C$18)</f>
        <v>130</v>
      </c>
      <c r="D131" s="16" t="n">
        <f aca="false">($A131=Premissas!$C$19)*Premissas!$C$8+(($A131=EDATE(Premissas!$C$19,1))+($A131=EDATE(Premissas!$C$19,2)))*Premissas!$C$9+AND($A131&gt;=Premissas!$C$20,$A131&lt;EDATE(Premissas!$C$20,Premissas!$C$21))*Premissas!$C$10+(($A131=Premissas!$C$22)+($A131=Premissas!$C$23)+($A131=Premissas!$C$24))*Premissas!$C$11+($A131=Premissas!$C$25)*Premissas!$C$12</f>
        <v>0</v>
      </c>
      <c r="E131" s="36" t="n">
        <f aca="false">(1+Premissas!$C$57)^C131</f>
        <v>1.78608303771274</v>
      </c>
      <c r="F131" s="16" t="n">
        <f aca="false">D131*E131</f>
        <v>0</v>
      </c>
      <c r="G131" s="16" t="n">
        <f aca="false">($A131=Premissas!$C$25)*Premissas!$C$34*Premissas!$C$14*(1+Premissas!$C$57)^C131</f>
        <v>0</v>
      </c>
      <c r="H131" s="16" t="n">
        <f aca="false">IF(AND($A131&gt;Premissas!$C$25,$A131&lt;Premissas!$C$27),Premissas!$C$35/MAX(1,Premissas!$C$26),0)</f>
        <v>0</v>
      </c>
      <c r="I131" s="35" t="n">
        <f aca="false">IF(AND($A131&gt;Premissas!$C$25,((YEAR($A131)-YEAR(Premissas!$C$25))*12+MONTH($A131)-MONTH(Premissas!$C$25))&lt;=Premissas!$C$32),((YEAR($A131)-YEAR(Premissas!$C$25))*12+MONTH($A131)-MONTH(Premissas!$C$25)),0)</f>
        <v>107</v>
      </c>
      <c r="J131" s="16" t="n">
        <f aca="false">IF(I131&gt;0,N130*(1+Premissas!$C$59),0)</f>
        <v>61179.7412716767</v>
      </c>
      <c r="K131" s="16" t="n">
        <f aca="false">J131*Premissas!$C$58</f>
        <v>580.521896718304</v>
      </c>
      <c r="L131" s="16" t="n">
        <f aca="false">IF(I131&gt;0,J131/(Premissas!$C$32-I131+1),0)</f>
        <v>4369.98151940548</v>
      </c>
      <c r="M131" s="16" t="n">
        <f aca="false">K131+L131</f>
        <v>4950.50341612378</v>
      </c>
      <c r="N131" s="16" t="n">
        <f aca="false">IF($A131=Premissas!$C$25,Premissas!$C$13*E131,IF(I131&gt;0,J131-L131,0))</f>
        <v>56809.7597522712</v>
      </c>
      <c r="O131" s="37" t="n">
        <f aca="false">IF($A131&gt;=Premissas!$C$27,Premissas!$C$39*IF(((YEAR($A131)-YEAR(Premissas!$C$27))*12+MONTH($A131)-MONTH(Premissas!$C$27))&lt;Premissas!$C$41,Premissas!$C$42,1),0)</f>
        <v>0.62</v>
      </c>
      <c r="P131" s="16" t="n">
        <f aca="false">O131*Premissas!$C$38*Premissas!$C$40*(1+Premissas!$C$60)^((YEAR($A131)-YEAR(Premissas!$C$19))*12+MONTH($A131)-MONTH(Premissas!$C$19))</f>
        <v>6457.89296879507</v>
      </c>
      <c r="Q131" s="16" t="n">
        <f aca="false">P131*Premissas!$C$43</f>
        <v>1033.26287500721</v>
      </c>
      <c r="R131" s="16" t="n">
        <f aca="false">P131*Premissas!$C$44</f>
        <v>1291.57859375901</v>
      </c>
      <c r="S131" s="16" t="n">
        <f aca="false">IF($A131&gt;=Premissas!$C$25,Premissas!$C$45*(1+Premissas!$C$60)^((YEAR($A131)-YEAR(Premissas!$C$19))*12+MONTH($A131)-MONTH(Premissas!$C$19)),0)</f>
        <v>1132.16917405243</v>
      </c>
      <c r="T131" s="16" t="n">
        <f aca="false">IF($A131&gt;=Premissas!$C$27,Premissas!$C$46*(1+Premissas!$C$60)^((YEAR($A131)-YEAR(Premissas!$C$19))*12+MONTH($A131)-MONTH(Premissas!$C$19)),0)</f>
        <v>452.867669620973</v>
      </c>
      <c r="U131" s="16" t="n">
        <f aca="false">IF($A131&gt;=Premissas!$C$27,Premissas!$C$47*(1+Premissas!$C$60)^((YEAR($A131)-YEAR(Premissas!$C$19))*12+MONTH($A131)-MONTH(Premissas!$C$19)),0)</f>
        <v>226.433834810486</v>
      </c>
      <c r="V131" s="16" t="n">
        <f aca="false">IF($A131&gt;=Premissas!$C$27,MAX(0,P131-Q131-R131-S131)*Premissas!$C$49,0)</f>
        <v>825.242639643514</v>
      </c>
      <c r="W131" s="16" t="n">
        <f aca="false">P131-Q131-R131-S131-T131-U131-V131</f>
        <v>1496.33818190144</v>
      </c>
      <c r="X131" s="16" t="n">
        <f aca="false">W131-F131-G131-H131-M131</f>
        <v>-3454.16523422234</v>
      </c>
      <c r="Y131" s="16" t="n">
        <f aca="false">Y130+X131</f>
        <v>-701017.319932589</v>
      </c>
      <c r="Z131" s="16" t="n">
        <f aca="false">Premissas!$C$14*(1+Premissas!$C$57)^((YEAR(Premissas!$C$19)-YEAR(Premissas!$C$18))*12+MONTH(Premissas!$C$19)-MONTH(Premissas!$C$18))*(1+Premissas!$C$61)^((YEAR($A131)-YEAR(Premissas!$C$19))*12+MONTH($A131)-MONTH(Premissas!$C$19))</f>
        <v>798205.092101093</v>
      </c>
      <c r="AA131" s="16" t="n">
        <f aca="false">IF($A131&gt;=Premissas!$C$25,Z131*(1-Premissas!$C$53)-N131-Premissas!$C$54*MAX(0,Z131*(1-Premissas!$C$53)-(Premissas!$C$14*(1+Premissas!$C$57)^((YEAR(Premissas!$C$25)-YEAR(Premissas!$C$18))*12+MONTH(Premissas!$C$25)-MONTH(Premissas!$C$18))*(1+Premissas!$C$34))),"")</f>
        <v>662158.318348168</v>
      </c>
      <c r="AB131" s="16" t="n">
        <f aca="false">IF($A131&gt;=Premissas!$C$25,Y131+AA131,"")</f>
        <v>-38859.0015844215</v>
      </c>
      <c r="AC131" s="20" t="str">
        <f aca="false">IF(AND($A131&gt;=Premissas!$C$27,W131&gt;=M131),$A131,"")</f>
        <v/>
      </c>
      <c r="AD131" s="20" t="str">
        <f aca="false">IF(AND($A131&gt;=Premissas!$C$27,Y131&gt;=0),$A131,"")</f>
        <v/>
      </c>
      <c r="AE131" s="20" t="str">
        <f aca="false">IF(AND($A131&gt;=Premissas!$C$25,N(AB131)&gt;=0),$A131,"")</f>
        <v/>
      </c>
    </row>
    <row r="132" customFormat="false" ht="15" hidden="false" customHeight="false" outlineLevel="0" collapsed="false">
      <c r="A132" s="20" t="n">
        <f aca="false">DATE(YEAR(A131),MONTH(A131)+1,1)</f>
        <v>50253</v>
      </c>
      <c r="B132" s="5" t="str">
        <f aca="false">IF($A132&lt;Premissas!$C$25,"Obra",IF($A132=Premissas!$C$25,"Chaves",IF($A132&lt;Premissas!$C$27,"Mobiliando","Airbnb")))</f>
        <v>Airbnb</v>
      </c>
      <c r="C132" s="35" t="n">
        <f aca="false">(YEAR($A132)-YEAR(Premissas!$C$18))*12+MONTH($A132)-MONTH(Premissas!$C$18)</f>
        <v>131</v>
      </c>
      <c r="D132" s="16" t="n">
        <f aca="false">($A132=Premissas!$C$19)*Premissas!$C$8+(($A132=EDATE(Premissas!$C$19,1))+($A132=EDATE(Premissas!$C$19,2)))*Premissas!$C$9+AND($A132&gt;=Premissas!$C$20,$A132&lt;EDATE(Premissas!$C$20,Premissas!$C$21))*Premissas!$C$10+(($A132=Premissas!$C$22)+($A132=Premissas!$C$23)+($A132=Premissas!$C$24))*Premissas!$C$11+($A132=Premissas!$C$25)*Premissas!$C$12</f>
        <v>0</v>
      </c>
      <c r="E132" s="36" t="n">
        <f aca="false">(1+Premissas!$C$57)^C132</f>
        <v>1.79406986329823</v>
      </c>
      <c r="F132" s="16" t="n">
        <f aca="false">D132*E132</f>
        <v>0</v>
      </c>
      <c r="G132" s="16" t="n">
        <f aca="false">($A132=Premissas!$C$25)*Premissas!$C$34*Premissas!$C$14*(1+Premissas!$C$57)^C132</f>
        <v>0</v>
      </c>
      <c r="H132" s="16" t="n">
        <f aca="false">IF(AND($A132&gt;Premissas!$C$25,$A132&lt;Premissas!$C$27),Premissas!$C$35/MAX(1,Premissas!$C$26),0)</f>
        <v>0</v>
      </c>
      <c r="I132" s="35" t="n">
        <f aca="false">IF(AND($A132&gt;Premissas!$C$25,((YEAR($A132)-YEAR(Premissas!$C$25))*12+MONTH($A132)-MONTH(Premissas!$C$25))&lt;=Premissas!$C$32),((YEAR($A132)-YEAR(Premissas!$C$25))*12+MONTH($A132)-MONTH(Premissas!$C$25)),0)</f>
        <v>108</v>
      </c>
      <c r="J132" s="16" t="n">
        <f aca="false">IF(I132&gt;0,N131*(1+Premissas!$C$59),0)</f>
        <v>56995.7401227894</v>
      </c>
      <c r="K132" s="16" t="n">
        <f aca="false">J132*Premissas!$C$58</f>
        <v>540.820776178455</v>
      </c>
      <c r="L132" s="16" t="n">
        <f aca="false">IF(I132&gt;0,J132/(Premissas!$C$32-I132+1),0)</f>
        <v>4384.28770175303</v>
      </c>
      <c r="M132" s="16" t="n">
        <f aca="false">K132+L132</f>
        <v>4925.10847793148</v>
      </c>
      <c r="N132" s="16" t="n">
        <f aca="false">IF($A132=Premissas!$C$25,Premissas!$C$13*E132,IF(I132&gt;0,J132-L132,0))</f>
        <v>52611.4524210363</v>
      </c>
      <c r="O132" s="37" t="n">
        <f aca="false">IF($A132&gt;=Premissas!$C$27,Premissas!$C$39*IF(((YEAR($A132)-YEAR(Premissas!$C$27))*12+MONTH($A132)-MONTH(Premissas!$C$27))&lt;Premissas!$C$41,Premissas!$C$42,1),0)</f>
        <v>0.62</v>
      </c>
      <c r="P132" s="16" t="n">
        <f aca="false">O132*Premissas!$C$38*Premissas!$C$40*(1+Premissas!$C$60)^((YEAR($A132)-YEAR(Premissas!$C$19))*12+MONTH($A132)-MONTH(Premissas!$C$19))</f>
        <v>6479.0344299162</v>
      </c>
      <c r="Q132" s="16" t="n">
        <f aca="false">P132*Premissas!$C$43</f>
        <v>1036.64550878659</v>
      </c>
      <c r="R132" s="16" t="n">
        <f aca="false">P132*Premissas!$C$44</f>
        <v>1295.80688598324</v>
      </c>
      <c r="S132" s="16" t="n">
        <f aca="false">IF($A132&gt;=Premissas!$C$25,Premissas!$C$45*(1+Premissas!$C$60)^((YEAR($A132)-YEAR(Premissas!$C$19))*12+MONTH($A132)-MONTH(Premissas!$C$19)),0)</f>
        <v>1135.87560131771</v>
      </c>
      <c r="T132" s="16" t="n">
        <f aca="false">IF($A132&gt;=Premissas!$C$27,Premissas!$C$46*(1+Premissas!$C$60)^((YEAR($A132)-YEAR(Premissas!$C$19))*12+MONTH($A132)-MONTH(Premissas!$C$19)),0)</f>
        <v>454.350240527083</v>
      </c>
      <c r="U132" s="16" t="n">
        <f aca="false">IF($A132&gt;=Premissas!$C$27,Premissas!$C$47*(1+Premissas!$C$60)^((YEAR($A132)-YEAR(Premissas!$C$19))*12+MONTH($A132)-MONTH(Premissas!$C$19)),0)</f>
        <v>227.175120263541</v>
      </c>
      <c r="V132" s="16" t="n">
        <f aca="false">IF($A132&gt;=Premissas!$C$27,MAX(0,P132-Q132-R132-S132)*Premissas!$C$49,0)</f>
        <v>827.944269302882</v>
      </c>
      <c r="W132" s="16" t="n">
        <f aca="false">P132-Q132-R132-S132-T132-U132-V132</f>
        <v>1501.23680373515</v>
      </c>
      <c r="X132" s="16" t="n">
        <f aca="false">W132-F132-G132-H132-M132</f>
        <v>-3423.87167419633</v>
      </c>
      <c r="Y132" s="16" t="n">
        <f aca="false">Y131+X132</f>
        <v>-704441.191606785</v>
      </c>
      <c r="Z132" s="16" t="n">
        <f aca="false">Premissas!$C$14*(1+Premissas!$C$57)^((YEAR(Premissas!$C$19)-YEAR(Premissas!$C$18))*12+MONTH(Premissas!$C$19)-MONTH(Premissas!$C$18))*(1+Premissas!$C$61)^((YEAR($A132)-YEAR(Premissas!$C$19))*12+MONTH($A132)-MONTH(Premissas!$C$19))</f>
        <v>801457.078451052</v>
      </c>
      <c r="AA132" s="16" t="n">
        <f aca="false">IF($A132&gt;=Premissas!$C$25,Z132*(1-Premissas!$C$53)-N132-Premissas!$C$54*MAX(0,Z132*(1-Premissas!$C$53)-(Premissas!$C$14*(1+Premissas!$C$57)^((YEAR(Premissas!$C$25)-YEAR(Premissas!$C$18))*12+MONTH(Premissas!$C$25)-MONTH(Premissas!$C$18))*(1+Premissas!$C$34))),"")</f>
        <v>668954.962773019</v>
      </c>
      <c r="AB132" s="16" t="n">
        <f aca="false">IF($A132&gt;=Premissas!$C$25,Y132+AA132,"")</f>
        <v>-35486.2288337661</v>
      </c>
      <c r="AC132" s="20" t="str">
        <f aca="false">IF(AND($A132&gt;=Premissas!$C$27,W132&gt;=M132),$A132,"")</f>
        <v/>
      </c>
      <c r="AD132" s="20" t="str">
        <f aca="false">IF(AND($A132&gt;=Premissas!$C$27,Y132&gt;=0),$A132,"")</f>
        <v/>
      </c>
      <c r="AE132" s="20" t="str">
        <f aca="false">IF(AND($A132&gt;=Premissas!$C$25,N(AB132)&gt;=0),$A132,"")</f>
        <v/>
      </c>
    </row>
    <row r="133" customFormat="false" ht="15" hidden="false" customHeight="false" outlineLevel="0" collapsed="false">
      <c r="A133" s="20" t="n">
        <f aca="false">DATE(YEAR(A132),MONTH(A132)+1,1)</f>
        <v>50284</v>
      </c>
      <c r="B133" s="5" t="str">
        <f aca="false">IF($A133&lt;Premissas!$C$25,"Obra",IF($A133=Premissas!$C$25,"Chaves",IF($A133&lt;Premissas!$C$27,"Mobiliando","Airbnb")))</f>
        <v>Airbnb</v>
      </c>
      <c r="C133" s="35" t="n">
        <f aca="false">(YEAR($A133)-YEAR(Premissas!$C$18))*12+MONTH($A133)-MONTH(Premissas!$C$18)</f>
        <v>132</v>
      </c>
      <c r="D133" s="16" t="n">
        <f aca="false">($A133=Premissas!$C$19)*Premissas!$C$8+(($A133=EDATE(Premissas!$C$19,1))+($A133=EDATE(Premissas!$C$19,2)))*Premissas!$C$9+AND($A133&gt;=Premissas!$C$20,$A133&lt;EDATE(Premissas!$C$20,Premissas!$C$21))*Premissas!$C$10+(($A133=Premissas!$C$22)+($A133=Premissas!$C$23)+($A133=Premissas!$C$24))*Premissas!$C$11+($A133=Premissas!$C$25)*Premissas!$C$12</f>
        <v>0</v>
      </c>
      <c r="E133" s="36" t="n">
        <f aca="false">(1+Premissas!$C$57)^C133</f>
        <v>1.80209240356304</v>
      </c>
      <c r="F133" s="16" t="n">
        <f aca="false">D133*E133</f>
        <v>0</v>
      </c>
      <c r="G133" s="16" t="n">
        <f aca="false">($A133=Premissas!$C$25)*Premissas!$C$34*Premissas!$C$14*(1+Premissas!$C$57)^C133</f>
        <v>0</v>
      </c>
      <c r="H133" s="16" t="n">
        <f aca="false">IF(AND($A133&gt;Premissas!$C$25,$A133&lt;Premissas!$C$27),Premissas!$C$35/MAX(1,Premissas!$C$26),0)</f>
        <v>0</v>
      </c>
      <c r="I133" s="35" t="n">
        <f aca="false">IF(AND($A133&gt;Premissas!$C$25,((YEAR($A133)-YEAR(Premissas!$C$25))*12+MONTH($A133)-MONTH(Premissas!$C$25))&lt;=Premissas!$C$32),((YEAR($A133)-YEAR(Premissas!$C$25))*12+MONTH($A133)-MONTH(Premissas!$C$25)),0)</f>
        <v>109</v>
      </c>
      <c r="J133" s="16" t="n">
        <f aca="false">IF(I133&gt;0,N132*(1+Premissas!$C$59),0)</f>
        <v>52783.6886258264</v>
      </c>
      <c r="K133" s="16" t="n">
        <f aca="false">J133*Premissas!$C$58</f>
        <v>500.853491693973</v>
      </c>
      <c r="L133" s="16" t="n">
        <f aca="false">IF(I133&gt;0,J133/(Premissas!$C$32-I133+1),0)</f>
        <v>4398.64071881886</v>
      </c>
      <c r="M133" s="16" t="n">
        <f aca="false">K133+L133</f>
        <v>4899.49421051284</v>
      </c>
      <c r="N133" s="16" t="n">
        <f aca="false">IF($A133=Premissas!$C$25,Premissas!$C$13*E133,IF(I133&gt;0,J133-L133,0))</f>
        <v>48385.0479070075</v>
      </c>
      <c r="O133" s="37" t="n">
        <f aca="false">IF($A133&gt;=Premissas!$C$27,Premissas!$C$39*IF(((YEAR($A133)-YEAR(Premissas!$C$27))*12+MONTH($A133)-MONTH(Premissas!$C$27))&lt;Premissas!$C$41,Premissas!$C$42,1),0)</f>
        <v>0.62</v>
      </c>
      <c r="P133" s="16" t="n">
        <f aca="false">O133*Premissas!$C$38*Premissas!$C$40*(1+Premissas!$C$60)^((YEAR($A133)-YEAR(Premissas!$C$19))*12+MONTH($A133)-MONTH(Premissas!$C$19))</f>
        <v>6500.24510267965</v>
      </c>
      <c r="Q133" s="16" t="n">
        <f aca="false">P133*Premissas!$C$43</f>
        <v>1040.03921642874</v>
      </c>
      <c r="R133" s="16" t="n">
        <f aca="false">P133*Premissas!$C$44</f>
        <v>1300.04902053593</v>
      </c>
      <c r="S133" s="16" t="n">
        <f aca="false">IF($A133&gt;=Premissas!$C$25,Premissas!$C$45*(1+Premissas!$C$60)^((YEAR($A133)-YEAR(Premissas!$C$19))*12+MONTH($A133)-MONTH(Premissas!$C$19)),0)</f>
        <v>1139.59416246137</v>
      </c>
      <c r="T133" s="16" t="n">
        <f aca="false">IF($A133&gt;=Premissas!$C$27,Premissas!$C$46*(1+Premissas!$C$60)^((YEAR($A133)-YEAR(Premissas!$C$19))*12+MONTH($A133)-MONTH(Premissas!$C$19)),0)</f>
        <v>455.837664984548</v>
      </c>
      <c r="U133" s="16" t="n">
        <f aca="false">IF($A133&gt;=Premissas!$C$27,Premissas!$C$47*(1+Premissas!$C$60)^((YEAR($A133)-YEAR(Premissas!$C$19))*12+MONTH($A133)-MONTH(Premissas!$C$19)),0)</f>
        <v>227.918832492274</v>
      </c>
      <c r="V133" s="16" t="n">
        <f aca="false">IF($A133&gt;=Premissas!$C$27,MAX(0,P133-Q133-R133-S133)*Premissas!$C$49,0)</f>
        <v>830.654743394743</v>
      </c>
      <c r="W133" s="16" t="n">
        <f aca="false">P133-Q133-R133-S133-T133-U133-V133</f>
        <v>1506.15146238204</v>
      </c>
      <c r="X133" s="16" t="n">
        <f aca="false">W133-F133-G133-H133-M133</f>
        <v>-3393.34274813079</v>
      </c>
      <c r="Y133" s="16" t="n">
        <f aca="false">Y132+X133</f>
        <v>-707834.534354916</v>
      </c>
      <c r="Z133" s="16" t="n">
        <f aca="false">Premissas!$C$14*(1+Premissas!$C$57)^((YEAR(Premissas!$C$19)-YEAR(Premissas!$C$18))*12+MONTH(Premissas!$C$19)-MONTH(Premissas!$C$18))*(1+Premissas!$C$61)^((YEAR($A133)-YEAR(Premissas!$C$19))*12+MONTH($A133)-MONTH(Premissas!$C$19))</f>
        <v>804722.313795943</v>
      </c>
      <c r="AA133" s="16" t="n">
        <f aca="false">IF($A133&gt;=Premissas!$C$25,Z133*(1-Premissas!$C$53)-N133-Premissas!$C$54*MAX(0,Z133*(1-Premissas!$C$53)-(Premissas!$C$14*(1+Premissas!$C$57)^((YEAR(Premissas!$C$25)-YEAR(Premissas!$C$18))*12+MONTH(Premissas!$C$25)-MONTH(Premissas!$C$18))*(1+Premissas!$C$34))),"")</f>
        <v>675790.290327616</v>
      </c>
      <c r="AB133" s="16" t="n">
        <f aca="false">IF($A133&gt;=Premissas!$C$25,Y133+AA133,"")</f>
        <v>-32044.2440273004</v>
      </c>
      <c r="AC133" s="20" t="str">
        <f aca="false">IF(AND($A133&gt;=Premissas!$C$27,W133&gt;=M133),$A133,"")</f>
        <v/>
      </c>
      <c r="AD133" s="20" t="str">
        <f aca="false">IF(AND($A133&gt;=Premissas!$C$27,Y133&gt;=0),$A133,"")</f>
        <v/>
      </c>
      <c r="AE133" s="20" t="str">
        <f aca="false">IF(AND($A133&gt;=Premissas!$C$25,N(AB133)&gt;=0),$A133,"")</f>
        <v/>
      </c>
    </row>
    <row r="134" customFormat="false" ht="15" hidden="false" customHeight="false" outlineLevel="0" collapsed="false">
      <c r="A134" s="20" t="n">
        <f aca="false">DATE(YEAR(A133),MONTH(A133)+1,1)</f>
        <v>50314</v>
      </c>
      <c r="B134" s="5" t="str">
        <f aca="false">IF($A134&lt;Premissas!$C$25,"Obra",IF($A134=Premissas!$C$25,"Chaves",IF($A134&lt;Premissas!$C$27,"Mobiliando","Airbnb")))</f>
        <v>Airbnb</v>
      </c>
      <c r="C134" s="35" t="n">
        <f aca="false">(YEAR($A134)-YEAR(Premissas!$C$18))*12+MONTH($A134)-MONTH(Premissas!$C$18)</f>
        <v>133</v>
      </c>
      <c r="D134" s="16" t="n">
        <f aca="false">($A134=Premissas!$C$19)*Premissas!$C$8+(($A134=EDATE(Premissas!$C$19,1))+($A134=EDATE(Premissas!$C$19,2)))*Premissas!$C$9+AND($A134&gt;=Premissas!$C$20,$A134&lt;EDATE(Premissas!$C$20,Premissas!$C$21))*Premissas!$C$10+(($A134=Premissas!$C$22)+($A134=Premissas!$C$23)+($A134=Premissas!$C$24))*Premissas!$C$11+($A134=Premissas!$C$25)*Premissas!$C$12</f>
        <v>0</v>
      </c>
      <c r="E134" s="36" t="n">
        <f aca="false">(1+Premissas!$C$57)^C134</f>
        <v>1.81015081821247</v>
      </c>
      <c r="F134" s="16" t="n">
        <f aca="false">D134*E134</f>
        <v>0</v>
      </c>
      <c r="G134" s="16" t="n">
        <f aca="false">($A134=Premissas!$C$25)*Premissas!$C$34*Premissas!$C$14*(1+Premissas!$C$57)^C134</f>
        <v>0</v>
      </c>
      <c r="H134" s="16" t="n">
        <f aca="false">IF(AND($A134&gt;Premissas!$C$25,$A134&lt;Premissas!$C$27),Premissas!$C$35/MAX(1,Premissas!$C$26),0)</f>
        <v>0</v>
      </c>
      <c r="I134" s="35" t="n">
        <f aca="false">IF(AND($A134&gt;Premissas!$C$25,((YEAR($A134)-YEAR(Premissas!$C$25))*12+MONTH($A134)-MONTH(Premissas!$C$25))&lt;=Premissas!$C$32),((YEAR($A134)-YEAR(Premissas!$C$25))*12+MONTH($A134)-MONTH(Premissas!$C$25)),0)</f>
        <v>110</v>
      </c>
      <c r="J134" s="16" t="n">
        <f aca="false">IF(I134&gt;0,N133*(1+Premissas!$C$59),0)</f>
        <v>48543.4479632043</v>
      </c>
      <c r="K134" s="16" t="n">
        <f aca="false">J134*Premissas!$C$58</f>
        <v>460.618726053552</v>
      </c>
      <c r="L134" s="16" t="n">
        <f aca="false">IF(I134&gt;0,J134/(Premissas!$C$32-I134+1),0)</f>
        <v>4413.04072392766</v>
      </c>
      <c r="M134" s="16" t="n">
        <f aca="false">K134+L134</f>
        <v>4873.65944998121</v>
      </c>
      <c r="N134" s="16" t="n">
        <f aca="false">IF($A134=Premissas!$C$25,Premissas!$C$13*E134,IF(I134&gt;0,J134-L134,0))</f>
        <v>44130.4072392766</v>
      </c>
      <c r="O134" s="37" t="n">
        <f aca="false">IF($A134&gt;=Premissas!$C$27,Premissas!$C$39*IF(((YEAR($A134)-YEAR(Premissas!$C$27))*12+MONTH($A134)-MONTH(Premissas!$C$27))&lt;Premissas!$C$41,Premissas!$C$42,1),0)</f>
        <v>0.62</v>
      </c>
      <c r="P134" s="16" t="n">
        <f aca="false">O134*Premissas!$C$38*Premissas!$C$40*(1+Premissas!$C$60)^((YEAR($A134)-YEAR(Premissas!$C$19))*12+MONTH($A134)-MONTH(Premissas!$C$19))</f>
        <v>6521.52521366634</v>
      </c>
      <c r="Q134" s="16" t="n">
        <f aca="false">P134*Premissas!$C$43</f>
        <v>1043.44403418661</v>
      </c>
      <c r="R134" s="16" t="n">
        <f aca="false">P134*Premissas!$C$44</f>
        <v>1304.30504273327</v>
      </c>
      <c r="S134" s="16" t="n">
        <f aca="false">IF($A134&gt;=Premissas!$C$25,Premissas!$C$45*(1+Premissas!$C$60)^((YEAR($A134)-YEAR(Premissas!$C$19))*12+MONTH($A134)-MONTH(Premissas!$C$19)),0)</f>
        <v>1143.32489720658</v>
      </c>
      <c r="T134" s="16" t="n">
        <f aca="false">IF($A134&gt;=Premissas!$C$27,Premissas!$C$46*(1+Premissas!$C$60)^((YEAR($A134)-YEAR(Premissas!$C$19))*12+MONTH($A134)-MONTH(Premissas!$C$19)),0)</f>
        <v>457.329958882633</v>
      </c>
      <c r="U134" s="16" t="n">
        <f aca="false">IF($A134&gt;=Premissas!$C$27,Premissas!$C$47*(1+Premissas!$C$60)^((YEAR($A134)-YEAR(Premissas!$C$19))*12+MONTH($A134)-MONTH(Premissas!$C$19)),0)</f>
        <v>228.664979441316</v>
      </c>
      <c r="V134" s="16" t="n">
        <f aca="false">IF($A134&gt;=Premissas!$C$27,MAX(0,P134-Q134-R134-S134)*Premissas!$C$49,0)</f>
        <v>833.374090873466</v>
      </c>
      <c r="W134" s="16" t="n">
        <f aca="false">P134-Q134-R134-S134-T134-U134-V134</f>
        <v>1511.08221034246</v>
      </c>
      <c r="X134" s="16" t="n">
        <f aca="false">W134-F134-G134-H134-M134</f>
        <v>-3362.57723963875</v>
      </c>
      <c r="Y134" s="16" t="n">
        <f aca="false">Y133+X134</f>
        <v>-711197.111594555</v>
      </c>
      <c r="Z134" s="16" t="n">
        <f aca="false">Premissas!$C$14*(1+Premissas!$C$57)^((YEAR(Premissas!$C$19)-YEAR(Premissas!$C$18))*12+MONTH(Premissas!$C$19)-MONTH(Premissas!$C$18))*(1+Premissas!$C$61)^((YEAR($A134)-YEAR(Premissas!$C$19))*12+MONTH($A134)-MONTH(Premissas!$C$19))</f>
        <v>808000.852113811</v>
      </c>
      <c r="AA134" s="16" t="n">
        <f aca="false">IF($A134&gt;=Premissas!$C$25,Z134*(1-Premissas!$C$53)-N134-Premissas!$C$54*MAX(0,Z134*(1-Premissas!$C$53)-(Premissas!$C$14*(1+Premissas!$C$57)^((YEAR(Premissas!$C$25)-YEAR(Premissas!$C$18))*12+MONTH(Premissas!$C$25)-MONTH(Premissas!$C$18))*(1+Premissas!$C$34))),"")</f>
        <v>682664.483111324</v>
      </c>
      <c r="AB134" s="16" t="n">
        <f aca="false">IF($A134&gt;=Premissas!$C$25,Y134+AA134,"")</f>
        <v>-28532.6284832313</v>
      </c>
      <c r="AC134" s="20" t="str">
        <f aca="false">IF(AND($A134&gt;=Premissas!$C$27,W134&gt;=M134),$A134,"")</f>
        <v/>
      </c>
      <c r="AD134" s="20" t="str">
        <f aca="false">IF(AND($A134&gt;=Premissas!$C$27,Y134&gt;=0),$A134,"")</f>
        <v/>
      </c>
      <c r="AE134" s="20" t="str">
        <f aca="false">IF(AND($A134&gt;=Premissas!$C$25,N(AB134)&gt;=0),$A134,"")</f>
        <v/>
      </c>
    </row>
    <row r="135" customFormat="false" ht="15" hidden="false" customHeight="false" outlineLevel="0" collapsed="false">
      <c r="A135" s="20" t="n">
        <f aca="false">DATE(YEAR(A134),MONTH(A134)+1,1)</f>
        <v>50345</v>
      </c>
      <c r="B135" s="5" t="str">
        <f aca="false">IF($A135&lt;Premissas!$C$25,"Obra",IF($A135=Premissas!$C$25,"Chaves",IF($A135&lt;Premissas!$C$27,"Mobiliando","Airbnb")))</f>
        <v>Airbnb</v>
      </c>
      <c r="C135" s="35" t="n">
        <f aca="false">(YEAR($A135)-YEAR(Premissas!$C$18))*12+MONTH($A135)-MONTH(Premissas!$C$18)</f>
        <v>134</v>
      </c>
      <c r="D135" s="16" t="n">
        <f aca="false">($A135=Premissas!$C$19)*Premissas!$C$8+(($A135=EDATE(Premissas!$C$19,1))+($A135=EDATE(Premissas!$C$19,2)))*Premissas!$C$9+AND($A135&gt;=Premissas!$C$20,$A135&lt;EDATE(Premissas!$C$20,Premissas!$C$21))*Premissas!$C$10+(($A135=Premissas!$C$22)+($A135=Premissas!$C$23)+($A135=Premissas!$C$24))*Premissas!$C$11+($A135=Premissas!$C$25)*Premissas!$C$12</f>
        <v>0</v>
      </c>
      <c r="E135" s="36" t="n">
        <f aca="false">(1+Premissas!$C$57)^C135</f>
        <v>1.81824526766595</v>
      </c>
      <c r="F135" s="16" t="n">
        <f aca="false">D135*E135</f>
        <v>0</v>
      </c>
      <c r="G135" s="16" t="n">
        <f aca="false">($A135=Premissas!$C$25)*Premissas!$C$34*Premissas!$C$14*(1+Premissas!$C$57)^C135</f>
        <v>0</v>
      </c>
      <c r="H135" s="16" t="n">
        <f aca="false">IF(AND($A135&gt;Premissas!$C$25,$A135&lt;Premissas!$C$27),Premissas!$C$35/MAX(1,Premissas!$C$26),0)</f>
        <v>0</v>
      </c>
      <c r="I135" s="35" t="n">
        <f aca="false">IF(AND($A135&gt;Premissas!$C$25,((YEAR($A135)-YEAR(Premissas!$C$25))*12+MONTH($A135)-MONTH(Premissas!$C$25))&lt;=Premissas!$C$32),((YEAR($A135)-YEAR(Premissas!$C$25))*12+MONTH($A135)-MONTH(Premissas!$C$25)),0)</f>
        <v>111</v>
      </c>
      <c r="J135" s="16" t="n">
        <f aca="false">IF(I135&gt;0,N134*(1+Premissas!$C$59),0)</f>
        <v>44274.8787090605</v>
      </c>
      <c r="K135" s="16" t="n">
        <f aca="false">J135*Premissas!$C$58</f>
        <v>420.115156274054</v>
      </c>
      <c r="L135" s="16" t="n">
        <f aca="false">IF(I135&gt;0,J135/(Premissas!$C$32-I135+1),0)</f>
        <v>4427.48787090605</v>
      </c>
      <c r="M135" s="16" t="n">
        <f aca="false">K135+L135</f>
        <v>4847.6030271801</v>
      </c>
      <c r="N135" s="16" t="n">
        <f aca="false">IF($A135=Premissas!$C$25,Premissas!$C$13*E135,IF(I135&gt;0,J135-L135,0))</f>
        <v>39847.3908381544</v>
      </c>
      <c r="O135" s="37" t="n">
        <f aca="false">IF($A135&gt;=Premissas!$C$27,Premissas!$C$39*IF(((YEAR($A135)-YEAR(Premissas!$C$27))*12+MONTH($A135)-MONTH(Premissas!$C$27))&lt;Premissas!$C$41,Premissas!$C$42,1),0)</f>
        <v>0.62</v>
      </c>
      <c r="P135" s="16" t="n">
        <f aca="false">O135*Premissas!$C$38*Premissas!$C$40*(1+Premissas!$C$60)^((YEAR($A135)-YEAR(Premissas!$C$19))*12+MONTH($A135)-MONTH(Premissas!$C$19))</f>
        <v>6542.87499019893</v>
      </c>
      <c r="Q135" s="16" t="n">
        <f aca="false">P135*Premissas!$C$43</f>
        <v>1046.85999843183</v>
      </c>
      <c r="R135" s="16" t="n">
        <f aca="false">P135*Premissas!$C$44</f>
        <v>1308.57499803979</v>
      </c>
      <c r="S135" s="16" t="n">
        <f aca="false">IF($A135&gt;=Premissas!$C$25,Premissas!$C$45*(1+Premissas!$C$60)^((YEAR($A135)-YEAR(Premissas!$C$19))*12+MONTH($A135)-MONTH(Premissas!$C$19)),0)</f>
        <v>1147.06784540655</v>
      </c>
      <c r="T135" s="16" t="n">
        <f aca="false">IF($A135&gt;=Premissas!$C$27,Premissas!$C$46*(1+Premissas!$C$60)^((YEAR($A135)-YEAR(Premissas!$C$19))*12+MONTH($A135)-MONTH(Premissas!$C$19)),0)</f>
        <v>458.827138162618</v>
      </c>
      <c r="U135" s="16" t="n">
        <f aca="false">IF($A135&gt;=Premissas!$C$27,Premissas!$C$47*(1+Premissas!$C$60)^((YEAR($A135)-YEAR(Premissas!$C$19))*12+MONTH($A135)-MONTH(Premissas!$C$19)),0)</f>
        <v>229.413569081309</v>
      </c>
      <c r="V135" s="16" t="n">
        <f aca="false">IF($A135&gt;=Premissas!$C$27,MAX(0,P135-Q135-R135-S135)*Premissas!$C$49,0)</f>
        <v>836.102340788213</v>
      </c>
      <c r="W135" s="16" t="n">
        <f aca="false">P135-Q135-R135-S135-T135-U135-V135</f>
        <v>1516.02910028863</v>
      </c>
      <c r="X135" s="16" t="n">
        <f aca="false">W135-F135-G135-H135-M135</f>
        <v>-3331.57392689147</v>
      </c>
      <c r="Y135" s="16" t="n">
        <f aca="false">Y134+X135</f>
        <v>-714528.685521446</v>
      </c>
      <c r="Z135" s="16" t="n">
        <f aca="false">Premissas!$C$14*(1+Premissas!$C$57)^((YEAR(Premissas!$C$19)-YEAR(Premissas!$C$18))*12+MONTH(Premissas!$C$19)-MONTH(Premissas!$C$18))*(1+Premissas!$C$61)^((YEAR($A135)-YEAR(Premissas!$C$19))*12+MONTH($A135)-MONTH(Premissas!$C$19))</f>
        <v>811292.747602616</v>
      </c>
      <c r="AA135" s="16" t="n">
        <f aca="false">IF($A135&gt;=Premissas!$C$25,Z135*(1-Premissas!$C$53)-N135-Premissas!$C$54*MAX(0,Z135*(1-Premissas!$C$53)-(Premissas!$C$14*(1+Premissas!$C$57)^((YEAR(Premissas!$C$25)-YEAR(Premissas!$C$18))*12+MONTH(Premissas!$C$25)-MONTH(Premissas!$C$18))*(1+Premissas!$C$34))),"")</f>
        <v>689577.724008001</v>
      </c>
      <c r="AB135" s="16" t="n">
        <f aca="false">IF($A135&gt;=Premissas!$C$25,Y135+AA135,"")</f>
        <v>-24950.9615134454</v>
      </c>
      <c r="AC135" s="20" t="str">
        <f aca="false">IF(AND($A135&gt;=Premissas!$C$27,W135&gt;=M135),$A135,"")</f>
        <v/>
      </c>
      <c r="AD135" s="20" t="str">
        <f aca="false">IF(AND($A135&gt;=Premissas!$C$27,Y135&gt;=0),$A135,"")</f>
        <v/>
      </c>
      <c r="AE135" s="20" t="str">
        <f aca="false">IF(AND($A135&gt;=Premissas!$C$25,N(AB135)&gt;=0),$A135,"")</f>
        <v/>
      </c>
    </row>
    <row r="136" customFormat="false" ht="15" hidden="false" customHeight="false" outlineLevel="0" collapsed="false">
      <c r="A136" s="20" t="n">
        <f aca="false">DATE(YEAR(A135),MONTH(A135)+1,1)</f>
        <v>50375</v>
      </c>
      <c r="B136" s="5" t="str">
        <f aca="false">IF($A136&lt;Premissas!$C$25,"Obra",IF($A136=Premissas!$C$25,"Chaves",IF($A136&lt;Premissas!$C$27,"Mobiliando","Airbnb")))</f>
        <v>Airbnb</v>
      </c>
      <c r="C136" s="35" t="n">
        <f aca="false">(YEAR($A136)-YEAR(Premissas!$C$18))*12+MONTH($A136)-MONTH(Premissas!$C$18)</f>
        <v>135</v>
      </c>
      <c r="D136" s="16" t="n">
        <f aca="false">($A136=Premissas!$C$19)*Premissas!$C$8+(($A136=EDATE(Premissas!$C$19,1))+($A136=EDATE(Premissas!$C$19,2)))*Premissas!$C$9+AND($A136&gt;=Premissas!$C$20,$A136&lt;EDATE(Premissas!$C$20,Premissas!$C$21))*Premissas!$C$10+(($A136=Premissas!$C$22)+($A136=Premissas!$C$23)+($A136=Premissas!$C$24))*Premissas!$C$11+($A136=Premissas!$C$25)*Premissas!$C$12</f>
        <v>0</v>
      </c>
      <c r="E136" s="36" t="n">
        <f aca="false">(1+Premissas!$C$57)^C136</f>
        <v>1.82637591306029</v>
      </c>
      <c r="F136" s="16" t="n">
        <f aca="false">D136*E136</f>
        <v>0</v>
      </c>
      <c r="G136" s="16" t="n">
        <f aca="false">($A136=Premissas!$C$25)*Premissas!$C$34*Premissas!$C$14*(1+Premissas!$C$57)^C136</f>
        <v>0</v>
      </c>
      <c r="H136" s="16" t="n">
        <f aca="false">IF(AND($A136&gt;Premissas!$C$25,$A136&lt;Premissas!$C$27),Premissas!$C$35/MAX(1,Premissas!$C$26),0)</f>
        <v>0</v>
      </c>
      <c r="I136" s="35" t="n">
        <f aca="false">IF(AND($A136&gt;Premissas!$C$25,((YEAR($A136)-YEAR(Premissas!$C$25))*12+MONTH($A136)-MONTH(Premissas!$C$25))&lt;=Premissas!$C$32),((YEAR($A136)-YEAR(Premissas!$C$25))*12+MONTH($A136)-MONTH(Premissas!$C$25)),0)</f>
        <v>112</v>
      </c>
      <c r="J136" s="16" t="n">
        <f aca="false">IF(I136&gt;0,N135*(1+Premissas!$C$59),0)</f>
        <v>39977.8408267581</v>
      </c>
      <c r="K136" s="16" t="n">
        <f aca="false">J136*Premissas!$C$58</f>
        <v>379.341453576828</v>
      </c>
      <c r="L136" s="16" t="n">
        <f aca="false">IF(I136&gt;0,J136/(Premissas!$C$32-I136+1),0)</f>
        <v>4441.98231408423</v>
      </c>
      <c r="M136" s="16" t="n">
        <f aca="false">K136+L136</f>
        <v>4821.32376766106</v>
      </c>
      <c r="N136" s="16" t="n">
        <f aca="false">IF($A136=Premissas!$C$25,Premissas!$C$13*E136,IF(I136&gt;0,J136-L136,0))</f>
        <v>35535.8585126739</v>
      </c>
      <c r="O136" s="37" t="n">
        <f aca="false">IF($A136&gt;=Premissas!$C$27,Premissas!$C$39*IF(((YEAR($A136)-YEAR(Premissas!$C$27))*12+MONTH($A136)-MONTH(Premissas!$C$27))&lt;Premissas!$C$41,Premissas!$C$42,1),0)</f>
        <v>0.62</v>
      </c>
      <c r="P136" s="16" t="n">
        <f aca="false">O136*Premissas!$C$38*Premissas!$C$40*(1+Premissas!$C$60)^((YEAR($A136)-YEAR(Premissas!$C$19))*12+MONTH($A136)-MONTH(Premissas!$C$19))</f>
        <v>6564.2946603443</v>
      </c>
      <c r="Q136" s="16" t="n">
        <f aca="false">P136*Premissas!$C$43</f>
        <v>1050.28714565509</v>
      </c>
      <c r="R136" s="16" t="n">
        <f aca="false">P136*Premissas!$C$44</f>
        <v>1312.85893206886</v>
      </c>
      <c r="S136" s="16" t="n">
        <f aca="false">IF($A136&gt;=Premissas!$C$25,Premissas!$C$45*(1+Premissas!$C$60)^((YEAR($A136)-YEAR(Premissas!$C$19))*12+MONTH($A136)-MONTH(Premissas!$C$19)),0)</f>
        <v>1150.82304704493</v>
      </c>
      <c r="T136" s="16" t="n">
        <f aca="false">IF($A136&gt;=Premissas!$C$27,Premissas!$C$46*(1+Premissas!$C$60)^((YEAR($A136)-YEAR(Premissas!$C$19))*12+MONTH($A136)-MONTH(Premissas!$C$19)),0)</f>
        <v>460.329218817973</v>
      </c>
      <c r="U136" s="16" t="n">
        <f aca="false">IF($A136&gt;=Premissas!$C$27,Premissas!$C$47*(1+Premissas!$C$60)^((YEAR($A136)-YEAR(Premissas!$C$19))*12+MONTH($A136)-MONTH(Premissas!$C$19)),0)</f>
        <v>230.164609408987</v>
      </c>
      <c r="V136" s="16" t="n">
        <f aca="false">IF($A136&gt;=Premissas!$C$27,MAX(0,P136-Q136-R136-S136)*Premissas!$C$49,0)</f>
        <v>838.83952228324</v>
      </c>
      <c r="W136" s="16" t="n">
        <f aca="false">P136-Q136-R136-S136-T136-U136-V136</f>
        <v>1520.99218506522</v>
      </c>
      <c r="X136" s="16" t="n">
        <f aca="false">W136-F136-G136-H136-M136</f>
        <v>-3300.33158259584</v>
      </c>
      <c r="Y136" s="16" t="n">
        <f aca="false">Y135+X136</f>
        <v>-717829.017104042</v>
      </c>
      <c r="Z136" s="16" t="n">
        <f aca="false">Premissas!$C$14*(1+Premissas!$C$57)^((YEAR(Premissas!$C$19)-YEAR(Premissas!$C$18))*12+MONTH(Premissas!$C$19)-MONTH(Premissas!$C$18))*(1+Premissas!$C$61)^((YEAR($A136)-YEAR(Premissas!$C$19))*12+MONTH($A136)-MONTH(Premissas!$C$19))</f>
        <v>814598.054681125</v>
      </c>
      <c r="AA136" s="16" t="n">
        <f aca="false">IF($A136&gt;=Premissas!$C$25,Z136*(1-Premissas!$C$53)-N136-Premissas!$C$54*MAX(0,Z136*(1-Premissas!$C$53)-(Premissas!$C$14*(1+Premissas!$C$57)^((YEAR(Premissas!$C$25)-YEAR(Premissas!$C$18))*12+MONTH(Premissas!$C$25)-MONTH(Premissas!$C$18))*(1+Premissas!$C$34))),"")</f>
        <v>696530.19668921</v>
      </c>
      <c r="AB136" s="16" t="n">
        <f aca="false">IF($A136&gt;=Premissas!$C$25,Y136+AA136,"")</f>
        <v>-21298.8204148319</v>
      </c>
      <c r="AC136" s="20" t="str">
        <f aca="false">IF(AND($A136&gt;=Premissas!$C$27,W136&gt;=M136),$A136,"")</f>
        <v/>
      </c>
      <c r="AD136" s="20" t="str">
        <f aca="false">IF(AND($A136&gt;=Premissas!$C$27,Y136&gt;=0),$A136,"")</f>
        <v/>
      </c>
      <c r="AE136" s="20" t="str">
        <f aca="false">IF(AND($A136&gt;=Premissas!$C$25,N(AB136)&gt;=0),$A136,"")</f>
        <v/>
      </c>
    </row>
    <row r="137" customFormat="false" ht="15" hidden="false" customHeight="false" outlineLevel="0" collapsed="false">
      <c r="A137" s="29" t="n">
        <f aca="false">DATE(YEAR(A136),MONTH(A136)+1,1)</f>
        <v>50406</v>
      </c>
      <c r="B137" s="30" t="str">
        <f aca="false">IF($A137&lt;Premissas!$C$25,"Obra",IF($A137=Premissas!$C$25,"Chaves",IF($A137&lt;Premissas!$C$27,"Mobiliando","Airbnb")))</f>
        <v>Airbnb</v>
      </c>
      <c r="C137" s="31" t="n">
        <f aca="false">(YEAR($A137)-YEAR(Premissas!$C$18))*12+MONTH($A137)-MONTH(Premissas!$C$18)</f>
        <v>136</v>
      </c>
      <c r="D137" s="32" t="n">
        <f aca="false">($A137=Premissas!$C$19)*Premissas!$C$8+(($A137=EDATE(Premissas!$C$19,1))+($A137=EDATE(Premissas!$C$19,2)))*Premissas!$C$9+AND($A137&gt;=Premissas!$C$20,$A137&lt;EDATE(Premissas!$C$20,Premissas!$C$21))*Premissas!$C$10+(($A137=Premissas!$C$22)+($A137=Premissas!$C$23)+($A137=Premissas!$C$24))*Premissas!$C$11+($A137=Premissas!$C$25)*Premissas!$C$12</f>
        <v>0</v>
      </c>
      <c r="E137" s="33" t="n">
        <f aca="false">(1+Premissas!$C$57)^C137</f>
        <v>1.83454291625284</v>
      </c>
      <c r="F137" s="32" t="n">
        <f aca="false">D137*E137</f>
        <v>0</v>
      </c>
      <c r="G137" s="32" t="n">
        <f aca="false">($A137=Premissas!$C$25)*Premissas!$C$34*Premissas!$C$14*(1+Premissas!$C$57)^C137</f>
        <v>0</v>
      </c>
      <c r="H137" s="32" t="n">
        <f aca="false">IF(AND($A137&gt;Premissas!$C$25,$A137&lt;Premissas!$C$27),Premissas!$C$35/MAX(1,Premissas!$C$26),0)</f>
        <v>0</v>
      </c>
      <c r="I137" s="31" t="n">
        <f aca="false">IF(AND($A137&gt;Premissas!$C$25,((YEAR($A137)-YEAR(Premissas!$C$25))*12+MONTH($A137)-MONTH(Premissas!$C$25))&lt;=Premissas!$C$32),((YEAR($A137)-YEAR(Premissas!$C$25))*12+MONTH($A137)-MONTH(Premissas!$C$25)),0)</f>
        <v>113</v>
      </c>
      <c r="J137" s="32" t="n">
        <f aca="false">IF(I137&gt;0,N136*(1+Premissas!$C$59),0)</f>
        <v>35652.1936663814</v>
      </c>
      <c r="K137" s="32" t="n">
        <f aca="false">J137*Premissas!$C$58</f>
        <v>338.296283363946</v>
      </c>
      <c r="L137" s="32" t="n">
        <f aca="false">IF(I137&gt;0,J137/(Premissas!$C$32-I137+1),0)</f>
        <v>4456.52420829768</v>
      </c>
      <c r="M137" s="32" t="n">
        <f aca="false">K137+L137</f>
        <v>4794.82049166162</v>
      </c>
      <c r="N137" s="32" t="n">
        <f aca="false">IF($A137=Premissas!$C$25,Premissas!$C$13*E137,IF(I137&gt;0,J137-L137,0))</f>
        <v>31195.6694580837</v>
      </c>
      <c r="O137" s="34" t="n">
        <f aca="false">IF($A137&gt;=Premissas!$C$27,Premissas!$C$39*IF(((YEAR($A137)-YEAR(Premissas!$C$27))*12+MONTH($A137)-MONTH(Premissas!$C$27))&lt;Premissas!$C$41,Premissas!$C$42,1),0)</f>
        <v>0.62</v>
      </c>
      <c r="P137" s="32" t="n">
        <f aca="false">O137*Premissas!$C$38*Premissas!$C$40*(1+Premissas!$C$60)^((YEAR($A137)-YEAR(Premissas!$C$19))*12+MONTH($A137)-MONTH(Premissas!$C$19))</f>
        <v>6585.78445291595</v>
      </c>
      <c r="Q137" s="32" t="n">
        <f aca="false">P137*Premissas!$C$43</f>
        <v>1053.72551246655</v>
      </c>
      <c r="R137" s="32" t="n">
        <f aca="false">P137*Premissas!$C$44</f>
        <v>1317.15689058319</v>
      </c>
      <c r="S137" s="32" t="n">
        <f aca="false">IF($A137&gt;=Premissas!$C$25,Premissas!$C$45*(1+Premissas!$C$60)^((YEAR($A137)-YEAR(Premissas!$C$19))*12+MONTH($A137)-MONTH(Premissas!$C$19)),0)</f>
        <v>1154.59054223632</v>
      </c>
      <c r="T137" s="32" t="n">
        <f aca="false">IF($A137&gt;=Premissas!$C$27,Premissas!$C$46*(1+Premissas!$C$60)^((YEAR($A137)-YEAR(Premissas!$C$19))*12+MONTH($A137)-MONTH(Premissas!$C$19)),0)</f>
        <v>461.836216894526</v>
      </c>
      <c r="U137" s="32" t="n">
        <f aca="false">IF($A137&gt;=Premissas!$C$27,Premissas!$C$47*(1+Premissas!$C$60)^((YEAR($A137)-YEAR(Premissas!$C$19))*12+MONTH($A137)-MONTH(Premissas!$C$19)),0)</f>
        <v>230.918108447263</v>
      </c>
      <c r="V137" s="32" t="n">
        <f aca="false">IF($A137&gt;=Premissas!$C$27,MAX(0,P137-Q137-R137-S137)*Premissas!$C$49,0)</f>
        <v>841.58566459822</v>
      </c>
      <c r="W137" s="32" t="n">
        <f aca="false">P137-Q137-R137-S137-T137-U137-V137</f>
        <v>1525.97151768988</v>
      </c>
      <c r="X137" s="32" t="n">
        <f aca="false">W137-F137-G137-H137-M137</f>
        <v>-3268.84897397174</v>
      </c>
      <c r="Y137" s="32" t="n">
        <f aca="false">Y136+X137</f>
        <v>-721097.866078014</v>
      </c>
      <c r="Z137" s="32" t="n">
        <f aca="false">Premissas!$C$14*(1+Premissas!$C$57)^((YEAR(Premissas!$C$19)-YEAR(Premissas!$C$18))*12+MONTH(Premissas!$C$19)-MONTH(Premissas!$C$18))*(1+Premissas!$C$61)^((YEAR($A137)-YEAR(Premissas!$C$19))*12+MONTH($A137)-MONTH(Premissas!$C$19))</f>
        <v>817916.827989815</v>
      </c>
      <c r="AA137" s="32" t="n">
        <f aca="false">IF($A137&gt;=Premissas!$C$25,Z137*(1-Premissas!$C$53)-N137-Premissas!$C$54*MAX(0,Z137*(1-Premissas!$C$53)-(Premissas!$C$14*(1+Premissas!$C$57)^((YEAR(Premissas!$C$25)-YEAR(Premissas!$C$18))*12+MONTH(Premissas!$C$25)-MONTH(Premissas!$C$18))*(1+Premissas!$C$34))),"")</f>
        <v>703522.085617444</v>
      </c>
      <c r="AB137" s="32" t="n">
        <f aca="false">IF($A137&gt;=Premissas!$C$25,Y137+AA137,"")</f>
        <v>-17575.78046057</v>
      </c>
      <c r="AC137" s="29" t="str">
        <f aca="false">IF(AND($A137&gt;=Premissas!$C$27,W137&gt;=M137),$A137,"")</f>
        <v/>
      </c>
      <c r="AD137" s="29" t="str">
        <f aca="false">IF(AND($A137&gt;=Premissas!$C$27,Y137&gt;=0),$A137,"")</f>
        <v/>
      </c>
      <c r="AE137" s="29" t="str">
        <f aca="false">IF(AND($A137&gt;=Premissas!$C$25,N(AB137)&gt;=0),$A137,"")</f>
        <v/>
      </c>
    </row>
    <row r="138" customFormat="false" ht="15" hidden="false" customHeight="false" outlineLevel="0" collapsed="false">
      <c r="A138" s="20" t="n">
        <f aca="false">DATE(YEAR(A137),MONTH(A137)+1,1)</f>
        <v>50437</v>
      </c>
      <c r="B138" s="5" t="str">
        <f aca="false">IF($A138&lt;Premissas!$C$25,"Obra",IF($A138=Premissas!$C$25,"Chaves",IF($A138&lt;Premissas!$C$27,"Mobiliando","Airbnb")))</f>
        <v>Airbnb</v>
      </c>
      <c r="C138" s="35" t="n">
        <f aca="false">(YEAR($A138)-YEAR(Premissas!$C$18))*12+MONTH($A138)-MONTH(Premissas!$C$18)</f>
        <v>137</v>
      </c>
      <c r="D138" s="16" t="n">
        <f aca="false">($A138=Premissas!$C$19)*Premissas!$C$8+(($A138=EDATE(Premissas!$C$19,1))+($A138=EDATE(Premissas!$C$19,2)))*Premissas!$C$9+AND($A138&gt;=Premissas!$C$20,$A138&lt;EDATE(Premissas!$C$20,Premissas!$C$21))*Premissas!$C$10+(($A138=Premissas!$C$22)+($A138=Premissas!$C$23)+($A138=Premissas!$C$24))*Premissas!$C$11+($A138=Premissas!$C$25)*Premissas!$C$12</f>
        <v>0</v>
      </c>
      <c r="E138" s="36" t="n">
        <f aca="false">(1+Premissas!$C$57)^C138</f>
        <v>1.84274643982472</v>
      </c>
      <c r="F138" s="16" t="n">
        <f aca="false">D138*E138</f>
        <v>0</v>
      </c>
      <c r="G138" s="16" t="n">
        <f aca="false">($A138=Premissas!$C$25)*Premissas!$C$34*Premissas!$C$14*(1+Premissas!$C$57)^C138</f>
        <v>0</v>
      </c>
      <c r="H138" s="16" t="n">
        <f aca="false">IF(AND($A138&gt;Premissas!$C$25,$A138&lt;Premissas!$C$27),Premissas!$C$35/MAX(1,Premissas!$C$26),0)</f>
        <v>0</v>
      </c>
      <c r="I138" s="35" t="n">
        <f aca="false">IF(AND($A138&gt;Premissas!$C$25,((YEAR($A138)-YEAR(Premissas!$C$25))*12+MONTH($A138)-MONTH(Premissas!$C$25))&lt;=Premissas!$C$32),((YEAR($A138)-YEAR(Premissas!$C$25))*12+MONTH($A138)-MONTH(Premissas!$C$25)),0)</f>
        <v>114</v>
      </c>
      <c r="J138" s="16" t="n">
        <f aca="false">IF(I138&gt;0,N137*(1+Premissas!$C$59),0)</f>
        <v>31297.795962221</v>
      </c>
      <c r="K138" s="16" t="n">
        <f aca="false">J138*Premissas!$C$58</f>
        <v>296.978305194344</v>
      </c>
      <c r="L138" s="16" t="n">
        <f aca="false">IF(I138&gt;0,J138/(Premissas!$C$32-I138+1),0)</f>
        <v>4471.11370888871</v>
      </c>
      <c r="M138" s="16" t="n">
        <f aca="false">K138+L138</f>
        <v>4768.09201408306</v>
      </c>
      <c r="N138" s="16" t="n">
        <f aca="false">IF($A138=Premissas!$C$25,Premissas!$C$13*E138,IF(I138&gt;0,J138-L138,0))</f>
        <v>26826.6822533323</v>
      </c>
      <c r="O138" s="37" t="n">
        <f aca="false">IF($A138&gt;=Premissas!$C$27,Premissas!$C$39*IF(((YEAR($A138)-YEAR(Premissas!$C$27))*12+MONTH($A138)-MONTH(Premissas!$C$27))&lt;Premissas!$C$41,Premissas!$C$42,1),0)</f>
        <v>0.62</v>
      </c>
      <c r="P138" s="16" t="n">
        <f aca="false">O138*Premissas!$C$38*Premissas!$C$40*(1+Premissas!$C$60)^((YEAR($A138)-YEAR(Premissas!$C$19))*12+MONTH($A138)-MONTH(Premissas!$C$19))</f>
        <v>6607.34459747644</v>
      </c>
      <c r="Q138" s="16" t="n">
        <f aca="false">P138*Premissas!$C$43</f>
        <v>1057.17513559623</v>
      </c>
      <c r="R138" s="16" t="n">
        <f aca="false">P138*Premissas!$C$44</f>
        <v>1321.46891949529</v>
      </c>
      <c r="S138" s="16" t="n">
        <f aca="false">IF($A138&gt;=Premissas!$C$25,Premissas!$C$45*(1+Premissas!$C$60)^((YEAR($A138)-YEAR(Premissas!$C$19))*12+MONTH($A138)-MONTH(Premissas!$C$19)),0)</f>
        <v>1158.37037122659</v>
      </c>
      <c r="T138" s="16" t="n">
        <f aca="false">IF($A138&gt;=Premissas!$C$27,Premissas!$C$46*(1+Premissas!$C$60)^((YEAR($A138)-YEAR(Premissas!$C$19))*12+MONTH($A138)-MONTH(Premissas!$C$19)),0)</f>
        <v>463.348148490634</v>
      </c>
      <c r="U138" s="16" t="n">
        <f aca="false">IF($A138&gt;=Premissas!$C$27,Premissas!$C$47*(1+Premissas!$C$60)^((YEAR($A138)-YEAR(Premissas!$C$19))*12+MONTH($A138)-MONTH(Premissas!$C$19)),0)</f>
        <v>231.674074245317</v>
      </c>
      <c r="V138" s="16" t="n">
        <f aca="false">IF($A138&gt;=Premissas!$C$27,MAX(0,P138-Q138-R138-S138)*Premissas!$C$49,0)</f>
        <v>844.340797068544</v>
      </c>
      <c r="W138" s="16" t="n">
        <f aca="false">P138-Q138-R138-S138-T138-U138-V138</f>
        <v>1530.96715135384</v>
      </c>
      <c r="X138" s="16" t="n">
        <f aca="false">W138-F138-G138-H138-M138</f>
        <v>-3237.12486272921</v>
      </c>
      <c r="Y138" s="16" t="n">
        <f aca="false">Y137+X138</f>
        <v>-724334.990940743</v>
      </c>
      <c r="Z138" s="16" t="n">
        <f aca="false">Premissas!$C$14*(1+Premissas!$C$57)^((YEAR(Premissas!$C$19)-YEAR(Premissas!$C$18))*12+MONTH(Premissas!$C$19)-MONTH(Premissas!$C$18))*(1+Premissas!$C$61)^((YEAR($A138)-YEAR(Premissas!$C$19))*12+MONTH($A138)-MONTH(Premissas!$C$19))</f>
        <v>821249.122391775</v>
      </c>
      <c r="AA138" s="16" t="n">
        <f aca="false">IF($A138&gt;=Premissas!$C$25,Z138*(1-Premissas!$C$53)-N138-Premissas!$C$54*MAX(0,Z138*(1-Premissas!$C$53)-(Premissas!$C$14*(1+Premissas!$C$57)^((YEAR(Premissas!$C$25)-YEAR(Premissas!$C$18))*12+MONTH(Premissas!$C$25)-MONTH(Premissas!$C$18))*(1+Premissas!$C$34))),"")</f>
        <v>710553.576049361</v>
      </c>
      <c r="AB138" s="16" t="n">
        <f aca="false">IF($A138&gt;=Premissas!$C$25,Y138+AA138,"")</f>
        <v>-13781.4148913821</v>
      </c>
      <c r="AC138" s="20" t="str">
        <f aca="false">IF(AND($A138&gt;=Premissas!$C$27,W138&gt;=M138),$A138,"")</f>
        <v/>
      </c>
      <c r="AD138" s="20" t="str">
        <f aca="false">IF(AND($A138&gt;=Premissas!$C$27,Y138&gt;=0),$A138,"")</f>
        <v/>
      </c>
      <c r="AE138" s="20" t="str">
        <f aca="false">IF(AND($A138&gt;=Premissas!$C$25,N(AB138)&gt;=0),$A138,"")</f>
        <v/>
      </c>
    </row>
    <row r="139" customFormat="false" ht="15" hidden="false" customHeight="false" outlineLevel="0" collapsed="false">
      <c r="A139" s="20" t="n">
        <f aca="false">DATE(YEAR(A138),MONTH(A138)+1,1)</f>
        <v>50465</v>
      </c>
      <c r="B139" s="5" t="str">
        <f aca="false">IF($A139&lt;Premissas!$C$25,"Obra",IF($A139=Premissas!$C$25,"Chaves",IF($A139&lt;Premissas!$C$27,"Mobiliando","Airbnb")))</f>
        <v>Airbnb</v>
      </c>
      <c r="C139" s="35" t="n">
        <f aca="false">(YEAR($A139)-YEAR(Premissas!$C$18))*12+MONTH($A139)-MONTH(Premissas!$C$18)</f>
        <v>138</v>
      </c>
      <c r="D139" s="16" t="n">
        <f aca="false">($A139=Premissas!$C$19)*Premissas!$C$8+(($A139=EDATE(Premissas!$C$19,1))+($A139=EDATE(Premissas!$C$19,2)))*Premissas!$C$9+AND($A139&gt;=Premissas!$C$20,$A139&lt;EDATE(Premissas!$C$20,Premissas!$C$21))*Premissas!$C$10+(($A139=Premissas!$C$22)+($A139=Premissas!$C$23)+($A139=Premissas!$C$24))*Premissas!$C$11+($A139=Premissas!$C$25)*Premissas!$C$12</f>
        <v>0</v>
      </c>
      <c r="E139" s="36" t="n">
        <f aca="false">(1+Premissas!$C$57)^C139</f>
        <v>1.85098664708406</v>
      </c>
      <c r="F139" s="16" t="n">
        <f aca="false">D139*E139</f>
        <v>0</v>
      </c>
      <c r="G139" s="16" t="n">
        <f aca="false">($A139=Premissas!$C$25)*Premissas!$C$34*Premissas!$C$14*(1+Premissas!$C$57)^C139</f>
        <v>0</v>
      </c>
      <c r="H139" s="16" t="n">
        <f aca="false">IF(AND($A139&gt;Premissas!$C$25,$A139&lt;Premissas!$C$27),Premissas!$C$35/MAX(1,Premissas!$C$26),0)</f>
        <v>0</v>
      </c>
      <c r="I139" s="35" t="n">
        <f aca="false">IF(AND($A139&gt;Premissas!$C$25,((YEAR($A139)-YEAR(Premissas!$C$25))*12+MONTH($A139)-MONTH(Premissas!$C$25))&lt;=Premissas!$C$32),((YEAR($A139)-YEAR(Premissas!$C$25))*12+MONTH($A139)-MONTH(Premissas!$C$25)),0)</f>
        <v>115</v>
      </c>
      <c r="J139" s="16" t="n">
        <f aca="false">IF(I139&gt;0,N138*(1+Premissas!$C$59),0)</f>
        <v>26914.5058302494</v>
      </c>
      <c r="K139" s="16" t="n">
        <f aca="false">J139*Premissas!$C$58</f>
        <v>255.386172759865</v>
      </c>
      <c r="L139" s="16" t="n">
        <f aca="false">IF(I139&gt;0,J139/(Premissas!$C$32-I139+1),0)</f>
        <v>4485.75097170824</v>
      </c>
      <c r="M139" s="16" t="n">
        <f aca="false">K139+L139</f>
        <v>4741.1371444681</v>
      </c>
      <c r="N139" s="16" t="n">
        <f aca="false">IF($A139=Premissas!$C$25,Premissas!$C$13*E139,IF(I139&gt;0,J139-L139,0))</f>
        <v>22428.7548585412</v>
      </c>
      <c r="O139" s="37" t="n">
        <f aca="false">IF($A139&gt;=Premissas!$C$27,Premissas!$C$39*IF(((YEAR($A139)-YEAR(Premissas!$C$27))*12+MONTH($A139)-MONTH(Premissas!$C$27))&lt;Premissas!$C$41,Premissas!$C$42,1),0)</f>
        <v>0.62</v>
      </c>
      <c r="P139" s="16" t="n">
        <f aca="false">O139*Premissas!$C$38*Premissas!$C$40*(1+Premissas!$C$60)^((YEAR($A139)-YEAR(Premissas!$C$19))*12+MONTH($A139)-MONTH(Premissas!$C$19))</f>
        <v>6628.9753243399</v>
      </c>
      <c r="Q139" s="16" t="n">
        <f aca="false">P139*Premissas!$C$43</f>
        <v>1060.63605189438</v>
      </c>
      <c r="R139" s="16" t="n">
        <f aca="false">P139*Premissas!$C$44</f>
        <v>1325.79506486798</v>
      </c>
      <c r="S139" s="16" t="n">
        <f aca="false">IF($A139&gt;=Premissas!$C$25,Premissas!$C$45*(1+Premissas!$C$60)^((YEAR($A139)-YEAR(Premissas!$C$19))*12+MONTH($A139)-MONTH(Premissas!$C$19)),0)</f>
        <v>1162.16257439339</v>
      </c>
      <c r="T139" s="16" t="n">
        <f aca="false">IF($A139&gt;=Premissas!$C$27,Premissas!$C$46*(1+Premissas!$C$60)^((YEAR($A139)-YEAR(Premissas!$C$19))*12+MONTH($A139)-MONTH(Premissas!$C$19)),0)</f>
        <v>464.865029757356</v>
      </c>
      <c r="U139" s="16" t="n">
        <f aca="false">IF($A139&gt;=Premissas!$C$27,Premissas!$C$47*(1+Premissas!$C$60)^((YEAR($A139)-YEAR(Premissas!$C$19))*12+MONTH($A139)-MONTH(Premissas!$C$19)),0)</f>
        <v>232.432514878678</v>
      </c>
      <c r="V139" s="16" t="n">
        <f aca="false">IF($A139&gt;=Premissas!$C$27,MAX(0,P139-Q139-R139-S139)*Premissas!$C$49,0)</f>
        <v>847.10494912564</v>
      </c>
      <c r="W139" s="16" t="n">
        <f aca="false">P139-Q139-R139-S139-T139-U139-V139</f>
        <v>1535.97913942247</v>
      </c>
      <c r="X139" s="16" t="n">
        <f aca="false">W139-F139-G139-H139-M139</f>
        <v>-3205.15800504563</v>
      </c>
      <c r="Y139" s="16" t="n">
        <f aca="false">Y138+X139</f>
        <v>-727540.148945789</v>
      </c>
      <c r="Z139" s="16" t="n">
        <f aca="false">Premissas!$C$14*(1+Premissas!$C$57)^((YEAR(Premissas!$C$19)-YEAR(Premissas!$C$18))*12+MONTH(Premissas!$C$19)-MONTH(Premissas!$C$18))*(1+Premissas!$C$61)^((YEAR($A139)-YEAR(Premissas!$C$19))*12+MONTH($A139)-MONTH(Premissas!$C$19))</f>
        <v>824594.992973612</v>
      </c>
      <c r="AA139" s="16" t="n">
        <f aca="false">IF($A139&gt;=Premissas!$C$25,Z139*(1-Premissas!$C$53)-N139-Premissas!$C$54*MAX(0,Z139*(1-Premissas!$C$53)-(Premissas!$C$14*(1+Premissas!$C$57)^((YEAR(Premissas!$C$25)-YEAR(Premissas!$C$18))*12+MONTH(Premissas!$C$25)-MONTH(Premissas!$C$18))*(1+Premissas!$C$34))),"")</f>
        <v>717624.85403904</v>
      </c>
      <c r="AB139" s="16" t="n">
        <f aca="false">IF($A139&gt;=Premissas!$C$25,Y139+AA139,"")</f>
        <v>-9915.29490674916</v>
      </c>
      <c r="AC139" s="20" t="str">
        <f aca="false">IF(AND($A139&gt;=Premissas!$C$27,W139&gt;=M139),$A139,"")</f>
        <v/>
      </c>
      <c r="AD139" s="20" t="str">
        <f aca="false">IF(AND($A139&gt;=Premissas!$C$27,Y139&gt;=0),$A139,"")</f>
        <v/>
      </c>
      <c r="AE139" s="20" t="str">
        <f aca="false">IF(AND($A139&gt;=Premissas!$C$25,N(AB139)&gt;=0),$A139,"")</f>
        <v/>
      </c>
    </row>
    <row r="140" customFormat="false" ht="15" hidden="false" customHeight="false" outlineLevel="0" collapsed="false">
      <c r="A140" s="20" t="n">
        <f aca="false">DATE(YEAR(A139),MONTH(A139)+1,1)</f>
        <v>50496</v>
      </c>
      <c r="B140" s="5" t="str">
        <f aca="false">IF($A140&lt;Premissas!$C$25,"Obra",IF($A140=Premissas!$C$25,"Chaves",IF($A140&lt;Premissas!$C$27,"Mobiliando","Airbnb")))</f>
        <v>Airbnb</v>
      </c>
      <c r="C140" s="35" t="n">
        <f aca="false">(YEAR($A140)-YEAR(Premissas!$C$18))*12+MONTH($A140)-MONTH(Premissas!$C$18)</f>
        <v>139</v>
      </c>
      <c r="D140" s="16" t="n">
        <f aca="false">($A140=Premissas!$C$19)*Premissas!$C$8+(($A140=EDATE(Premissas!$C$19,1))+($A140=EDATE(Premissas!$C$19,2)))*Premissas!$C$9+AND($A140&gt;=Premissas!$C$20,$A140&lt;EDATE(Premissas!$C$20,Premissas!$C$21))*Premissas!$C$10+(($A140=Premissas!$C$22)+($A140=Premissas!$C$23)+($A140=Premissas!$C$24))*Premissas!$C$11+($A140=Premissas!$C$25)*Premissas!$C$12</f>
        <v>0</v>
      </c>
      <c r="E140" s="36" t="n">
        <f aca="false">(1+Premissas!$C$57)^C140</f>
        <v>1.85926370206929</v>
      </c>
      <c r="F140" s="16" t="n">
        <f aca="false">D140*E140</f>
        <v>0</v>
      </c>
      <c r="G140" s="16" t="n">
        <f aca="false">($A140=Premissas!$C$25)*Premissas!$C$34*Premissas!$C$14*(1+Premissas!$C$57)^C140</f>
        <v>0</v>
      </c>
      <c r="H140" s="16" t="n">
        <f aca="false">IF(AND($A140&gt;Premissas!$C$25,$A140&lt;Premissas!$C$27),Premissas!$C$35/MAX(1,Premissas!$C$26),0)</f>
        <v>0</v>
      </c>
      <c r="I140" s="35" t="n">
        <f aca="false">IF(AND($A140&gt;Premissas!$C$25,((YEAR($A140)-YEAR(Premissas!$C$25))*12+MONTH($A140)-MONTH(Premissas!$C$25))&lt;=Premissas!$C$32),((YEAR($A140)-YEAR(Premissas!$C$25))*12+MONTH($A140)-MONTH(Premissas!$C$25)),0)</f>
        <v>116</v>
      </c>
      <c r="J140" s="16" t="n">
        <f aca="false">IF(I140&gt;0,N139*(1+Premissas!$C$59),0)</f>
        <v>22502.1807655868</v>
      </c>
      <c r="K140" s="16" t="n">
        <f aca="false">J140*Premissas!$C$58</f>
        <v>213.51853386121</v>
      </c>
      <c r="L140" s="16" t="n">
        <f aca="false">IF(I140&gt;0,J140/(Premissas!$C$32-I140+1),0)</f>
        <v>4500.43615311735</v>
      </c>
      <c r="M140" s="16" t="n">
        <f aca="false">K140+L140</f>
        <v>4713.95468697856</v>
      </c>
      <c r="N140" s="16" t="n">
        <f aca="false">IF($A140=Premissas!$C$25,Premissas!$C$13*E140,IF(I140&gt;0,J140-L140,0))</f>
        <v>18001.7446124694</v>
      </c>
      <c r="O140" s="37" t="n">
        <f aca="false">IF($A140&gt;=Premissas!$C$27,Premissas!$C$39*IF(((YEAR($A140)-YEAR(Premissas!$C$27))*12+MONTH($A140)-MONTH(Premissas!$C$27))&lt;Premissas!$C$41,Premissas!$C$42,1),0)</f>
        <v>0.62</v>
      </c>
      <c r="P140" s="16" t="n">
        <f aca="false">O140*Premissas!$C$38*Premissas!$C$40*(1+Premissas!$C$60)^((YEAR($A140)-YEAR(Premissas!$C$19))*12+MONTH($A140)-MONTH(Premissas!$C$19))</f>
        <v>6650.67686457441</v>
      </c>
      <c r="Q140" s="16" t="n">
        <f aca="false">P140*Premissas!$C$43</f>
        <v>1064.10829833191</v>
      </c>
      <c r="R140" s="16" t="n">
        <f aca="false">P140*Premissas!$C$44</f>
        <v>1330.13537291488</v>
      </c>
      <c r="S140" s="16" t="n">
        <f aca="false">IF($A140&gt;=Premissas!$C$25,Premissas!$C$45*(1+Premissas!$C$60)^((YEAR($A140)-YEAR(Premissas!$C$19))*12+MONTH($A140)-MONTH(Premissas!$C$19)),0)</f>
        <v>1165.96719224656</v>
      </c>
      <c r="T140" s="16" t="n">
        <f aca="false">IF($A140&gt;=Premissas!$C$27,Premissas!$C$46*(1+Premissas!$C$60)^((YEAR($A140)-YEAR(Premissas!$C$19))*12+MONTH($A140)-MONTH(Premissas!$C$19)),0)</f>
        <v>466.386876898626</v>
      </c>
      <c r="U140" s="16" t="n">
        <f aca="false">IF($A140&gt;=Premissas!$C$27,Premissas!$C$47*(1+Premissas!$C$60)^((YEAR($A140)-YEAR(Premissas!$C$19))*12+MONTH($A140)-MONTH(Premissas!$C$19)),0)</f>
        <v>233.193438449313</v>
      </c>
      <c r="V140" s="16" t="n">
        <f aca="false">IF($A140&gt;=Premissas!$C$27,MAX(0,P140-Q140-R140-S140)*Premissas!$C$49,0)</f>
        <v>849.87815029729</v>
      </c>
      <c r="W140" s="16" t="n">
        <f aca="false">P140-Q140-R140-S140-T140-U140-V140</f>
        <v>1541.00753543583</v>
      </c>
      <c r="X140" s="16" t="n">
        <f aca="false">W140-F140-G140-H140-M140</f>
        <v>-3172.94715154274</v>
      </c>
      <c r="Y140" s="16" t="n">
        <f aca="false">Y139+X140</f>
        <v>-730713.096097332</v>
      </c>
      <c r="Z140" s="16" t="n">
        <f aca="false">Premissas!$C$14*(1+Premissas!$C$57)^((YEAR(Premissas!$C$19)-YEAR(Premissas!$C$18))*12+MONTH(Premissas!$C$19)-MONTH(Premissas!$C$18))*(1+Premissas!$C$61)^((YEAR($A140)-YEAR(Premissas!$C$19))*12+MONTH($A140)-MONTH(Premissas!$C$19))</f>
        <v>827954.495046363</v>
      </c>
      <c r="AA140" s="16" t="n">
        <f aca="false">IF($A140&gt;=Premissas!$C$25,Z140*(1-Premissas!$C$53)-N140-Premissas!$C$54*MAX(0,Z140*(1-Premissas!$C$53)-(Premissas!$C$14*(1+Premissas!$C$57)^((YEAR(Premissas!$C$25)-YEAR(Premissas!$C$18))*12+MONTH(Premissas!$C$25)-MONTH(Premissas!$C$18))*(1+Premissas!$C$34))),"")</f>
        <v>724736.10644124</v>
      </c>
      <c r="AB140" s="16" t="n">
        <f aca="false">IF($A140&gt;=Premissas!$C$25,Y140+AA140,"")</f>
        <v>-5976.98965609202</v>
      </c>
      <c r="AC140" s="20" t="str">
        <f aca="false">IF(AND($A140&gt;=Premissas!$C$27,W140&gt;=M140),$A140,"")</f>
        <v/>
      </c>
      <c r="AD140" s="20" t="str">
        <f aca="false">IF(AND($A140&gt;=Premissas!$C$27,Y140&gt;=0),$A140,"")</f>
        <v/>
      </c>
      <c r="AE140" s="20" t="str">
        <f aca="false">IF(AND($A140&gt;=Premissas!$C$25,N(AB140)&gt;=0),$A140,"")</f>
        <v/>
      </c>
    </row>
    <row r="141" customFormat="false" ht="15" hidden="false" customHeight="false" outlineLevel="0" collapsed="false">
      <c r="A141" s="20" t="n">
        <f aca="false">DATE(YEAR(A140),MONTH(A140)+1,1)</f>
        <v>50526</v>
      </c>
      <c r="B141" s="5" t="str">
        <f aca="false">IF($A141&lt;Premissas!$C$25,"Obra",IF($A141=Premissas!$C$25,"Chaves",IF($A141&lt;Premissas!$C$27,"Mobiliando","Airbnb")))</f>
        <v>Airbnb</v>
      </c>
      <c r="C141" s="35" t="n">
        <f aca="false">(YEAR($A141)-YEAR(Premissas!$C$18))*12+MONTH($A141)-MONTH(Premissas!$C$18)</f>
        <v>140</v>
      </c>
      <c r="D141" s="16" t="n">
        <f aca="false">($A141=Premissas!$C$19)*Premissas!$C$8+(($A141=EDATE(Premissas!$C$19,1))+($A141=EDATE(Premissas!$C$19,2)))*Premissas!$C$9+AND($A141&gt;=Premissas!$C$20,$A141&lt;EDATE(Premissas!$C$20,Premissas!$C$21))*Premissas!$C$10+(($A141=Premissas!$C$22)+($A141=Premissas!$C$23)+($A141=Premissas!$C$24))*Premissas!$C$11+($A141=Premissas!$C$25)*Premissas!$C$12</f>
        <v>0</v>
      </c>
      <c r="E141" s="36" t="n">
        <f aca="false">(1+Premissas!$C$57)^C141</f>
        <v>1.86757776955233</v>
      </c>
      <c r="F141" s="16" t="n">
        <f aca="false">D141*E141</f>
        <v>0</v>
      </c>
      <c r="G141" s="16" t="n">
        <f aca="false">($A141=Premissas!$C$25)*Premissas!$C$34*Premissas!$C$14*(1+Premissas!$C$57)^C141</f>
        <v>0</v>
      </c>
      <c r="H141" s="16" t="n">
        <f aca="false">IF(AND($A141&gt;Premissas!$C$25,$A141&lt;Premissas!$C$27),Premissas!$C$35/MAX(1,Premissas!$C$26),0)</f>
        <v>0</v>
      </c>
      <c r="I141" s="35" t="n">
        <f aca="false">IF(AND($A141&gt;Premissas!$C$25,((YEAR($A141)-YEAR(Premissas!$C$25))*12+MONTH($A141)-MONTH(Premissas!$C$25))&lt;=Premissas!$C$32),((YEAR($A141)-YEAR(Premissas!$C$25))*12+MONTH($A141)-MONTH(Premissas!$C$25)),0)</f>
        <v>117</v>
      </c>
      <c r="J141" s="16" t="n">
        <f aca="false">IF(I141&gt;0,N140*(1+Premissas!$C$59),0)</f>
        <v>18060.6776399562</v>
      </c>
      <c r="K141" s="16" t="n">
        <f aca="false">J141*Premissas!$C$58</f>
        <v>171.374030383799</v>
      </c>
      <c r="L141" s="16" t="n">
        <f aca="false">IF(I141&gt;0,J141/(Premissas!$C$32-I141+1),0)</f>
        <v>4515.16940998906</v>
      </c>
      <c r="M141" s="16" t="n">
        <f aca="false">K141+L141</f>
        <v>4686.54344037286</v>
      </c>
      <c r="N141" s="16" t="n">
        <f aca="false">IF($A141=Premissas!$C$25,Premissas!$C$13*E141,IF(I141&gt;0,J141-L141,0))</f>
        <v>13545.5082299672</v>
      </c>
      <c r="O141" s="37" t="n">
        <f aca="false">IF($A141&gt;=Premissas!$C$27,Premissas!$C$39*IF(((YEAR($A141)-YEAR(Premissas!$C$27))*12+MONTH($A141)-MONTH(Premissas!$C$27))&lt;Premissas!$C$41,Premissas!$C$42,1),0)</f>
        <v>0.62</v>
      </c>
      <c r="P141" s="16" t="n">
        <f aca="false">O141*Premissas!$C$38*Premissas!$C$40*(1+Premissas!$C$60)^((YEAR($A141)-YEAR(Premissas!$C$19))*12+MONTH($A141)-MONTH(Premissas!$C$19))</f>
        <v>6672.44945000451</v>
      </c>
      <c r="Q141" s="16" t="n">
        <f aca="false">P141*Premissas!$C$43</f>
        <v>1067.59191200072</v>
      </c>
      <c r="R141" s="16" t="n">
        <f aca="false">P141*Premissas!$C$44</f>
        <v>1334.4898900009</v>
      </c>
      <c r="S141" s="16" t="n">
        <f aca="false">IF($A141&gt;=Premissas!$C$25,Premissas!$C$45*(1+Premissas!$C$60)^((YEAR($A141)-YEAR(Premissas!$C$19))*12+MONTH($A141)-MONTH(Premissas!$C$19)),0)</f>
        <v>1169.78426542856</v>
      </c>
      <c r="T141" s="16" t="n">
        <f aca="false">IF($A141&gt;=Premissas!$C$27,Premissas!$C$46*(1+Premissas!$C$60)^((YEAR($A141)-YEAR(Premissas!$C$19))*12+MONTH($A141)-MONTH(Premissas!$C$19)),0)</f>
        <v>467.913706171425</v>
      </c>
      <c r="U141" s="16" t="n">
        <f aca="false">IF($A141&gt;=Premissas!$C$27,Premissas!$C$47*(1+Premissas!$C$60)^((YEAR($A141)-YEAR(Premissas!$C$19))*12+MONTH($A141)-MONTH(Premissas!$C$19)),0)</f>
        <v>233.956853085712</v>
      </c>
      <c r="V141" s="16" t="n">
        <f aca="false">IF($A141&gt;=Premissas!$C$27,MAX(0,P141-Q141-R141-S141)*Premissas!$C$49,0)</f>
        <v>852.66043020794</v>
      </c>
      <c r="W141" s="16" t="n">
        <f aca="false">P141-Q141-R141-S141-T141-U141-V141</f>
        <v>1546.05239310925</v>
      </c>
      <c r="X141" s="16" t="n">
        <f aca="false">W141-F141-G141-H141-M141</f>
        <v>-3140.49104726361</v>
      </c>
      <c r="Y141" s="16" t="n">
        <f aca="false">Y140+X141</f>
        <v>-733853.587144595</v>
      </c>
      <c r="Z141" s="16" t="n">
        <f aca="false">Premissas!$C$14*(1+Premissas!$C$57)^((YEAR(Premissas!$C$19)-YEAR(Premissas!$C$18))*12+MONTH(Premissas!$C$19)-MONTH(Premissas!$C$18))*(1+Premissas!$C$61)^((YEAR($A141)-YEAR(Premissas!$C$19))*12+MONTH($A141)-MONTH(Premissas!$C$19))</f>
        <v>831327.68414641</v>
      </c>
      <c r="AA141" s="16" t="n">
        <f aca="false">IF($A141&gt;=Premissas!$C$25,Z141*(1-Premissas!$C$53)-N141-Premissas!$C$54*MAX(0,Z141*(1-Premissas!$C$53)-(Premissas!$C$14*(1+Premissas!$C$57)^((YEAR(Premissas!$C$25)-YEAR(Premissas!$C$18))*12+MONTH(Premissas!$C$25)-MONTH(Premissas!$C$18))*(1+Premissas!$C$34))),"")</f>
        <v>731887.520914679</v>
      </c>
      <c r="AB141" s="16" t="n">
        <f aca="false">IF($A141&gt;=Premissas!$C$25,Y141+AA141,"")</f>
        <v>-1966.06622991583</v>
      </c>
      <c r="AC141" s="20" t="str">
        <f aca="false">IF(AND($A141&gt;=Premissas!$C$27,W141&gt;=M141),$A141,"")</f>
        <v/>
      </c>
      <c r="AD141" s="20" t="str">
        <f aca="false">IF(AND($A141&gt;=Premissas!$C$27,Y141&gt;=0),$A141,"")</f>
        <v/>
      </c>
      <c r="AE141" s="20" t="str">
        <f aca="false">IF(AND($A141&gt;=Premissas!$C$25,N(AB141)&gt;=0),$A141,"")</f>
        <v/>
      </c>
    </row>
    <row r="142" customFormat="false" ht="15" hidden="false" customHeight="false" outlineLevel="0" collapsed="false">
      <c r="A142" s="20" t="n">
        <f aca="false">DATE(YEAR(A141),MONTH(A141)+1,1)</f>
        <v>50557</v>
      </c>
      <c r="B142" s="5" t="str">
        <f aca="false">IF($A142&lt;Premissas!$C$25,"Obra",IF($A142=Premissas!$C$25,"Chaves",IF($A142&lt;Premissas!$C$27,"Mobiliando","Airbnb")))</f>
        <v>Airbnb</v>
      </c>
      <c r="C142" s="35" t="n">
        <f aca="false">(YEAR($A142)-YEAR(Premissas!$C$18))*12+MONTH($A142)-MONTH(Premissas!$C$18)</f>
        <v>141</v>
      </c>
      <c r="D142" s="16" t="n">
        <f aca="false">($A142=Premissas!$C$19)*Premissas!$C$8+(($A142=EDATE(Premissas!$C$19,1))+($A142=EDATE(Premissas!$C$19,2)))*Premissas!$C$9+AND($A142&gt;=Premissas!$C$20,$A142&lt;EDATE(Premissas!$C$20,Premissas!$C$21))*Premissas!$C$10+(($A142=Premissas!$C$22)+($A142=Premissas!$C$23)+($A142=Premissas!$C$24))*Premissas!$C$11+($A142=Premissas!$C$25)*Premissas!$C$12</f>
        <v>0</v>
      </c>
      <c r="E142" s="36" t="n">
        <f aca="false">(1+Premissas!$C$57)^C142</f>
        <v>1.87592901504193</v>
      </c>
      <c r="F142" s="16" t="n">
        <f aca="false">D142*E142</f>
        <v>0</v>
      </c>
      <c r="G142" s="16" t="n">
        <f aca="false">($A142=Premissas!$C$25)*Premissas!$C$34*Premissas!$C$14*(1+Premissas!$C$57)^C142</f>
        <v>0</v>
      </c>
      <c r="H142" s="16" t="n">
        <f aca="false">IF(AND($A142&gt;Premissas!$C$25,$A142&lt;Premissas!$C$27),Premissas!$C$35/MAX(1,Premissas!$C$26),0)</f>
        <v>0</v>
      </c>
      <c r="I142" s="35" t="n">
        <f aca="false">IF(AND($A142&gt;Premissas!$C$25,((YEAR($A142)-YEAR(Premissas!$C$25))*12+MONTH($A142)-MONTH(Premissas!$C$25))&lt;=Premissas!$C$32),((YEAR($A142)-YEAR(Premissas!$C$25))*12+MONTH($A142)-MONTH(Premissas!$C$25)),0)</f>
        <v>118</v>
      </c>
      <c r="J142" s="16" t="n">
        <f aca="false">IF(I142&gt;0,N141*(1+Premissas!$C$59),0)</f>
        <v>13589.8526991297</v>
      </c>
      <c r="K142" s="16" t="n">
        <f aca="false">J142*Premissas!$C$58</f>
        <v>128.951298273527</v>
      </c>
      <c r="L142" s="16" t="n">
        <f aca="false">IF(I142&gt;0,J142/(Premissas!$C$32-I142+1),0)</f>
        <v>4529.95089970991</v>
      </c>
      <c r="M142" s="16" t="n">
        <f aca="false">K142+L142</f>
        <v>4658.90219798344</v>
      </c>
      <c r="N142" s="16" t="n">
        <f aca="false">IF($A142=Premissas!$C$25,Premissas!$C$13*E142,IF(I142&gt;0,J142-L142,0))</f>
        <v>9059.90179941982</v>
      </c>
      <c r="O142" s="37" t="n">
        <f aca="false">IF($A142&gt;=Premissas!$C$27,Premissas!$C$39*IF(((YEAR($A142)-YEAR(Premissas!$C$27))*12+MONTH($A142)-MONTH(Premissas!$C$27))&lt;Premissas!$C$41,Premissas!$C$42,1),0)</f>
        <v>0.62</v>
      </c>
      <c r="P142" s="16" t="n">
        <f aca="false">O142*Premissas!$C$38*Premissas!$C$40*(1+Premissas!$C$60)^((YEAR($A142)-YEAR(Premissas!$C$19))*12+MONTH($A142)-MONTH(Premissas!$C$19))</f>
        <v>6694.29331321371</v>
      </c>
      <c r="Q142" s="16" t="n">
        <f aca="false">P142*Premissas!$C$43</f>
        <v>1071.08693011419</v>
      </c>
      <c r="R142" s="16" t="n">
        <f aca="false">P142*Premissas!$C$44</f>
        <v>1338.85866264274</v>
      </c>
      <c r="S142" s="16" t="n">
        <f aca="false">IF($A142&gt;=Premissas!$C$25,Premissas!$C$45*(1+Premissas!$C$60)^((YEAR($A142)-YEAR(Premissas!$C$19))*12+MONTH($A142)-MONTH(Premissas!$C$19)),0)</f>
        <v>1173.61383471489</v>
      </c>
      <c r="T142" s="16" t="n">
        <f aca="false">IF($A142&gt;=Premissas!$C$27,Premissas!$C$46*(1+Premissas!$C$60)^((YEAR($A142)-YEAR(Premissas!$C$19))*12+MONTH($A142)-MONTH(Premissas!$C$19)),0)</f>
        <v>469.445533885954</v>
      </c>
      <c r="U142" s="16" t="n">
        <f aca="false">IF($A142&gt;=Premissas!$C$27,Premissas!$C$47*(1+Premissas!$C$60)^((YEAR($A142)-YEAR(Premissas!$C$19))*12+MONTH($A142)-MONTH(Premissas!$C$19)),0)</f>
        <v>234.722766942977</v>
      </c>
      <c r="V142" s="16" t="n">
        <f aca="false">IF($A142&gt;=Premissas!$C$27,MAX(0,P142-Q142-R142-S142)*Premissas!$C$49,0)</f>
        <v>855.451818579019</v>
      </c>
      <c r="W142" s="16" t="n">
        <f aca="false">P142-Q142-R142-S142-T142-U142-V142</f>
        <v>1551.11376633394</v>
      </c>
      <c r="X142" s="16" t="n">
        <f aca="false">W142-F142-G142-H142-M142</f>
        <v>-3107.7884316495</v>
      </c>
      <c r="Y142" s="16" t="n">
        <f aca="false">Y141+X142</f>
        <v>-736961.375576245</v>
      </c>
      <c r="Z142" s="16" t="n">
        <f aca="false">Premissas!$C$14*(1+Premissas!$C$57)^((YEAR(Premissas!$C$19)-YEAR(Premissas!$C$18))*12+MONTH(Premissas!$C$19)-MONTH(Premissas!$C$18))*(1+Premissas!$C$61)^((YEAR($A142)-YEAR(Premissas!$C$19))*12+MONTH($A142)-MONTH(Premissas!$C$19))</f>
        <v>834714.616036396</v>
      </c>
      <c r="AA142" s="16" t="n">
        <f aca="false">IF($A142&gt;=Premissas!$C$25,Z142*(1-Premissas!$C$53)-N142-Premissas!$C$54*MAX(0,Z142*(1-Premissas!$C$53)-(Premissas!$C$14*(1+Premissas!$C$57)^((YEAR(Premissas!$C$25)-YEAR(Premissas!$C$18))*12+MONTH(Premissas!$C$25)-MONTH(Premissas!$C$18))*(1+Premissas!$C$34))),"")</f>
        <v>739079.285925326</v>
      </c>
      <c r="AB142" s="16" t="n">
        <f aca="false">IF($A142&gt;=Premissas!$C$25,Y142+AA142,"")</f>
        <v>2117.91034908104</v>
      </c>
      <c r="AC142" s="20" t="str">
        <f aca="false">IF(AND($A142&gt;=Premissas!$C$27,W142&gt;=M142),$A142,"")</f>
        <v/>
      </c>
      <c r="AD142" s="20" t="str">
        <f aca="false">IF(AND($A142&gt;=Premissas!$C$27,Y142&gt;=0),$A142,"")</f>
        <v/>
      </c>
      <c r="AE142" s="20" t="n">
        <f aca="false">IF(AND($A142&gt;=Premissas!$C$25,N(AB142)&gt;=0),$A142,"")</f>
        <v>50557</v>
      </c>
    </row>
    <row r="143" customFormat="false" ht="15" hidden="false" customHeight="false" outlineLevel="0" collapsed="false">
      <c r="A143" s="20" t="n">
        <f aca="false">DATE(YEAR(A142),MONTH(A142)+1,1)</f>
        <v>50587</v>
      </c>
      <c r="B143" s="5" t="str">
        <f aca="false">IF($A143&lt;Premissas!$C$25,"Obra",IF($A143=Premissas!$C$25,"Chaves",IF($A143&lt;Premissas!$C$27,"Mobiliando","Airbnb")))</f>
        <v>Airbnb</v>
      </c>
      <c r="C143" s="35" t="n">
        <f aca="false">(YEAR($A143)-YEAR(Premissas!$C$18))*12+MONTH($A143)-MONTH(Premissas!$C$18)</f>
        <v>142</v>
      </c>
      <c r="D143" s="16" t="n">
        <f aca="false">($A143=Premissas!$C$19)*Premissas!$C$8+(($A143=EDATE(Premissas!$C$19,1))+($A143=EDATE(Premissas!$C$19,2)))*Premissas!$C$9+AND($A143&gt;=Premissas!$C$20,$A143&lt;EDATE(Premissas!$C$20,Premissas!$C$21))*Premissas!$C$10+(($A143=Premissas!$C$22)+($A143=Premissas!$C$23)+($A143=Premissas!$C$24))*Premissas!$C$11+($A143=Premissas!$C$25)*Premissas!$C$12</f>
        <v>0</v>
      </c>
      <c r="E143" s="36" t="n">
        <f aca="false">(1+Premissas!$C$57)^C143</f>
        <v>1.88431760478695</v>
      </c>
      <c r="F143" s="16" t="n">
        <f aca="false">D143*E143</f>
        <v>0</v>
      </c>
      <c r="G143" s="16" t="n">
        <f aca="false">($A143=Premissas!$C$25)*Premissas!$C$34*Premissas!$C$14*(1+Premissas!$C$57)^C143</f>
        <v>0</v>
      </c>
      <c r="H143" s="16" t="n">
        <f aca="false">IF(AND($A143&gt;Premissas!$C$25,$A143&lt;Premissas!$C$27),Premissas!$C$35/MAX(1,Premissas!$C$26),0)</f>
        <v>0</v>
      </c>
      <c r="I143" s="35" t="n">
        <f aca="false">IF(AND($A143&gt;Premissas!$C$25,((YEAR($A143)-YEAR(Premissas!$C$25))*12+MONTH($A143)-MONTH(Premissas!$C$25))&lt;=Premissas!$C$32),((YEAR($A143)-YEAR(Premissas!$C$25))*12+MONTH($A143)-MONTH(Premissas!$C$25)),0)</f>
        <v>119</v>
      </c>
      <c r="J143" s="16" t="n">
        <f aca="false">IF(I143&gt;0,N142*(1+Premissas!$C$59),0)</f>
        <v>9089.56156036339</v>
      </c>
      <c r="K143" s="16" t="n">
        <f aca="false">J143*Premissas!$C$58</f>
        <v>86.2489675124338</v>
      </c>
      <c r="L143" s="16" t="n">
        <f aca="false">IF(I143&gt;0,J143/(Premissas!$C$32-I143+1),0)</f>
        <v>4544.7807801817</v>
      </c>
      <c r="M143" s="16" t="n">
        <f aca="false">K143+L143</f>
        <v>4631.02974769413</v>
      </c>
      <c r="N143" s="16" t="n">
        <f aca="false">IF($A143=Premissas!$C$25,Premissas!$C$13*E143,IF(I143&gt;0,J143-L143,0))</f>
        <v>4544.7807801817</v>
      </c>
      <c r="O143" s="37" t="n">
        <f aca="false">IF($A143&gt;=Premissas!$C$27,Premissas!$C$39*IF(((YEAR($A143)-YEAR(Premissas!$C$27))*12+MONTH($A143)-MONTH(Premissas!$C$27))&lt;Premissas!$C$41,Premissas!$C$42,1),0)</f>
        <v>0.62</v>
      </c>
      <c r="P143" s="16" t="n">
        <f aca="false">O143*Premissas!$C$38*Premissas!$C$40*(1+Premissas!$C$60)^((YEAR($A143)-YEAR(Premissas!$C$19))*12+MONTH($A143)-MONTH(Premissas!$C$19))</f>
        <v>6716.20868754688</v>
      </c>
      <c r="Q143" s="16" t="n">
        <f aca="false">P143*Premissas!$C$43</f>
        <v>1074.5933900075</v>
      </c>
      <c r="R143" s="16" t="n">
        <f aca="false">P143*Premissas!$C$44</f>
        <v>1343.24173750938</v>
      </c>
      <c r="S143" s="16" t="n">
        <f aca="false">IF($A143&gt;=Premissas!$C$25,Premissas!$C$45*(1+Premissas!$C$60)^((YEAR($A143)-YEAR(Premissas!$C$19))*12+MONTH($A143)-MONTH(Premissas!$C$19)),0)</f>
        <v>1177.45594101453</v>
      </c>
      <c r="T143" s="16" t="n">
        <f aca="false">IF($A143&gt;=Premissas!$C$27,Premissas!$C$46*(1+Premissas!$C$60)^((YEAR($A143)-YEAR(Premissas!$C$19))*12+MONTH($A143)-MONTH(Premissas!$C$19)),0)</f>
        <v>470.982376405812</v>
      </c>
      <c r="U143" s="16" t="n">
        <f aca="false">IF($A143&gt;=Premissas!$C$27,Premissas!$C$47*(1+Premissas!$C$60)^((YEAR($A143)-YEAR(Premissas!$C$19))*12+MONTH($A143)-MONTH(Premissas!$C$19)),0)</f>
        <v>235.491188202906</v>
      </c>
      <c r="V143" s="16" t="n">
        <f aca="false">IF($A143&gt;=Premissas!$C$27,MAX(0,P143-Q143-R143-S143)*Premissas!$C$49,0)</f>
        <v>858.252345229255</v>
      </c>
      <c r="W143" s="16" t="n">
        <f aca="false">P143-Q143-R143-S143-T143-U143-V143</f>
        <v>1556.1917091775</v>
      </c>
      <c r="X143" s="16" t="n">
        <f aca="false">W143-F143-G143-H143-M143</f>
        <v>-3074.83803851663</v>
      </c>
      <c r="Y143" s="16" t="n">
        <f aca="false">Y142+X143</f>
        <v>-740036.213614761</v>
      </c>
      <c r="Z143" s="16" t="n">
        <f aca="false">Premissas!$C$14*(1+Premissas!$C$57)^((YEAR(Premissas!$C$19)-YEAR(Premissas!$C$18))*12+MONTH(Premissas!$C$19)-MONTH(Premissas!$C$18))*(1+Premissas!$C$61)^((YEAR($A143)-YEAR(Premissas!$C$19))*12+MONTH($A143)-MONTH(Premissas!$C$19))</f>
        <v>838115.346706149</v>
      </c>
      <c r="AA143" s="16" t="n">
        <f aca="false">IF($A143&gt;=Premissas!$C$25,Z143*(1-Premissas!$C$53)-N143-Premissas!$C$54*MAX(0,Z143*(1-Premissas!$C$53)-(Premissas!$C$14*(1+Premissas!$C$57)^((YEAR(Premissas!$C$25)-YEAR(Premissas!$C$18))*12+MONTH(Premissas!$C$25)-MONTH(Premissas!$C$18))*(1+Premissas!$C$34))),"")</f>
        <v>746311.590749696</v>
      </c>
      <c r="AB143" s="16" t="n">
        <f aca="false">IF($A143&gt;=Premissas!$C$25,Y143+AA143,"")</f>
        <v>6275.37713493488</v>
      </c>
      <c r="AC143" s="20" t="str">
        <f aca="false">IF(AND($A143&gt;=Premissas!$C$27,W143&gt;=M143),$A143,"")</f>
        <v/>
      </c>
      <c r="AD143" s="20" t="str">
        <f aca="false">IF(AND($A143&gt;=Premissas!$C$27,Y143&gt;=0),$A143,"")</f>
        <v/>
      </c>
      <c r="AE143" s="20" t="n">
        <f aca="false">IF(AND($A143&gt;=Premissas!$C$25,N(AB143)&gt;=0),$A143,"")</f>
        <v>50587</v>
      </c>
    </row>
    <row r="144" customFormat="false" ht="15" hidden="false" customHeight="false" outlineLevel="0" collapsed="false">
      <c r="A144" s="20" t="n">
        <f aca="false">DATE(YEAR(A143),MONTH(A143)+1,1)</f>
        <v>50618</v>
      </c>
      <c r="B144" s="5" t="str">
        <f aca="false">IF($A144&lt;Premissas!$C$25,"Obra",IF($A144=Premissas!$C$25,"Chaves",IF($A144&lt;Premissas!$C$27,"Mobiliando","Airbnb")))</f>
        <v>Airbnb</v>
      </c>
      <c r="C144" s="35" t="n">
        <f aca="false">(YEAR($A144)-YEAR(Premissas!$C$18))*12+MONTH($A144)-MONTH(Premissas!$C$18)</f>
        <v>143</v>
      </c>
      <c r="D144" s="16" t="n">
        <f aca="false">($A144=Premissas!$C$19)*Premissas!$C$8+(($A144=EDATE(Premissas!$C$19,1))+($A144=EDATE(Premissas!$C$19,2)))*Premissas!$C$9+AND($A144&gt;=Premissas!$C$20,$A144&lt;EDATE(Premissas!$C$20,Premissas!$C$21))*Premissas!$C$10+(($A144=Premissas!$C$22)+($A144=Premissas!$C$23)+($A144=Premissas!$C$24))*Premissas!$C$11+($A144=Premissas!$C$25)*Premissas!$C$12</f>
        <v>0</v>
      </c>
      <c r="E144" s="36" t="n">
        <f aca="false">(1+Premissas!$C$57)^C144</f>
        <v>1.89274370577964</v>
      </c>
      <c r="F144" s="16" t="n">
        <f aca="false">D144*E144</f>
        <v>0</v>
      </c>
      <c r="G144" s="16" t="n">
        <f aca="false">($A144=Premissas!$C$25)*Premissas!$C$34*Premissas!$C$14*(1+Premissas!$C$57)^C144</f>
        <v>0</v>
      </c>
      <c r="H144" s="16" t="n">
        <f aca="false">IF(AND($A144&gt;Premissas!$C$25,$A144&lt;Premissas!$C$27),Premissas!$C$35/MAX(1,Premissas!$C$26),0)</f>
        <v>0</v>
      </c>
      <c r="I144" s="35" t="n">
        <f aca="false">IF(AND($A144&gt;Premissas!$C$25,((YEAR($A144)-YEAR(Premissas!$C$25))*12+MONTH($A144)-MONTH(Premissas!$C$25))&lt;=Premissas!$C$32),((YEAR($A144)-YEAR(Premissas!$C$25))*12+MONTH($A144)-MONTH(Premissas!$C$25)),0)</f>
        <v>120</v>
      </c>
      <c r="J144" s="16" t="n">
        <f aca="false">IF(I144&gt;0,N143*(1+Premissas!$C$59),0)</f>
        <v>4559.65920982315</v>
      </c>
      <c r="K144" s="16" t="n">
        <f aca="false">J144*Premissas!$C$58</f>
        <v>43.2656620942764</v>
      </c>
      <c r="L144" s="16" t="n">
        <f aca="false">IF(I144&gt;0,J144/(Premissas!$C$32-I144+1),0)</f>
        <v>4559.65920982315</v>
      </c>
      <c r="M144" s="16" t="n">
        <f aca="false">K144+L144</f>
        <v>4602.92487191743</v>
      </c>
      <c r="N144" s="16" t="n">
        <f aca="false">IF($A144=Premissas!$C$25,Premissas!$C$13*E144,IF(I144&gt;0,J144-L144,0))</f>
        <v>0</v>
      </c>
      <c r="O144" s="37" t="n">
        <f aca="false">IF($A144&gt;=Premissas!$C$27,Premissas!$C$39*IF(((YEAR($A144)-YEAR(Premissas!$C$27))*12+MONTH($A144)-MONTH(Premissas!$C$27))&lt;Premissas!$C$41,Premissas!$C$42,1),0)</f>
        <v>0.62</v>
      </c>
      <c r="P144" s="16" t="n">
        <f aca="false">O144*Premissas!$C$38*Premissas!$C$40*(1+Premissas!$C$60)^((YEAR($A144)-YEAR(Premissas!$C$19))*12+MONTH($A144)-MONTH(Premissas!$C$19))</f>
        <v>6738.19580711285</v>
      </c>
      <c r="Q144" s="16" t="n">
        <f aca="false">P144*Premissas!$C$43</f>
        <v>1078.11132913806</v>
      </c>
      <c r="R144" s="16" t="n">
        <f aca="false">P144*Premissas!$C$44</f>
        <v>1347.63916142257</v>
      </c>
      <c r="S144" s="16" t="n">
        <f aca="false">IF($A144&gt;=Premissas!$C$25,Premissas!$C$45*(1+Premissas!$C$60)^((YEAR($A144)-YEAR(Premissas!$C$19))*12+MONTH($A144)-MONTH(Premissas!$C$19)),0)</f>
        <v>1181.31062537042</v>
      </c>
      <c r="T144" s="16" t="n">
        <f aca="false">IF($A144&gt;=Premissas!$C$27,Premissas!$C$46*(1+Premissas!$C$60)^((YEAR($A144)-YEAR(Premissas!$C$19))*12+MONTH($A144)-MONTH(Premissas!$C$19)),0)</f>
        <v>472.524250148166</v>
      </c>
      <c r="U144" s="16" t="n">
        <f aca="false">IF($A144&gt;=Premissas!$C$27,Premissas!$C$47*(1+Premissas!$C$60)^((YEAR($A144)-YEAR(Premissas!$C$19))*12+MONTH($A144)-MONTH(Premissas!$C$19)),0)</f>
        <v>236.262125074083</v>
      </c>
      <c r="V144" s="16" t="n">
        <f aca="false">IF($A144&gt;=Premissas!$C$27,MAX(0,P144-Q144-R144-S144)*Premissas!$C$49,0)</f>
        <v>861.062040074998</v>
      </c>
      <c r="W144" s="16" t="n">
        <f aca="false">P144-Q144-R144-S144-T144-U144-V144</f>
        <v>1561.28627588456</v>
      </c>
      <c r="X144" s="16" t="n">
        <f aca="false">W144-F144-G144-H144-M144</f>
        <v>-3041.63859603287</v>
      </c>
      <c r="Y144" s="16" t="n">
        <f aca="false">Y143+X144</f>
        <v>-743077.852210794</v>
      </c>
      <c r="Z144" s="16" t="n">
        <f aca="false">Premissas!$C$14*(1+Premissas!$C$57)^((YEAR(Premissas!$C$19)-YEAR(Premissas!$C$18))*12+MONTH(Premissas!$C$19)-MONTH(Premissas!$C$18))*(1+Premissas!$C$61)^((YEAR($A144)-YEAR(Premissas!$C$19))*12+MONTH($A144)-MONTH(Premissas!$C$19))</f>
        <v>841529.932373605</v>
      </c>
      <c r="AA144" s="16" t="n">
        <f aca="false">IF($A144&gt;=Premissas!$C$25,Z144*(1-Premissas!$C$53)-N144-Premissas!$C$54*MAX(0,Z144*(1-Premissas!$C$53)-(Premissas!$C$14*(1+Premissas!$C$57)^((YEAR(Premissas!$C$25)-YEAR(Premissas!$C$18))*12+MONTH(Premissas!$C$25)-MONTH(Premissas!$C$18))*(1+Premissas!$C$34))),"")</f>
        <v>753584.625478176</v>
      </c>
      <c r="AB144" s="16" t="n">
        <f aca="false">IF($A144&gt;=Premissas!$C$25,Y144+AA144,"")</f>
        <v>10506.7732673814</v>
      </c>
      <c r="AC144" s="20" t="str">
        <f aca="false">IF(AND($A144&gt;=Premissas!$C$27,W144&gt;=M144),$A144,"")</f>
        <v/>
      </c>
      <c r="AD144" s="20" t="str">
        <f aca="false">IF(AND($A144&gt;=Premissas!$C$27,Y144&gt;=0),$A144,"")</f>
        <v/>
      </c>
      <c r="AE144" s="20" t="n">
        <f aca="false">IF(AND($A144&gt;=Premissas!$C$25,N(AB144)&gt;=0),$A144,"")</f>
        <v>50618</v>
      </c>
    </row>
    <row r="145" customFormat="false" ht="15" hidden="false" customHeight="false" outlineLevel="0" collapsed="false">
      <c r="A145" s="20" t="n">
        <f aca="false">DATE(YEAR(A144),MONTH(A144)+1,1)</f>
        <v>50649</v>
      </c>
      <c r="B145" s="5" t="str">
        <f aca="false">IF($A145&lt;Premissas!$C$25,"Obra",IF($A145=Premissas!$C$25,"Chaves",IF($A145&lt;Premissas!$C$27,"Mobiliando","Airbnb")))</f>
        <v>Airbnb</v>
      </c>
      <c r="C145" s="35" t="n">
        <f aca="false">(YEAR($A145)-YEAR(Premissas!$C$18))*12+MONTH($A145)-MONTH(Premissas!$C$18)</f>
        <v>144</v>
      </c>
      <c r="D145" s="16" t="n">
        <f aca="false">($A145=Premissas!$C$19)*Premissas!$C$8+(($A145=EDATE(Premissas!$C$19,1))+($A145=EDATE(Premissas!$C$19,2)))*Premissas!$C$9+AND($A145&gt;=Premissas!$C$20,$A145&lt;EDATE(Premissas!$C$20,Premissas!$C$21))*Premissas!$C$10+(($A145=Premissas!$C$22)+($A145=Premissas!$C$23)+($A145=Premissas!$C$24))*Premissas!$C$11+($A145=Premissas!$C$25)*Premissas!$C$12</f>
        <v>0</v>
      </c>
      <c r="E145" s="36" t="n">
        <f aca="false">(1+Premissas!$C$57)^C145</f>
        <v>1.90120748575901</v>
      </c>
      <c r="F145" s="16" t="n">
        <f aca="false">D145*E145</f>
        <v>0</v>
      </c>
      <c r="G145" s="16" t="n">
        <f aca="false">($A145=Premissas!$C$25)*Premissas!$C$34*Premissas!$C$14*(1+Premissas!$C$57)^C145</f>
        <v>0</v>
      </c>
      <c r="H145" s="16" t="n">
        <f aca="false">IF(AND($A145&gt;Premissas!$C$25,$A145&lt;Premissas!$C$27),Premissas!$C$35/MAX(1,Premissas!$C$26),0)</f>
        <v>0</v>
      </c>
      <c r="I145" s="35" t="n">
        <f aca="false">IF(AND($A145&gt;Premissas!$C$25,((YEAR($A145)-YEAR(Premissas!$C$25))*12+MONTH($A145)-MONTH(Premissas!$C$25))&lt;=Premissas!$C$32),((YEAR($A145)-YEAR(Premissas!$C$25))*12+MONTH($A145)-MONTH(Premissas!$C$25)),0)</f>
        <v>0</v>
      </c>
      <c r="J145" s="16" t="n">
        <f aca="false">IF(I145&gt;0,N144*(1+Premissas!$C$59),0)</f>
        <v>0</v>
      </c>
      <c r="K145" s="16" t="n">
        <f aca="false">J145*Premissas!$C$58</f>
        <v>0</v>
      </c>
      <c r="L145" s="16" t="n">
        <f aca="false">IF(I145&gt;0,J145/(Premissas!$C$32-I145+1),0)</f>
        <v>0</v>
      </c>
      <c r="M145" s="16" t="n">
        <f aca="false">K145+L145</f>
        <v>0</v>
      </c>
      <c r="N145" s="16" t="n">
        <f aca="false">IF($A145=Premissas!$C$25,Premissas!$C$13*E145,IF(I145&gt;0,J145-L145,0))</f>
        <v>0</v>
      </c>
      <c r="O145" s="37" t="n">
        <f aca="false">IF($A145&gt;=Premissas!$C$27,Premissas!$C$39*IF(((YEAR($A145)-YEAR(Premissas!$C$27))*12+MONTH($A145)-MONTH(Premissas!$C$27))&lt;Premissas!$C$41,Premissas!$C$42,1),0)</f>
        <v>0.62</v>
      </c>
      <c r="P145" s="16" t="n">
        <f aca="false">O145*Premissas!$C$38*Premissas!$C$40*(1+Premissas!$C$60)^((YEAR($A145)-YEAR(Premissas!$C$19))*12+MONTH($A145)-MONTH(Premissas!$C$19))</f>
        <v>6760.25490678684</v>
      </c>
      <c r="Q145" s="16" t="n">
        <f aca="false">P145*Premissas!$C$43</f>
        <v>1081.6407850859</v>
      </c>
      <c r="R145" s="16" t="n">
        <f aca="false">P145*Premissas!$C$44</f>
        <v>1352.05098135737</v>
      </c>
      <c r="S145" s="16" t="n">
        <f aca="false">IF($A145&gt;=Premissas!$C$25,Premissas!$C$45*(1+Premissas!$C$60)^((YEAR($A145)-YEAR(Premissas!$C$19))*12+MONTH($A145)-MONTH(Premissas!$C$19)),0)</f>
        <v>1185.17792895983</v>
      </c>
      <c r="T145" s="16" t="n">
        <f aca="false">IF($A145&gt;=Premissas!$C$27,Premissas!$C$46*(1+Premissas!$C$60)^((YEAR($A145)-YEAR(Premissas!$C$19))*12+MONTH($A145)-MONTH(Premissas!$C$19)),0)</f>
        <v>474.07117158393</v>
      </c>
      <c r="U145" s="16" t="n">
        <f aca="false">IF($A145&gt;=Premissas!$C$27,Premissas!$C$47*(1+Premissas!$C$60)^((YEAR($A145)-YEAR(Premissas!$C$19))*12+MONTH($A145)-MONTH(Premissas!$C$19)),0)</f>
        <v>237.035585791965</v>
      </c>
      <c r="V145" s="16" t="n">
        <f aca="false">IF($A145&gt;=Premissas!$C$27,MAX(0,P145-Q145-R145-S145)*Premissas!$C$49,0)</f>
        <v>863.880933130533</v>
      </c>
      <c r="W145" s="16" t="n">
        <f aca="false">P145-Q145-R145-S145-T145-U145-V145</f>
        <v>1566.39752087733</v>
      </c>
      <c r="X145" s="16" t="n">
        <f aca="false">W145-F145-G145-H145-M145</f>
        <v>1566.39752087733</v>
      </c>
      <c r="Y145" s="16" t="n">
        <f aca="false">Y144+X145</f>
        <v>-741511.454689917</v>
      </c>
      <c r="Z145" s="16" t="n">
        <f aca="false">Premissas!$C$14*(1+Premissas!$C$57)^((YEAR(Premissas!$C$19)-YEAR(Premissas!$C$18))*12+MONTH(Premissas!$C$19)-MONTH(Premissas!$C$18))*(1+Premissas!$C$61)^((YEAR($A145)-YEAR(Premissas!$C$19))*12+MONTH($A145)-MONTH(Premissas!$C$19))</f>
        <v>844958.42948574</v>
      </c>
      <c r="AA145" s="16" t="n">
        <f aca="false">IF($A145&gt;=Premissas!$C$25,Z145*(1-Premissas!$C$53)-N145-Premissas!$C$54*MAX(0,Z145*(1-Premissas!$C$53)-(Premissas!$C$14*(1+Premissas!$C$57)^((YEAR(Premissas!$C$25)-YEAR(Premissas!$C$18))*12+MONTH(Premissas!$C$25)-MONTH(Premissas!$C$18))*(1+Premissas!$C$34))),"")</f>
        <v>756323.994670772</v>
      </c>
      <c r="AB145" s="16" t="n">
        <f aca="false">IF($A145&gt;=Premissas!$C$25,Y145+AA145,"")</f>
        <v>14812.5399808547</v>
      </c>
      <c r="AC145" s="20" t="n">
        <f aca="false">IF(AND($A145&gt;=Premissas!$C$27,W145&gt;=M145),$A145,"")</f>
        <v>50649</v>
      </c>
      <c r="AD145" s="20" t="str">
        <f aca="false">IF(AND($A145&gt;=Premissas!$C$27,Y145&gt;=0),$A145,"")</f>
        <v/>
      </c>
      <c r="AE145" s="20" t="n">
        <f aca="false">IF(AND($A145&gt;=Premissas!$C$25,N(AB145)&gt;=0),$A145,"")</f>
        <v>50649</v>
      </c>
    </row>
    <row r="146" customFormat="false" ht="15" hidden="false" customHeight="false" outlineLevel="0" collapsed="false">
      <c r="A146" s="20" t="n">
        <f aca="false">DATE(YEAR(A145),MONTH(A145)+1,1)</f>
        <v>50679</v>
      </c>
      <c r="B146" s="5" t="str">
        <f aca="false">IF($A146&lt;Premissas!$C$25,"Obra",IF($A146=Premissas!$C$25,"Chaves",IF($A146&lt;Premissas!$C$27,"Mobiliando","Airbnb")))</f>
        <v>Airbnb</v>
      </c>
      <c r="C146" s="35" t="n">
        <f aca="false">(YEAR($A146)-YEAR(Premissas!$C$18))*12+MONTH($A146)-MONTH(Premissas!$C$18)</f>
        <v>145</v>
      </c>
      <c r="D146" s="16" t="n">
        <f aca="false">($A146=Premissas!$C$19)*Premissas!$C$8+(($A146=EDATE(Premissas!$C$19,1))+($A146=EDATE(Premissas!$C$19,2)))*Premissas!$C$9+AND($A146&gt;=Premissas!$C$20,$A146&lt;EDATE(Premissas!$C$20,Premissas!$C$21))*Premissas!$C$10+(($A146=Premissas!$C$22)+($A146=Premissas!$C$23)+($A146=Premissas!$C$24))*Premissas!$C$11+($A146=Premissas!$C$25)*Premissas!$C$12</f>
        <v>0</v>
      </c>
      <c r="E146" s="36" t="n">
        <f aca="false">(1+Premissas!$C$57)^C146</f>
        <v>1.90970911321415</v>
      </c>
      <c r="F146" s="16" t="n">
        <f aca="false">D146*E146</f>
        <v>0</v>
      </c>
      <c r="G146" s="16" t="n">
        <f aca="false">($A146=Premissas!$C$25)*Premissas!$C$34*Premissas!$C$14*(1+Premissas!$C$57)^C146</f>
        <v>0</v>
      </c>
      <c r="H146" s="16" t="n">
        <f aca="false">IF(AND($A146&gt;Premissas!$C$25,$A146&lt;Premissas!$C$27),Premissas!$C$35/MAX(1,Premissas!$C$26),0)</f>
        <v>0</v>
      </c>
      <c r="I146" s="35" t="n">
        <f aca="false">IF(AND($A146&gt;Premissas!$C$25,((YEAR($A146)-YEAR(Premissas!$C$25))*12+MONTH($A146)-MONTH(Premissas!$C$25))&lt;=Premissas!$C$32),((YEAR($A146)-YEAR(Premissas!$C$25))*12+MONTH($A146)-MONTH(Premissas!$C$25)),0)</f>
        <v>0</v>
      </c>
      <c r="J146" s="16" t="n">
        <f aca="false">IF(I146&gt;0,N145*(1+Premissas!$C$59),0)</f>
        <v>0</v>
      </c>
      <c r="K146" s="16" t="n">
        <f aca="false">J146*Premissas!$C$58</f>
        <v>0</v>
      </c>
      <c r="L146" s="16" t="n">
        <f aca="false">IF(I146&gt;0,J146/(Premissas!$C$32-I146+1),0)</f>
        <v>0</v>
      </c>
      <c r="M146" s="16" t="n">
        <f aca="false">K146+L146</f>
        <v>0</v>
      </c>
      <c r="N146" s="16" t="n">
        <f aca="false">IF($A146=Premissas!$C$25,Premissas!$C$13*E146,IF(I146&gt;0,J146-L146,0))</f>
        <v>0</v>
      </c>
      <c r="O146" s="37" t="n">
        <f aca="false">IF($A146&gt;=Premissas!$C$27,Premissas!$C$39*IF(((YEAR($A146)-YEAR(Premissas!$C$27))*12+MONTH($A146)-MONTH(Premissas!$C$27))&lt;Premissas!$C$41,Premissas!$C$42,1),0)</f>
        <v>0.62</v>
      </c>
      <c r="P146" s="16" t="n">
        <f aca="false">O146*Premissas!$C$38*Premissas!$C$40*(1+Premissas!$C$60)^((YEAR($A146)-YEAR(Premissas!$C$19))*12+MONTH($A146)-MONTH(Premissas!$C$19))</f>
        <v>6782.386222213</v>
      </c>
      <c r="Q146" s="16" t="n">
        <f aca="false">P146*Premissas!$C$43</f>
        <v>1085.18179555408</v>
      </c>
      <c r="R146" s="16" t="n">
        <f aca="false">P146*Premissas!$C$44</f>
        <v>1356.4772444426</v>
      </c>
      <c r="S146" s="16" t="n">
        <f aca="false">IF($A146&gt;=Premissas!$C$25,Premissas!$C$45*(1+Premissas!$C$60)^((YEAR($A146)-YEAR(Premissas!$C$19))*12+MONTH($A146)-MONTH(Premissas!$C$19)),0)</f>
        <v>1189.05789309485</v>
      </c>
      <c r="T146" s="16" t="n">
        <f aca="false">IF($A146&gt;=Premissas!$C$27,Premissas!$C$46*(1+Premissas!$C$60)^((YEAR($A146)-YEAR(Premissas!$C$19))*12+MONTH($A146)-MONTH(Premissas!$C$19)),0)</f>
        <v>475.623157237938</v>
      </c>
      <c r="U146" s="16" t="n">
        <f aca="false">IF($A146&gt;=Premissas!$C$27,Premissas!$C$47*(1+Premissas!$C$60)^((YEAR($A146)-YEAR(Premissas!$C$19))*12+MONTH($A146)-MONTH(Premissas!$C$19)),0)</f>
        <v>237.811578618969</v>
      </c>
      <c r="V146" s="16" t="n">
        <f aca="false">IF($A146&gt;=Premissas!$C$27,MAX(0,P146-Q146-R146-S146)*Premissas!$C$49,0)</f>
        <v>866.709054508405</v>
      </c>
      <c r="W146" s="16" t="n">
        <f aca="false">P146-Q146-R146-S146-T146-U146-V146</f>
        <v>1571.52549875616</v>
      </c>
      <c r="X146" s="16" t="n">
        <f aca="false">W146-F146-G146-H146-M146</f>
        <v>1571.52549875616</v>
      </c>
      <c r="Y146" s="16" t="n">
        <f aca="false">Y145+X146</f>
        <v>-739939.929191161</v>
      </c>
      <c r="Z146" s="16" t="n">
        <f aca="false">Premissas!$C$14*(1+Premissas!$C$57)^((YEAR(Premissas!$C$19)-YEAR(Premissas!$C$18))*12+MONTH(Premissas!$C$19)-MONTH(Premissas!$C$18))*(1+Premissas!$C$61)^((YEAR($A146)-YEAR(Premissas!$C$19))*12+MONTH($A146)-MONTH(Premissas!$C$19))</f>
        <v>848400.894719502</v>
      </c>
      <c r="AA146" s="16" t="n">
        <f aca="false">IF($A146&gt;=Premissas!$C$25,Z146*(1-Premissas!$C$53)-N146-Premissas!$C$54*MAX(0,Z146*(1-Premissas!$C$53)-(Premissas!$C$14*(1+Premissas!$C$57)^((YEAR(Premissas!$C$25)-YEAR(Premissas!$C$18))*12+MONTH(Premissas!$C$25)-MONTH(Premissas!$C$18))*(1+Premissas!$C$34))),"")</f>
        <v>759074.524392547</v>
      </c>
      <c r="AB146" s="16" t="n">
        <f aca="false">IF($A146&gt;=Premissas!$C$25,Y146+AA146,"")</f>
        <v>19134.5952013867</v>
      </c>
      <c r="AC146" s="20" t="n">
        <f aca="false">IF(AND($A146&gt;=Premissas!$C$27,W146&gt;=M146),$A146,"")</f>
        <v>50679</v>
      </c>
      <c r="AD146" s="20" t="str">
        <f aca="false">IF(AND($A146&gt;=Premissas!$C$27,Y146&gt;=0),$A146,"")</f>
        <v/>
      </c>
      <c r="AE146" s="20" t="n">
        <f aca="false">IF(AND($A146&gt;=Premissas!$C$25,N(AB146)&gt;=0),$A146,"")</f>
        <v>50679</v>
      </c>
    </row>
    <row r="147" customFormat="false" ht="15" hidden="false" customHeight="false" outlineLevel="0" collapsed="false">
      <c r="A147" s="20" t="n">
        <f aca="false">DATE(YEAR(A146),MONTH(A146)+1,1)</f>
        <v>50710</v>
      </c>
      <c r="B147" s="5" t="str">
        <f aca="false">IF($A147&lt;Premissas!$C$25,"Obra",IF($A147=Premissas!$C$25,"Chaves",IF($A147&lt;Premissas!$C$27,"Mobiliando","Airbnb")))</f>
        <v>Airbnb</v>
      </c>
      <c r="C147" s="35" t="n">
        <f aca="false">(YEAR($A147)-YEAR(Premissas!$C$18))*12+MONTH($A147)-MONTH(Premissas!$C$18)</f>
        <v>146</v>
      </c>
      <c r="D147" s="16" t="n">
        <f aca="false">($A147=Premissas!$C$19)*Premissas!$C$8+(($A147=EDATE(Premissas!$C$19,1))+($A147=EDATE(Premissas!$C$19,2)))*Premissas!$C$9+AND($A147&gt;=Premissas!$C$20,$A147&lt;EDATE(Premissas!$C$20,Premissas!$C$21))*Premissas!$C$10+(($A147=Premissas!$C$22)+($A147=Premissas!$C$23)+($A147=Premissas!$C$24))*Premissas!$C$11+($A147=Premissas!$C$25)*Premissas!$C$12</f>
        <v>0</v>
      </c>
      <c r="E147" s="36" t="n">
        <f aca="false">(1+Premissas!$C$57)^C147</f>
        <v>1.91824875738758</v>
      </c>
      <c r="F147" s="16" t="n">
        <f aca="false">D147*E147</f>
        <v>0</v>
      </c>
      <c r="G147" s="16" t="n">
        <f aca="false">($A147=Premissas!$C$25)*Premissas!$C$34*Premissas!$C$14*(1+Premissas!$C$57)^C147</f>
        <v>0</v>
      </c>
      <c r="H147" s="16" t="n">
        <f aca="false">IF(AND($A147&gt;Premissas!$C$25,$A147&lt;Premissas!$C$27),Premissas!$C$35/MAX(1,Premissas!$C$26),0)</f>
        <v>0</v>
      </c>
      <c r="I147" s="35" t="n">
        <f aca="false">IF(AND($A147&gt;Premissas!$C$25,((YEAR($A147)-YEAR(Premissas!$C$25))*12+MONTH($A147)-MONTH(Premissas!$C$25))&lt;=Premissas!$C$32),((YEAR($A147)-YEAR(Premissas!$C$25))*12+MONTH($A147)-MONTH(Premissas!$C$25)),0)</f>
        <v>0</v>
      </c>
      <c r="J147" s="16" t="n">
        <f aca="false">IF(I147&gt;0,N146*(1+Premissas!$C$59),0)</f>
        <v>0</v>
      </c>
      <c r="K147" s="16" t="n">
        <f aca="false">J147*Premissas!$C$58</f>
        <v>0</v>
      </c>
      <c r="L147" s="16" t="n">
        <f aca="false">IF(I147&gt;0,J147/(Premissas!$C$32-I147+1),0)</f>
        <v>0</v>
      </c>
      <c r="M147" s="16" t="n">
        <f aca="false">K147+L147</f>
        <v>0</v>
      </c>
      <c r="N147" s="16" t="n">
        <f aca="false">IF($A147=Premissas!$C$25,Premissas!$C$13*E147,IF(I147&gt;0,J147-L147,0))</f>
        <v>0</v>
      </c>
      <c r="O147" s="37" t="n">
        <f aca="false">IF($A147&gt;=Premissas!$C$27,Premissas!$C$39*IF(((YEAR($A147)-YEAR(Premissas!$C$27))*12+MONTH($A147)-MONTH(Premissas!$C$27))&lt;Premissas!$C$41,Premissas!$C$42,1),0)</f>
        <v>0.62</v>
      </c>
      <c r="P147" s="16" t="n">
        <f aca="false">O147*Premissas!$C$38*Premissas!$C$40*(1+Premissas!$C$60)^((YEAR($A147)-YEAR(Premissas!$C$19))*12+MONTH($A147)-MONTH(Premissas!$C$19))</f>
        <v>6804.5899898069</v>
      </c>
      <c r="Q147" s="16" t="n">
        <f aca="false">P147*Premissas!$C$43</f>
        <v>1088.7343983691</v>
      </c>
      <c r="R147" s="16" t="n">
        <f aca="false">P147*Premissas!$C$44</f>
        <v>1360.91799796138</v>
      </c>
      <c r="S147" s="16" t="n">
        <f aca="false">IF($A147&gt;=Premissas!$C$25,Premissas!$C$45*(1+Premissas!$C$60)^((YEAR($A147)-YEAR(Premissas!$C$19))*12+MONTH($A147)-MONTH(Premissas!$C$19)),0)</f>
        <v>1192.95055922281</v>
      </c>
      <c r="T147" s="16" t="n">
        <f aca="false">IF($A147&gt;=Premissas!$C$27,Premissas!$C$46*(1+Premissas!$C$60)^((YEAR($A147)-YEAR(Premissas!$C$19))*12+MONTH($A147)-MONTH(Premissas!$C$19)),0)</f>
        <v>477.180223689123</v>
      </c>
      <c r="U147" s="16" t="n">
        <f aca="false">IF($A147&gt;=Premissas!$C$27,Premissas!$C$47*(1+Premissas!$C$60)^((YEAR($A147)-YEAR(Premissas!$C$19))*12+MONTH($A147)-MONTH(Premissas!$C$19)),0)</f>
        <v>238.590111844562</v>
      </c>
      <c r="V147" s="16" t="n">
        <f aca="false">IF($A147&gt;=Premissas!$C$27,MAX(0,P147-Q147-R147-S147)*Premissas!$C$49,0)</f>
        <v>869.546434419741</v>
      </c>
      <c r="W147" s="16" t="n">
        <f aca="false">P147-Q147-R147-S147-T147-U147-V147</f>
        <v>1576.67026430018</v>
      </c>
      <c r="X147" s="16" t="n">
        <f aca="false">W147-F147-G147-H147-M147</f>
        <v>1576.67026430018</v>
      </c>
      <c r="Y147" s="16" t="n">
        <f aca="false">Y146+X147</f>
        <v>-738363.25892686</v>
      </c>
      <c r="Z147" s="16" t="n">
        <f aca="false">Premissas!$C$14*(1+Premissas!$C$57)^((YEAR(Premissas!$C$19)-YEAR(Premissas!$C$18))*12+MONTH(Premissas!$C$19)-MONTH(Premissas!$C$18))*(1+Premissas!$C$61)^((YEAR($A147)-YEAR(Premissas!$C$19))*12+MONTH($A147)-MONTH(Premissas!$C$19))</f>
        <v>851857.384982747</v>
      </c>
      <c r="AA147" s="16" t="n">
        <f aca="false">IF($A147&gt;=Premissas!$C$25,Z147*(1-Premissas!$C$53)-N147-Premissas!$C$54*MAX(0,Z147*(1-Premissas!$C$53)-(Premissas!$C$14*(1+Premissas!$C$57)^((YEAR(Premissas!$C$25)-YEAR(Premissas!$C$18))*12+MONTH(Premissas!$C$25)-MONTH(Premissas!$C$18))*(1+Premissas!$C$34))),"")</f>
        <v>761836.26011288</v>
      </c>
      <c r="AB147" s="16" t="n">
        <f aca="false">IF($A147&gt;=Premissas!$C$25,Y147+AA147,"")</f>
        <v>23473.00118602</v>
      </c>
      <c r="AC147" s="20" t="n">
        <f aca="false">IF(AND($A147&gt;=Premissas!$C$27,W147&gt;=M147),$A147,"")</f>
        <v>50710</v>
      </c>
      <c r="AD147" s="20" t="str">
        <f aca="false">IF(AND($A147&gt;=Premissas!$C$27,Y147&gt;=0),$A147,"")</f>
        <v/>
      </c>
      <c r="AE147" s="20" t="n">
        <f aca="false">IF(AND($A147&gt;=Premissas!$C$25,N(AB147)&gt;=0),$A147,"")</f>
        <v>50710</v>
      </c>
    </row>
    <row r="148" customFormat="false" ht="15" hidden="false" customHeight="false" outlineLevel="0" collapsed="false">
      <c r="A148" s="20" t="n">
        <f aca="false">DATE(YEAR(A147),MONTH(A147)+1,1)</f>
        <v>50740</v>
      </c>
      <c r="B148" s="5" t="str">
        <f aca="false">IF($A148&lt;Premissas!$C$25,"Obra",IF($A148=Premissas!$C$25,"Chaves",IF($A148&lt;Premissas!$C$27,"Mobiliando","Airbnb")))</f>
        <v>Airbnb</v>
      </c>
      <c r="C148" s="35" t="n">
        <f aca="false">(YEAR($A148)-YEAR(Premissas!$C$18))*12+MONTH($A148)-MONTH(Premissas!$C$18)</f>
        <v>147</v>
      </c>
      <c r="D148" s="16" t="n">
        <f aca="false">($A148=Premissas!$C$19)*Premissas!$C$8+(($A148=EDATE(Premissas!$C$19,1))+($A148=EDATE(Premissas!$C$19,2)))*Premissas!$C$9+AND($A148&gt;=Premissas!$C$20,$A148&lt;EDATE(Premissas!$C$20,Premissas!$C$21))*Premissas!$C$10+(($A148=Premissas!$C$22)+($A148=Premissas!$C$23)+($A148=Premissas!$C$24))*Premissas!$C$11+($A148=Premissas!$C$25)*Premissas!$C$12</f>
        <v>0</v>
      </c>
      <c r="E148" s="36" t="n">
        <f aca="false">(1+Premissas!$C$57)^C148</f>
        <v>1.92682658827861</v>
      </c>
      <c r="F148" s="16" t="n">
        <f aca="false">D148*E148</f>
        <v>0</v>
      </c>
      <c r="G148" s="16" t="n">
        <f aca="false">($A148=Premissas!$C$25)*Premissas!$C$34*Premissas!$C$14*(1+Premissas!$C$57)^C148</f>
        <v>0</v>
      </c>
      <c r="H148" s="16" t="n">
        <f aca="false">IF(AND($A148&gt;Premissas!$C$25,$A148&lt;Premissas!$C$27),Premissas!$C$35/MAX(1,Premissas!$C$26),0)</f>
        <v>0</v>
      </c>
      <c r="I148" s="35" t="n">
        <f aca="false">IF(AND($A148&gt;Premissas!$C$25,((YEAR($A148)-YEAR(Premissas!$C$25))*12+MONTH($A148)-MONTH(Premissas!$C$25))&lt;=Premissas!$C$32),((YEAR($A148)-YEAR(Premissas!$C$25))*12+MONTH($A148)-MONTH(Premissas!$C$25)),0)</f>
        <v>0</v>
      </c>
      <c r="J148" s="16" t="n">
        <f aca="false">IF(I148&gt;0,N147*(1+Premissas!$C$59),0)</f>
        <v>0</v>
      </c>
      <c r="K148" s="16" t="n">
        <f aca="false">J148*Premissas!$C$58</f>
        <v>0</v>
      </c>
      <c r="L148" s="16" t="n">
        <f aca="false">IF(I148&gt;0,J148/(Premissas!$C$32-I148+1),0)</f>
        <v>0</v>
      </c>
      <c r="M148" s="16" t="n">
        <f aca="false">K148+L148</f>
        <v>0</v>
      </c>
      <c r="N148" s="16" t="n">
        <f aca="false">IF($A148=Premissas!$C$25,Premissas!$C$13*E148,IF(I148&gt;0,J148-L148,0))</f>
        <v>0</v>
      </c>
      <c r="O148" s="37" t="n">
        <f aca="false">IF($A148&gt;=Premissas!$C$27,Premissas!$C$39*IF(((YEAR($A148)-YEAR(Premissas!$C$27))*12+MONTH($A148)-MONTH(Premissas!$C$27))&lt;Premissas!$C$41,Premissas!$C$42,1),0)</f>
        <v>0.62</v>
      </c>
      <c r="P148" s="16" t="n">
        <f aca="false">O148*Premissas!$C$38*Premissas!$C$40*(1+Premissas!$C$60)^((YEAR($A148)-YEAR(Premissas!$C$19))*12+MONTH($A148)-MONTH(Premissas!$C$19))</f>
        <v>6826.86644675808</v>
      </c>
      <c r="Q148" s="16" t="n">
        <f aca="false">P148*Premissas!$C$43</f>
        <v>1092.29863148129</v>
      </c>
      <c r="R148" s="16" t="n">
        <f aca="false">P148*Premissas!$C$44</f>
        <v>1365.37328935162</v>
      </c>
      <c r="S148" s="16" t="n">
        <f aca="false">IF($A148&gt;=Premissas!$C$25,Premissas!$C$45*(1+Premissas!$C$60)^((YEAR($A148)-YEAR(Premissas!$C$19))*12+MONTH($A148)-MONTH(Premissas!$C$19)),0)</f>
        <v>1196.85596892673</v>
      </c>
      <c r="T148" s="16" t="n">
        <f aca="false">IF($A148&gt;=Premissas!$C$27,Premissas!$C$46*(1+Premissas!$C$60)^((YEAR($A148)-YEAR(Premissas!$C$19))*12+MONTH($A148)-MONTH(Premissas!$C$19)),0)</f>
        <v>478.742387570693</v>
      </c>
      <c r="U148" s="16" t="n">
        <f aca="false">IF($A148&gt;=Premissas!$C$27,Premissas!$C$47*(1+Premissas!$C$60)^((YEAR($A148)-YEAR(Premissas!$C$19))*12+MONTH($A148)-MONTH(Premissas!$C$19)),0)</f>
        <v>239.371193785346</v>
      </c>
      <c r="V148" s="16" t="n">
        <f aca="false">IF($A148&gt;=Premissas!$C$27,MAX(0,P148-Q148-R148-S148)*Premissas!$C$49,0)</f>
        <v>872.393103174571</v>
      </c>
      <c r="W148" s="16" t="n">
        <f aca="false">P148-Q148-R148-S148-T148-U148-V148</f>
        <v>1581.83187246783</v>
      </c>
      <c r="X148" s="16" t="n">
        <f aca="false">W148-F148-G148-H148-M148</f>
        <v>1581.83187246783</v>
      </c>
      <c r="Y148" s="16" t="n">
        <f aca="false">Y147+X148</f>
        <v>-736781.427054393</v>
      </c>
      <c r="Z148" s="16" t="n">
        <f aca="false">Premissas!$C$14*(1+Premissas!$C$57)^((YEAR(Premissas!$C$19)-YEAR(Premissas!$C$18))*12+MONTH(Premissas!$C$19)-MONTH(Premissas!$C$18))*(1+Premissas!$C$61)^((YEAR($A148)-YEAR(Premissas!$C$19))*12+MONTH($A148)-MONTH(Premissas!$C$19))</f>
        <v>855327.957415182</v>
      </c>
      <c r="AA148" s="16" t="n">
        <f aca="false">IF($A148&gt;=Premissas!$C$25,Z148*(1-Premissas!$C$53)-N148-Premissas!$C$54*MAX(0,Z148*(1-Premissas!$C$53)-(Premissas!$C$14*(1+Premissas!$C$57)^((YEAR(Premissas!$C$25)-YEAR(Premissas!$C$18))*12+MONTH(Premissas!$C$25)-MONTH(Premissas!$C$18))*(1+Premissas!$C$34))),"")</f>
        <v>764609.247486396</v>
      </c>
      <c r="AB148" s="16" t="n">
        <f aca="false">IF($A148&gt;=Premissas!$C$25,Y148+AA148,"")</f>
        <v>27827.8204320031</v>
      </c>
      <c r="AC148" s="20" t="n">
        <f aca="false">IF(AND($A148&gt;=Premissas!$C$27,W148&gt;=M148),$A148,"")</f>
        <v>50740</v>
      </c>
      <c r="AD148" s="20" t="str">
        <f aca="false">IF(AND($A148&gt;=Premissas!$C$27,Y148&gt;=0),$A148,"")</f>
        <v/>
      </c>
      <c r="AE148" s="20" t="n">
        <f aca="false">IF(AND($A148&gt;=Premissas!$C$25,N(AB148)&gt;=0),$A148,"")</f>
        <v>50740</v>
      </c>
    </row>
    <row r="149" customFormat="false" ht="15" hidden="false" customHeight="false" outlineLevel="0" collapsed="false">
      <c r="A149" s="29" t="n">
        <f aca="false">DATE(YEAR(A148),MONTH(A148)+1,1)</f>
        <v>50771</v>
      </c>
      <c r="B149" s="30" t="str">
        <f aca="false">IF($A149&lt;Premissas!$C$25,"Obra",IF($A149=Premissas!$C$25,"Chaves",IF($A149&lt;Premissas!$C$27,"Mobiliando","Airbnb")))</f>
        <v>Airbnb</v>
      </c>
      <c r="C149" s="31" t="n">
        <f aca="false">(YEAR($A149)-YEAR(Premissas!$C$18))*12+MONTH($A149)-MONTH(Premissas!$C$18)</f>
        <v>148</v>
      </c>
      <c r="D149" s="32" t="n">
        <f aca="false">($A149=Premissas!$C$19)*Premissas!$C$8+(($A149=EDATE(Premissas!$C$19,1))+($A149=EDATE(Premissas!$C$19,2)))*Premissas!$C$9+AND($A149&gt;=Premissas!$C$20,$A149&lt;EDATE(Premissas!$C$20,Premissas!$C$21))*Premissas!$C$10+(($A149=Premissas!$C$22)+($A149=Premissas!$C$23)+($A149=Premissas!$C$24))*Premissas!$C$11+($A149=Premissas!$C$25)*Premissas!$C$12</f>
        <v>0</v>
      </c>
      <c r="E149" s="33" t="n">
        <f aca="false">(1+Premissas!$C$57)^C149</f>
        <v>1.93544277664674</v>
      </c>
      <c r="F149" s="32" t="n">
        <f aca="false">D149*E149</f>
        <v>0</v>
      </c>
      <c r="G149" s="32" t="n">
        <f aca="false">($A149=Premissas!$C$25)*Premissas!$C$34*Premissas!$C$14*(1+Premissas!$C$57)^C149</f>
        <v>0</v>
      </c>
      <c r="H149" s="32" t="n">
        <f aca="false">IF(AND($A149&gt;Premissas!$C$25,$A149&lt;Premissas!$C$27),Premissas!$C$35/MAX(1,Premissas!$C$26),0)</f>
        <v>0</v>
      </c>
      <c r="I149" s="31" t="n">
        <f aca="false">IF(AND($A149&gt;Premissas!$C$25,((YEAR($A149)-YEAR(Premissas!$C$25))*12+MONTH($A149)-MONTH(Premissas!$C$25))&lt;=Premissas!$C$32),((YEAR($A149)-YEAR(Premissas!$C$25))*12+MONTH($A149)-MONTH(Premissas!$C$25)),0)</f>
        <v>0</v>
      </c>
      <c r="J149" s="32" t="n">
        <f aca="false">IF(I149&gt;0,N148*(1+Premissas!$C$59),0)</f>
        <v>0</v>
      </c>
      <c r="K149" s="32" t="n">
        <f aca="false">J149*Premissas!$C$58</f>
        <v>0</v>
      </c>
      <c r="L149" s="32" t="n">
        <f aca="false">IF(I149&gt;0,J149/(Premissas!$C$32-I149+1),0)</f>
        <v>0</v>
      </c>
      <c r="M149" s="32" t="n">
        <f aca="false">K149+L149</f>
        <v>0</v>
      </c>
      <c r="N149" s="32" t="n">
        <f aca="false">IF($A149=Premissas!$C$25,Premissas!$C$13*E149,IF(I149&gt;0,J149-L149,0))</f>
        <v>0</v>
      </c>
      <c r="O149" s="34" t="n">
        <f aca="false">IF($A149&gt;=Premissas!$C$27,Premissas!$C$39*IF(((YEAR($A149)-YEAR(Premissas!$C$27))*12+MONTH($A149)-MONTH(Premissas!$C$27))&lt;Premissas!$C$41,Premissas!$C$42,1),0)</f>
        <v>0.62</v>
      </c>
      <c r="P149" s="32" t="n">
        <f aca="false">O149*Premissas!$C$38*Premissas!$C$40*(1+Premissas!$C$60)^((YEAR($A149)-YEAR(Premissas!$C$19))*12+MONTH($A149)-MONTH(Premissas!$C$19))</f>
        <v>6849.21583103259</v>
      </c>
      <c r="Q149" s="32" t="n">
        <f aca="false">P149*Premissas!$C$43</f>
        <v>1095.87453296521</v>
      </c>
      <c r="R149" s="32" t="n">
        <f aca="false">P149*Premissas!$C$44</f>
        <v>1369.84316620652</v>
      </c>
      <c r="S149" s="32" t="n">
        <f aca="false">IF($A149&gt;=Premissas!$C$25,Premissas!$C$45*(1+Premissas!$C$60)^((YEAR($A149)-YEAR(Premissas!$C$19))*12+MONTH($A149)-MONTH(Premissas!$C$19)),0)</f>
        <v>1200.77416392577</v>
      </c>
      <c r="T149" s="32" t="n">
        <f aca="false">IF($A149&gt;=Premissas!$C$27,Premissas!$C$46*(1+Premissas!$C$60)^((YEAR($A149)-YEAR(Premissas!$C$19))*12+MONTH($A149)-MONTH(Premissas!$C$19)),0)</f>
        <v>480.309665570308</v>
      </c>
      <c r="U149" s="32" t="n">
        <f aca="false">IF($A149&gt;=Premissas!$C$27,Premissas!$C$47*(1+Premissas!$C$60)^((YEAR($A149)-YEAR(Premissas!$C$19))*12+MONTH($A149)-MONTH(Premissas!$C$19)),0)</f>
        <v>240.154832785154</v>
      </c>
      <c r="V149" s="32" t="n">
        <f aca="false">IF($A149&gt;=Premissas!$C$27,MAX(0,P149-Q149-R149-S149)*Premissas!$C$49,0)</f>
        <v>875.249091182149</v>
      </c>
      <c r="W149" s="32" t="n">
        <f aca="false">P149-Q149-R149-S149-T149-U149-V149</f>
        <v>1587.01037839748</v>
      </c>
      <c r="X149" s="32" t="n">
        <f aca="false">W149-F149-G149-H149-M149</f>
        <v>1587.01037839748</v>
      </c>
      <c r="Y149" s="32" t="n">
        <f aca="false">Y148+X149</f>
        <v>-735194.416675995</v>
      </c>
      <c r="Z149" s="32" t="n">
        <f aca="false">Premissas!$C$14*(1+Premissas!$C$57)^((YEAR(Premissas!$C$19)-YEAR(Premissas!$C$18))*12+MONTH(Premissas!$C$19)-MONTH(Premissas!$C$18))*(1+Premissas!$C$61)^((YEAR($A149)-YEAR(Premissas!$C$19))*12+MONTH($A149)-MONTH(Premissas!$C$19))</f>
        <v>858812.669389307</v>
      </c>
      <c r="AA149" s="32" t="n">
        <f aca="false">IF($A149&gt;=Premissas!$C$25,Z149*(1-Premissas!$C$53)-N149-Premissas!$C$54*MAX(0,Z149*(1-Premissas!$C$53)-(Premissas!$C$14*(1+Premissas!$C$57)^((YEAR(Premissas!$C$25)-YEAR(Premissas!$C$18))*12+MONTH(Premissas!$C$25)-MONTH(Premissas!$C$18))*(1+Premissas!$C$34))),"")</f>
        <v>767393.532353721</v>
      </c>
      <c r="AB149" s="32" t="n">
        <f aca="false">IF($A149&gt;=Premissas!$C$25,Y149+AA149,"")</f>
        <v>32199.1156777261</v>
      </c>
      <c r="AC149" s="29" t="n">
        <f aca="false">IF(AND($A149&gt;=Premissas!$C$27,W149&gt;=M149),$A149,"")</f>
        <v>50771</v>
      </c>
      <c r="AD149" s="29" t="str">
        <f aca="false">IF(AND($A149&gt;=Premissas!$C$27,Y149&gt;=0),$A149,"")</f>
        <v/>
      </c>
      <c r="AE149" s="29" t="n">
        <f aca="false">IF(AND($A149&gt;=Premissas!$C$25,N(AB149)&gt;=0),$A149,"")</f>
        <v>50771</v>
      </c>
    </row>
    <row r="150" customFormat="false" ht="15" hidden="false" customHeight="false" outlineLevel="0" collapsed="false">
      <c r="A150" s="20" t="n">
        <f aca="false">DATE(YEAR(A149),MONTH(A149)+1,1)</f>
        <v>50802</v>
      </c>
      <c r="B150" s="5" t="str">
        <f aca="false">IF($A150&lt;Premissas!$C$25,"Obra",IF($A150=Premissas!$C$25,"Chaves",IF($A150&lt;Premissas!$C$27,"Mobiliando","Airbnb")))</f>
        <v>Airbnb</v>
      </c>
      <c r="C150" s="35" t="n">
        <f aca="false">(YEAR($A150)-YEAR(Premissas!$C$18))*12+MONTH($A150)-MONTH(Premissas!$C$18)</f>
        <v>149</v>
      </c>
      <c r="D150" s="16" t="n">
        <f aca="false">($A150=Premissas!$C$19)*Premissas!$C$8+(($A150=EDATE(Premissas!$C$19,1))+($A150=EDATE(Premissas!$C$19,2)))*Premissas!$C$9+AND($A150&gt;=Premissas!$C$20,$A150&lt;EDATE(Premissas!$C$20,Premissas!$C$21))*Premissas!$C$10+(($A150=Premissas!$C$22)+($A150=Premissas!$C$23)+($A150=Premissas!$C$24))*Premissas!$C$11+($A150=Premissas!$C$25)*Premissas!$C$12</f>
        <v>0</v>
      </c>
      <c r="E150" s="36" t="n">
        <f aca="false">(1+Premissas!$C$57)^C150</f>
        <v>1.94409749401507</v>
      </c>
      <c r="F150" s="16" t="n">
        <f aca="false">D150*E150</f>
        <v>0</v>
      </c>
      <c r="G150" s="16" t="n">
        <f aca="false">($A150=Premissas!$C$25)*Premissas!$C$34*Premissas!$C$14*(1+Premissas!$C$57)^C150</f>
        <v>0</v>
      </c>
      <c r="H150" s="16" t="n">
        <f aca="false">IF(AND($A150&gt;Premissas!$C$25,$A150&lt;Premissas!$C$27),Premissas!$C$35/MAX(1,Premissas!$C$26),0)</f>
        <v>0</v>
      </c>
      <c r="I150" s="35" t="n">
        <f aca="false">IF(AND($A150&gt;Premissas!$C$25,((YEAR($A150)-YEAR(Premissas!$C$25))*12+MONTH($A150)-MONTH(Premissas!$C$25))&lt;=Premissas!$C$32),((YEAR($A150)-YEAR(Premissas!$C$25))*12+MONTH($A150)-MONTH(Premissas!$C$25)),0)</f>
        <v>0</v>
      </c>
      <c r="J150" s="16" t="n">
        <f aca="false">IF(I150&gt;0,N149*(1+Premissas!$C$59),0)</f>
        <v>0</v>
      </c>
      <c r="K150" s="16" t="n">
        <f aca="false">J150*Premissas!$C$58</f>
        <v>0</v>
      </c>
      <c r="L150" s="16" t="n">
        <f aca="false">IF(I150&gt;0,J150/(Premissas!$C$32-I150+1),0)</f>
        <v>0</v>
      </c>
      <c r="M150" s="16" t="n">
        <f aca="false">K150+L150</f>
        <v>0</v>
      </c>
      <c r="N150" s="16" t="n">
        <f aca="false">IF($A150=Premissas!$C$25,Premissas!$C$13*E150,IF(I150&gt;0,J150-L150,0))</f>
        <v>0</v>
      </c>
      <c r="O150" s="37" t="n">
        <f aca="false">IF($A150&gt;=Premissas!$C$27,Premissas!$C$39*IF(((YEAR($A150)-YEAR(Premissas!$C$27))*12+MONTH($A150)-MONTH(Premissas!$C$27))&lt;Premissas!$C$41,Premissas!$C$42,1),0)</f>
        <v>0.62</v>
      </c>
      <c r="P150" s="16" t="n">
        <f aca="false">O150*Premissas!$C$38*Premissas!$C$40*(1+Premissas!$C$60)^((YEAR($A150)-YEAR(Premissas!$C$19))*12+MONTH($A150)-MONTH(Premissas!$C$19))</f>
        <v>6871.63838137551</v>
      </c>
      <c r="Q150" s="16" t="n">
        <f aca="false">P150*Premissas!$C$43</f>
        <v>1099.46214102008</v>
      </c>
      <c r="R150" s="16" t="n">
        <f aca="false">P150*Premissas!$C$44</f>
        <v>1374.3276762751</v>
      </c>
      <c r="S150" s="16" t="n">
        <f aca="false">IF($A150&gt;=Premissas!$C$25,Premissas!$C$45*(1+Premissas!$C$60)^((YEAR($A150)-YEAR(Premissas!$C$19))*12+MONTH($A150)-MONTH(Premissas!$C$19)),0)</f>
        <v>1204.70518607565</v>
      </c>
      <c r="T150" s="16" t="n">
        <f aca="false">IF($A150&gt;=Premissas!$C$27,Premissas!$C$46*(1+Premissas!$C$60)^((YEAR($A150)-YEAR(Premissas!$C$19))*12+MONTH($A150)-MONTH(Premissas!$C$19)),0)</f>
        <v>481.88207443026</v>
      </c>
      <c r="U150" s="16" t="n">
        <f aca="false">IF($A150&gt;=Premissas!$C$27,Premissas!$C$47*(1+Premissas!$C$60)^((YEAR($A150)-YEAR(Premissas!$C$19))*12+MONTH($A150)-MONTH(Premissas!$C$19)),0)</f>
        <v>240.94103721513</v>
      </c>
      <c r="V150" s="16" t="n">
        <f aca="false">IF($A150&gt;=Premissas!$C$27,MAX(0,P150-Q150-R150-S150)*Premissas!$C$49,0)</f>
        <v>878.114428951286</v>
      </c>
      <c r="W150" s="16" t="n">
        <f aca="false">P150-Q150-R150-S150-T150-U150-V150</f>
        <v>1592.205837408</v>
      </c>
      <c r="X150" s="16" t="n">
        <f aca="false">W150-F150-G150-H150-M150</f>
        <v>1592.205837408</v>
      </c>
      <c r="Y150" s="16" t="n">
        <f aca="false">Y149+X150</f>
        <v>-733602.210838587</v>
      </c>
      <c r="Z150" s="16" t="n">
        <f aca="false">Premissas!$C$14*(1+Premissas!$C$57)^((YEAR(Premissas!$C$19)-YEAR(Premissas!$C$18))*12+MONTH(Premissas!$C$19)-MONTH(Premissas!$C$18))*(1+Premissas!$C$61)^((YEAR($A150)-YEAR(Premissas!$C$19))*12+MONTH($A150)-MONTH(Premissas!$C$19))</f>
        <v>862311.578511364</v>
      </c>
      <c r="AA150" s="16" t="n">
        <f aca="false">IF($A150&gt;=Premissas!$C$25,Z150*(1-Premissas!$C$53)-N150-Premissas!$C$54*MAX(0,Z150*(1-Premissas!$C$53)-(Premissas!$C$14*(1+Premissas!$C$57)^((YEAR(Premissas!$C$25)-YEAR(Premissas!$C$18))*12+MONTH(Premissas!$C$25)-MONTH(Premissas!$C$18))*(1+Premissas!$C$34))),"")</f>
        <v>770189.160742245</v>
      </c>
      <c r="AB150" s="16" t="n">
        <f aca="false">IF($A150&gt;=Premissas!$C$25,Y150+AA150,"")</f>
        <v>36586.949903658</v>
      </c>
      <c r="AC150" s="20" t="n">
        <f aca="false">IF(AND($A150&gt;=Premissas!$C$27,W150&gt;=M150),$A150,"")</f>
        <v>50802</v>
      </c>
      <c r="AD150" s="20" t="str">
        <f aca="false">IF(AND($A150&gt;=Premissas!$C$27,Y150&gt;=0),$A150,"")</f>
        <v/>
      </c>
      <c r="AE150" s="20" t="n">
        <f aca="false">IF(AND($A150&gt;=Premissas!$C$25,N(AB150)&gt;=0),$A150,"")</f>
        <v>50802</v>
      </c>
    </row>
    <row r="151" customFormat="false" ht="15" hidden="false" customHeight="false" outlineLevel="0" collapsed="false">
      <c r="A151" s="20" t="n">
        <f aca="false">DATE(YEAR(A150),MONTH(A150)+1,1)</f>
        <v>50830</v>
      </c>
      <c r="B151" s="5" t="str">
        <f aca="false">IF($A151&lt;Premissas!$C$25,"Obra",IF($A151=Premissas!$C$25,"Chaves",IF($A151&lt;Premissas!$C$27,"Mobiliando","Airbnb")))</f>
        <v>Airbnb</v>
      </c>
      <c r="C151" s="35" t="n">
        <f aca="false">(YEAR($A151)-YEAR(Premissas!$C$18))*12+MONTH($A151)-MONTH(Premissas!$C$18)</f>
        <v>150</v>
      </c>
      <c r="D151" s="16" t="n">
        <f aca="false">($A151=Premissas!$C$19)*Premissas!$C$8+(($A151=EDATE(Premissas!$C$19,1))+($A151=EDATE(Premissas!$C$19,2)))*Premissas!$C$9+AND($A151&gt;=Premissas!$C$20,$A151&lt;EDATE(Premissas!$C$20,Premissas!$C$21))*Premissas!$C$10+(($A151=Premissas!$C$22)+($A151=Premissas!$C$23)+($A151=Premissas!$C$24))*Premissas!$C$11+($A151=Premissas!$C$25)*Premissas!$C$12</f>
        <v>0</v>
      </c>
      <c r="E151" s="36" t="n">
        <f aca="false">(1+Premissas!$C$57)^C151</f>
        <v>1.95279091267369</v>
      </c>
      <c r="F151" s="16" t="n">
        <f aca="false">D151*E151</f>
        <v>0</v>
      </c>
      <c r="G151" s="16" t="n">
        <f aca="false">($A151=Premissas!$C$25)*Premissas!$C$34*Premissas!$C$14*(1+Premissas!$C$57)^C151</f>
        <v>0</v>
      </c>
      <c r="H151" s="16" t="n">
        <f aca="false">IF(AND($A151&gt;Premissas!$C$25,$A151&lt;Premissas!$C$27),Premissas!$C$35/MAX(1,Premissas!$C$26),0)</f>
        <v>0</v>
      </c>
      <c r="I151" s="35" t="n">
        <f aca="false">IF(AND($A151&gt;Premissas!$C$25,((YEAR($A151)-YEAR(Premissas!$C$25))*12+MONTH($A151)-MONTH(Premissas!$C$25))&lt;=Premissas!$C$32),((YEAR($A151)-YEAR(Premissas!$C$25))*12+MONTH($A151)-MONTH(Premissas!$C$25)),0)</f>
        <v>0</v>
      </c>
      <c r="J151" s="16" t="n">
        <f aca="false">IF(I151&gt;0,N150*(1+Premissas!$C$59),0)</f>
        <v>0</v>
      </c>
      <c r="K151" s="16" t="n">
        <f aca="false">J151*Premissas!$C$58</f>
        <v>0</v>
      </c>
      <c r="L151" s="16" t="n">
        <f aca="false">IF(I151&gt;0,J151/(Premissas!$C$32-I151+1),0)</f>
        <v>0</v>
      </c>
      <c r="M151" s="16" t="n">
        <f aca="false">K151+L151</f>
        <v>0</v>
      </c>
      <c r="N151" s="16" t="n">
        <f aca="false">IF($A151=Premissas!$C$25,Premissas!$C$13*E151,IF(I151&gt;0,J151-L151,0))</f>
        <v>0</v>
      </c>
      <c r="O151" s="37" t="n">
        <f aca="false">IF($A151&gt;=Premissas!$C$27,Premissas!$C$39*IF(((YEAR($A151)-YEAR(Premissas!$C$27))*12+MONTH($A151)-MONTH(Premissas!$C$27))&lt;Premissas!$C$41,Premissas!$C$42,1),0)</f>
        <v>0.62</v>
      </c>
      <c r="P151" s="16" t="n">
        <f aca="false">O151*Premissas!$C$38*Premissas!$C$40*(1+Premissas!$C$60)^((YEAR($A151)-YEAR(Premissas!$C$19))*12+MONTH($A151)-MONTH(Premissas!$C$19))</f>
        <v>6894.1343373135</v>
      </c>
      <c r="Q151" s="16" t="n">
        <f aca="false">P151*Premissas!$C$43</f>
        <v>1103.06149397016</v>
      </c>
      <c r="R151" s="16" t="n">
        <f aca="false">P151*Premissas!$C$44</f>
        <v>1378.8268674627</v>
      </c>
      <c r="S151" s="16" t="n">
        <f aca="false">IF($A151&gt;=Premissas!$C$25,Premissas!$C$45*(1+Premissas!$C$60)^((YEAR($A151)-YEAR(Premissas!$C$19))*12+MONTH($A151)-MONTH(Premissas!$C$19)),0)</f>
        <v>1208.64907736913</v>
      </c>
      <c r="T151" s="16" t="n">
        <f aca="false">IF($A151&gt;=Premissas!$C$27,Premissas!$C$46*(1+Premissas!$C$60)^((YEAR($A151)-YEAR(Premissas!$C$19))*12+MONTH($A151)-MONTH(Premissas!$C$19)),0)</f>
        <v>483.459630947651</v>
      </c>
      <c r="U151" s="16" t="n">
        <f aca="false">IF($A151&gt;=Premissas!$C$27,Premissas!$C$47*(1+Premissas!$C$60)^((YEAR($A151)-YEAR(Premissas!$C$19))*12+MONTH($A151)-MONTH(Premissas!$C$19)),0)</f>
        <v>241.729815473825</v>
      </c>
      <c r="V151" s="16" t="n">
        <f aca="false">IF($A151&gt;=Premissas!$C$27,MAX(0,P151-Q151-R151-S151)*Premissas!$C$49,0)</f>
        <v>880.989147090666</v>
      </c>
      <c r="W151" s="16" t="n">
        <f aca="false">P151-Q151-R151-S151-T151-U151-V151</f>
        <v>1597.41830499937</v>
      </c>
      <c r="X151" s="16" t="n">
        <f aca="false">W151-F151-G151-H151-M151</f>
        <v>1597.41830499937</v>
      </c>
      <c r="Y151" s="16" t="n">
        <f aca="false">Y150+X151</f>
        <v>-732004.792533588</v>
      </c>
      <c r="Z151" s="16" t="n">
        <f aca="false">Premissas!$C$14*(1+Premissas!$C$57)^((YEAR(Premissas!$C$19)-YEAR(Premissas!$C$18))*12+MONTH(Premissas!$C$19)-MONTH(Premissas!$C$18))*(1+Premissas!$C$61)^((YEAR($A151)-YEAR(Premissas!$C$19))*12+MONTH($A151)-MONTH(Premissas!$C$19))</f>
        <v>865824.742622293</v>
      </c>
      <c r="AA151" s="16" t="n">
        <f aca="false">IF($A151&gt;=Premissas!$C$25,Z151*(1-Premissas!$C$53)-N151-Premissas!$C$54*MAX(0,Z151*(1-Premissas!$C$53)-(Premissas!$C$14*(1+Premissas!$C$57)^((YEAR(Premissas!$C$25)-YEAR(Premissas!$C$18))*12+MONTH(Premissas!$C$25)-MONTH(Premissas!$C$18))*(1+Premissas!$C$34))),"")</f>
        <v>772996.178866877</v>
      </c>
      <c r="AB151" s="16" t="n">
        <f aca="false">IF($A151&gt;=Premissas!$C$25,Y151+AA151,"")</f>
        <v>40991.3863332893</v>
      </c>
      <c r="AC151" s="20" t="n">
        <f aca="false">IF(AND($A151&gt;=Premissas!$C$27,W151&gt;=M151),$A151,"")</f>
        <v>50830</v>
      </c>
      <c r="AD151" s="20" t="str">
        <f aca="false">IF(AND($A151&gt;=Premissas!$C$27,Y151&gt;=0),$A151,"")</f>
        <v/>
      </c>
      <c r="AE151" s="20" t="n">
        <f aca="false">IF(AND($A151&gt;=Premissas!$C$25,N(AB151)&gt;=0),$A151,"")</f>
        <v>50830</v>
      </c>
    </row>
    <row r="152" customFormat="false" ht="15" hidden="false" customHeight="false" outlineLevel="0" collapsed="false">
      <c r="A152" s="20" t="n">
        <f aca="false">DATE(YEAR(A151),MONTH(A151)+1,1)</f>
        <v>50861</v>
      </c>
      <c r="B152" s="5" t="str">
        <f aca="false">IF($A152&lt;Premissas!$C$25,"Obra",IF($A152=Premissas!$C$25,"Chaves",IF($A152&lt;Premissas!$C$27,"Mobiliando","Airbnb")))</f>
        <v>Airbnb</v>
      </c>
      <c r="C152" s="35" t="n">
        <f aca="false">(YEAR($A152)-YEAR(Premissas!$C$18))*12+MONTH($A152)-MONTH(Premissas!$C$18)</f>
        <v>151</v>
      </c>
      <c r="D152" s="16" t="n">
        <f aca="false">($A152=Premissas!$C$19)*Premissas!$C$8+(($A152=EDATE(Premissas!$C$19,1))+($A152=EDATE(Premissas!$C$19,2)))*Premissas!$C$9+AND($A152&gt;=Premissas!$C$20,$A152&lt;EDATE(Premissas!$C$20,Premissas!$C$21))*Premissas!$C$10+(($A152=Premissas!$C$22)+($A152=Premissas!$C$23)+($A152=Premissas!$C$24))*Premissas!$C$11+($A152=Premissas!$C$25)*Premissas!$C$12</f>
        <v>0</v>
      </c>
      <c r="E152" s="36" t="n">
        <f aca="false">(1+Premissas!$C$57)^C152</f>
        <v>1.9615232056831</v>
      </c>
      <c r="F152" s="16" t="n">
        <f aca="false">D152*E152</f>
        <v>0</v>
      </c>
      <c r="G152" s="16" t="n">
        <f aca="false">($A152=Premissas!$C$25)*Premissas!$C$34*Premissas!$C$14*(1+Premissas!$C$57)^C152</f>
        <v>0</v>
      </c>
      <c r="H152" s="16" t="n">
        <f aca="false">IF(AND($A152&gt;Premissas!$C$25,$A152&lt;Premissas!$C$27),Premissas!$C$35/MAX(1,Premissas!$C$26),0)</f>
        <v>0</v>
      </c>
      <c r="I152" s="35" t="n">
        <f aca="false">IF(AND($A152&gt;Premissas!$C$25,((YEAR($A152)-YEAR(Premissas!$C$25))*12+MONTH($A152)-MONTH(Premissas!$C$25))&lt;=Premissas!$C$32),((YEAR($A152)-YEAR(Premissas!$C$25))*12+MONTH($A152)-MONTH(Premissas!$C$25)),0)</f>
        <v>0</v>
      </c>
      <c r="J152" s="16" t="n">
        <f aca="false">IF(I152&gt;0,N151*(1+Premissas!$C$59),0)</f>
        <v>0</v>
      </c>
      <c r="K152" s="16" t="n">
        <f aca="false">J152*Premissas!$C$58</f>
        <v>0</v>
      </c>
      <c r="L152" s="16" t="n">
        <f aca="false">IF(I152&gt;0,J152/(Premissas!$C$32-I152+1),0)</f>
        <v>0</v>
      </c>
      <c r="M152" s="16" t="n">
        <f aca="false">K152+L152</f>
        <v>0</v>
      </c>
      <c r="N152" s="16" t="n">
        <f aca="false">IF($A152=Premissas!$C$25,Premissas!$C$13*E152,IF(I152&gt;0,J152-L152,0))</f>
        <v>0</v>
      </c>
      <c r="O152" s="37" t="n">
        <f aca="false">IF($A152&gt;=Premissas!$C$27,Premissas!$C$39*IF(((YEAR($A152)-YEAR(Premissas!$C$27))*12+MONTH($A152)-MONTH(Premissas!$C$27))&lt;Premissas!$C$41,Premissas!$C$42,1),0)</f>
        <v>0.62</v>
      </c>
      <c r="P152" s="16" t="n">
        <f aca="false">O152*Premissas!$C$38*Premissas!$C$40*(1+Premissas!$C$60)^((YEAR($A152)-YEAR(Premissas!$C$19))*12+MONTH($A152)-MONTH(Premissas!$C$19))</f>
        <v>6916.70393915739</v>
      </c>
      <c r="Q152" s="16" t="n">
        <f aca="false">P152*Premissas!$C$43</f>
        <v>1106.67263026518</v>
      </c>
      <c r="R152" s="16" t="n">
        <f aca="false">P152*Premissas!$C$44</f>
        <v>1383.34078783148</v>
      </c>
      <c r="S152" s="16" t="n">
        <f aca="false">IF($A152&gt;=Premissas!$C$25,Premissas!$C$45*(1+Premissas!$C$60)^((YEAR($A152)-YEAR(Premissas!$C$19))*12+MONTH($A152)-MONTH(Premissas!$C$19)),0)</f>
        <v>1212.60587993643</v>
      </c>
      <c r="T152" s="16" t="n">
        <f aca="false">IF($A152&gt;=Premissas!$C$27,Premissas!$C$46*(1+Premissas!$C$60)^((YEAR($A152)-YEAR(Premissas!$C$19))*12+MONTH($A152)-MONTH(Premissas!$C$19)),0)</f>
        <v>485.042351974571</v>
      </c>
      <c r="U152" s="16" t="n">
        <f aca="false">IF($A152&gt;=Premissas!$C$27,Premissas!$C$47*(1+Premissas!$C$60)^((YEAR($A152)-YEAR(Premissas!$C$19))*12+MONTH($A152)-MONTH(Premissas!$C$19)),0)</f>
        <v>242.521175987286</v>
      </c>
      <c r="V152" s="16" t="n">
        <f aca="false">IF($A152&gt;=Premissas!$C$27,MAX(0,P152-Q152-R152-S152)*Premissas!$C$49,0)</f>
        <v>883.873276309182</v>
      </c>
      <c r="W152" s="16" t="n">
        <f aca="false">P152-Q152-R152-S152-T152-U152-V152</f>
        <v>1602.64783685326</v>
      </c>
      <c r="X152" s="16" t="n">
        <f aca="false">W152-F152-G152-H152-M152</f>
        <v>1602.64783685326</v>
      </c>
      <c r="Y152" s="16" t="n">
        <f aca="false">Y151+X152</f>
        <v>-730402.144696735</v>
      </c>
      <c r="Z152" s="16" t="n">
        <f aca="false">Premissas!$C$14*(1+Premissas!$C$57)^((YEAR(Premissas!$C$19)-YEAR(Premissas!$C$18))*12+MONTH(Premissas!$C$19)-MONTH(Premissas!$C$18))*(1+Premissas!$C$61)^((YEAR($A152)-YEAR(Premissas!$C$19))*12+MONTH($A152)-MONTH(Premissas!$C$19))</f>
        <v>869352.219798681</v>
      </c>
      <c r="AA152" s="16" t="n">
        <f aca="false">IF($A152&gt;=Premissas!$C$25,Z152*(1-Premissas!$C$53)-N152-Premissas!$C$54*MAX(0,Z152*(1-Premissas!$C$53)-(Premissas!$C$14*(1+Premissas!$C$57)^((YEAR(Premissas!$C$25)-YEAR(Premissas!$C$18))*12+MONTH(Premissas!$C$25)-MONTH(Premissas!$C$18))*(1+Premissas!$C$34))),"")</f>
        <v>775814.633130812</v>
      </c>
      <c r="AB152" s="16" t="n">
        <f aca="false">IF($A152&gt;=Premissas!$C$25,Y152+AA152,"")</f>
        <v>45412.4884340771</v>
      </c>
      <c r="AC152" s="20" t="n">
        <f aca="false">IF(AND($A152&gt;=Premissas!$C$27,W152&gt;=M152),$A152,"")</f>
        <v>50861</v>
      </c>
      <c r="AD152" s="20" t="str">
        <f aca="false">IF(AND($A152&gt;=Premissas!$C$27,Y152&gt;=0),$A152,"")</f>
        <v/>
      </c>
      <c r="AE152" s="20" t="n">
        <f aca="false">IF(AND($A152&gt;=Premissas!$C$25,N(AB152)&gt;=0),$A152,"")</f>
        <v>50861</v>
      </c>
    </row>
    <row r="153" customFormat="false" ht="15" hidden="false" customHeight="false" outlineLevel="0" collapsed="false">
      <c r="A153" s="20" t="n">
        <f aca="false">DATE(YEAR(A152),MONTH(A152)+1,1)</f>
        <v>50891</v>
      </c>
      <c r="B153" s="5" t="str">
        <f aca="false">IF($A153&lt;Premissas!$C$25,"Obra",IF($A153=Premissas!$C$25,"Chaves",IF($A153&lt;Premissas!$C$27,"Mobiliando","Airbnb")))</f>
        <v>Airbnb</v>
      </c>
      <c r="C153" s="35" t="n">
        <f aca="false">(YEAR($A153)-YEAR(Premissas!$C$18))*12+MONTH($A153)-MONTH(Premissas!$C$18)</f>
        <v>152</v>
      </c>
      <c r="D153" s="16" t="n">
        <f aca="false">($A153=Premissas!$C$19)*Premissas!$C$8+(($A153=EDATE(Premissas!$C$19,1))+($A153=EDATE(Premissas!$C$19,2)))*Premissas!$C$9+AND($A153&gt;=Premissas!$C$20,$A153&lt;EDATE(Premissas!$C$20,Premissas!$C$21))*Premissas!$C$10+(($A153=Premissas!$C$22)+($A153=Premissas!$C$23)+($A153=Premissas!$C$24))*Premissas!$C$11+($A153=Premissas!$C$25)*Premissas!$C$12</f>
        <v>0</v>
      </c>
      <c r="E153" s="36" t="n">
        <f aca="false">(1+Premissas!$C$57)^C153</f>
        <v>1.97029454687771</v>
      </c>
      <c r="F153" s="16" t="n">
        <f aca="false">D153*E153</f>
        <v>0</v>
      </c>
      <c r="G153" s="16" t="n">
        <f aca="false">($A153=Premissas!$C$25)*Premissas!$C$34*Premissas!$C$14*(1+Premissas!$C$57)^C153</f>
        <v>0</v>
      </c>
      <c r="H153" s="16" t="n">
        <f aca="false">IF(AND($A153&gt;Premissas!$C$25,$A153&lt;Premissas!$C$27),Premissas!$C$35/MAX(1,Premissas!$C$26),0)</f>
        <v>0</v>
      </c>
      <c r="I153" s="35" t="n">
        <f aca="false">IF(AND($A153&gt;Premissas!$C$25,((YEAR($A153)-YEAR(Premissas!$C$25))*12+MONTH($A153)-MONTH(Premissas!$C$25))&lt;=Premissas!$C$32),((YEAR($A153)-YEAR(Premissas!$C$25))*12+MONTH($A153)-MONTH(Premissas!$C$25)),0)</f>
        <v>0</v>
      </c>
      <c r="J153" s="16" t="n">
        <f aca="false">IF(I153&gt;0,N152*(1+Premissas!$C$59),0)</f>
        <v>0</v>
      </c>
      <c r="K153" s="16" t="n">
        <f aca="false">J153*Premissas!$C$58</f>
        <v>0</v>
      </c>
      <c r="L153" s="16" t="n">
        <f aca="false">IF(I153&gt;0,J153/(Premissas!$C$32-I153+1),0)</f>
        <v>0</v>
      </c>
      <c r="M153" s="16" t="n">
        <f aca="false">K153+L153</f>
        <v>0</v>
      </c>
      <c r="N153" s="16" t="n">
        <f aca="false">IF($A153=Premissas!$C$25,Premissas!$C$13*E153,IF(I153&gt;0,J153-L153,0))</f>
        <v>0</v>
      </c>
      <c r="O153" s="37" t="n">
        <f aca="false">IF($A153&gt;=Premissas!$C$27,Premissas!$C$39*IF(((YEAR($A153)-YEAR(Premissas!$C$27))*12+MONTH($A153)-MONTH(Premissas!$C$27))&lt;Premissas!$C$41,Premissas!$C$42,1),0)</f>
        <v>0.62</v>
      </c>
      <c r="P153" s="16" t="n">
        <f aca="false">O153*Premissas!$C$38*Premissas!$C$40*(1+Premissas!$C$60)^((YEAR($A153)-YEAR(Premissas!$C$19))*12+MONTH($A153)-MONTH(Premissas!$C$19))</f>
        <v>6939.3474280047</v>
      </c>
      <c r="Q153" s="16" t="n">
        <f aca="false">P153*Premissas!$C$43</f>
        <v>1110.29558848075</v>
      </c>
      <c r="R153" s="16" t="n">
        <f aca="false">P153*Premissas!$C$44</f>
        <v>1387.86948560094</v>
      </c>
      <c r="S153" s="16" t="n">
        <f aca="false">IF($A153&gt;=Premissas!$C$25,Premissas!$C$45*(1+Premissas!$C$60)^((YEAR($A153)-YEAR(Premissas!$C$19))*12+MONTH($A153)-MONTH(Premissas!$C$19)),0)</f>
        <v>1216.5756360457</v>
      </c>
      <c r="T153" s="16" t="n">
        <f aca="false">IF($A153&gt;=Premissas!$C$27,Premissas!$C$46*(1+Premissas!$C$60)^((YEAR($A153)-YEAR(Premissas!$C$19))*12+MONTH($A153)-MONTH(Premissas!$C$19)),0)</f>
        <v>486.630254418282</v>
      </c>
      <c r="U153" s="16" t="n">
        <f aca="false">IF($A153&gt;=Premissas!$C$27,Premissas!$C$47*(1+Premissas!$C$60)^((YEAR($A153)-YEAR(Premissas!$C$19))*12+MONTH($A153)-MONTH(Premissas!$C$19)),0)</f>
        <v>243.315127209141</v>
      </c>
      <c r="V153" s="16" t="n">
        <f aca="false">IF($A153&gt;=Premissas!$C$27,MAX(0,P153-Q153-R153-S153)*Premissas!$C$49,0)</f>
        <v>886.766847416258</v>
      </c>
      <c r="W153" s="16" t="n">
        <f aca="false">P153-Q153-R153-S153-T153-U153-V153</f>
        <v>1607.89448883362</v>
      </c>
      <c r="X153" s="16" t="n">
        <f aca="false">W153-F153-G153-H153-M153</f>
        <v>1607.89448883362</v>
      </c>
      <c r="Y153" s="16" t="n">
        <f aca="false">Y152+X153</f>
        <v>-728794.250207901</v>
      </c>
      <c r="Z153" s="16" t="n">
        <f aca="false">Premissas!$C$14*(1+Premissas!$C$57)^((YEAR(Premissas!$C$19)-YEAR(Premissas!$C$18))*12+MONTH(Premissas!$C$19)-MONTH(Premissas!$C$18))*(1+Premissas!$C$61)^((YEAR($A153)-YEAR(Premissas!$C$19))*12+MONTH($A153)-MONTH(Premissas!$C$19))</f>
        <v>872894.068353731</v>
      </c>
      <c r="AA153" s="16" t="n">
        <f aca="false">IF($A153&gt;=Premissas!$C$25,Z153*(1-Premissas!$C$53)-N153-Premissas!$C$54*MAX(0,Z153*(1-Premissas!$C$53)-(Premissas!$C$14*(1+Premissas!$C$57)^((YEAR(Premissas!$C$25)-YEAR(Premissas!$C$18))*12+MONTH(Premissas!$C$25)-MONTH(Premissas!$C$18))*(1+Premissas!$C$34))),"")</f>
        <v>778644.570126296</v>
      </c>
      <c r="AB153" s="16" t="n">
        <f aca="false">IF($A153&gt;=Premissas!$C$25,Y153+AA153,"")</f>
        <v>49850.3199183951</v>
      </c>
      <c r="AC153" s="20" t="n">
        <f aca="false">IF(AND($A153&gt;=Premissas!$C$27,W153&gt;=M153),$A153,"")</f>
        <v>50891</v>
      </c>
      <c r="AD153" s="20" t="str">
        <f aca="false">IF(AND($A153&gt;=Premissas!$C$27,Y153&gt;=0),$A153,"")</f>
        <v/>
      </c>
      <c r="AE153" s="20" t="n">
        <f aca="false">IF(AND($A153&gt;=Premissas!$C$25,N(AB153)&gt;=0),$A153,"")</f>
        <v>50891</v>
      </c>
    </row>
    <row r="154" customFormat="false" ht="15" hidden="false" customHeight="false" outlineLevel="0" collapsed="false">
      <c r="A154" s="20" t="n">
        <f aca="false">DATE(YEAR(A153),MONTH(A153)+1,1)</f>
        <v>50922</v>
      </c>
      <c r="B154" s="5" t="str">
        <f aca="false">IF($A154&lt;Premissas!$C$25,"Obra",IF($A154=Premissas!$C$25,"Chaves",IF($A154&lt;Premissas!$C$27,"Mobiliando","Airbnb")))</f>
        <v>Airbnb</v>
      </c>
      <c r="C154" s="35" t="n">
        <f aca="false">(YEAR($A154)-YEAR(Premissas!$C$18))*12+MONTH($A154)-MONTH(Premissas!$C$18)</f>
        <v>153</v>
      </c>
      <c r="D154" s="16" t="n">
        <f aca="false">($A154=Premissas!$C$19)*Premissas!$C$8+(($A154=EDATE(Premissas!$C$19,1))+($A154=EDATE(Premissas!$C$19,2)))*Premissas!$C$9+AND($A154&gt;=Premissas!$C$20,$A154&lt;EDATE(Premissas!$C$20,Premissas!$C$21))*Premissas!$C$10+(($A154=Premissas!$C$22)+($A154=Premissas!$C$23)+($A154=Premissas!$C$24))*Premissas!$C$11+($A154=Premissas!$C$25)*Premissas!$C$12</f>
        <v>0</v>
      </c>
      <c r="E154" s="36" t="n">
        <f aca="false">(1+Premissas!$C$57)^C154</f>
        <v>1.97910511086924</v>
      </c>
      <c r="F154" s="16" t="n">
        <f aca="false">D154*E154</f>
        <v>0</v>
      </c>
      <c r="G154" s="16" t="n">
        <f aca="false">($A154=Premissas!$C$25)*Premissas!$C$34*Premissas!$C$14*(1+Premissas!$C$57)^C154</f>
        <v>0</v>
      </c>
      <c r="H154" s="16" t="n">
        <f aca="false">IF(AND($A154&gt;Premissas!$C$25,$A154&lt;Premissas!$C$27),Premissas!$C$35/MAX(1,Premissas!$C$26),0)</f>
        <v>0</v>
      </c>
      <c r="I154" s="35" t="n">
        <f aca="false">IF(AND($A154&gt;Premissas!$C$25,((YEAR($A154)-YEAR(Premissas!$C$25))*12+MONTH($A154)-MONTH(Premissas!$C$25))&lt;=Premissas!$C$32),((YEAR($A154)-YEAR(Premissas!$C$25))*12+MONTH($A154)-MONTH(Premissas!$C$25)),0)</f>
        <v>0</v>
      </c>
      <c r="J154" s="16" t="n">
        <f aca="false">IF(I154&gt;0,N153*(1+Premissas!$C$59),0)</f>
        <v>0</v>
      </c>
      <c r="K154" s="16" t="n">
        <f aca="false">J154*Premissas!$C$58</f>
        <v>0</v>
      </c>
      <c r="L154" s="16" t="n">
        <f aca="false">IF(I154&gt;0,J154/(Premissas!$C$32-I154+1),0)</f>
        <v>0</v>
      </c>
      <c r="M154" s="16" t="n">
        <f aca="false">K154+L154</f>
        <v>0</v>
      </c>
      <c r="N154" s="16" t="n">
        <f aca="false">IF($A154=Premissas!$C$25,Premissas!$C$13*E154,IF(I154&gt;0,J154-L154,0))</f>
        <v>0</v>
      </c>
      <c r="O154" s="37" t="n">
        <f aca="false">IF($A154&gt;=Premissas!$C$27,Premissas!$C$39*IF(((YEAR($A154)-YEAR(Premissas!$C$27))*12+MONTH($A154)-MONTH(Premissas!$C$27))&lt;Premissas!$C$41,Premissas!$C$42,1),0)</f>
        <v>0.62</v>
      </c>
      <c r="P154" s="16" t="n">
        <f aca="false">O154*Premissas!$C$38*Premissas!$C$40*(1+Premissas!$C$60)^((YEAR($A154)-YEAR(Premissas!$C$19))*12+MONTH($A154)-MONTH(Premissas!$C$19))</f>
        <v>6962.06504574226</v>
      </c>
      <c r="Q154" s="16" t="n">
        <f aca="false">P154*Premissas!$C$43</f>
        <v>1113.93040731876</v>
      </c>
      <c r="R154" s="16" t="n">
        <f aca="false">P154*Premissas!$C$44</f>
        <v>1392.41300914845</v>
      </c>
      <c r="S154" s="16" t="n">
        <f aca="false">IF($A154&gt;=Premissas!$C$25,Premissas!$C$45*(1+Premissas!$C$60)^((YEAR($A154)-YEAR(Premissas!$C$19))*12+MONTH($A154)-MONTH(Premissas!$C$19)),0)</f>
        <v>1220.55838810348</v>
      </c>
      <c r="T154" s="16" t="n">
        <f aca="false">IF($A154&gt;=Premissas!$C$27,Premissas!$C$46*(1+Premissas!$C$60)^((YEAR($A154)-YEAR(Premissas!$C$19))*12+MONTH($A154)-MONTH(Premissas!$C$19)),0)</f>
        <v>488.223355241393</v>
      </c>
      <c r="U154" s="16" t="n">
        <f aca="false">IF($A154&gt;=Premissas!$C$27,Premissas!$C$47*(1+Premissas!$C$60)^((YEAR($A154)-YEAR(Premissas!$C$19))*12+MONTH($A154)-MONTH(Premissas!$C$19)),0)</f>
        <v>244.111677620696</v>
      </c>
      <c r="V154" s="16" t="n">
        <f aca="false">IF($A154&gt;=Premissas!$C$27,MAX(0,P154-Q154-R154-S154)*Premissas!$C$49,0)</f>
        <v>889.66989132218</v>
      </c>
      <c r="W154" s="16" t="n">
        <f aca="false">P154-Q154-R154-S154-T154-U154-V154</f>
        <v>1613.15831698729</v>
      </c>
      <c r="X154" s="16" t="n">
        <f aca="false">W154-F154-G154-H154-M154</f>
        <v>1613.15831698729</v>
      </c>
      <c r="Y154" s="16" t="n">
        <f aca="false">Y153+X154</f>
        <v>-727181.091890914</v>
      </c>
      <c r="Z154" s="16" t="n">
        <f aca="false">Premissas!$C$14*(1+Premissas!$C$57)^((YEAR(Premissas!$C$19)-YEAR(Premissas!$C$18))*12+MONTH(Premissas!$C$19)-MONTH(Premissas!$C$18))*(1+Premissas!$C$61)^((YEAR($A154)-YEAR(Premissas!$C$19))*12+MONTH($A154)-MONTH(Premissas!$C$19))</f>
        <v>876450.346838216</v>
      </c>
      <c r="AA154" s="16" t="n">
        <f aca="false">IF($A154&gt;=Premissas!$C$25,Z154*(1-Premissas!$C$53)-N154-Premissas!$C$54*MAX(0,Z154*(1-Premissas!$C$53)-(Premissas!$C$14*(1+Premissas!$C$57)^((YEAR(Premissas!$C$25)-YEAR(Premissas!$C$18))*12+MONTH(Premissas!$C$25)-MONTH(Premissas!$C$18))*(1+Premissas!$C$34))),"")</f>
        <v>781486.0366354</v>
      </c>
      <c r="AB154" s="16" t="n">
        <f aca="false">IF($A154&gt;=Premissas!$C$25,Y154+AA154,"")</f>
        <v>54304.9447444864</v>
      </c>
      <c r="AC154" s="20" t="n">
        <f aca="false">IF(AND($A154&gt;=Premissas!$C$27,W154&gt;=M154),$A154,"")</f>
        <v>50922</v>
      </c>
      <c r="AD154" s="20" t="str">
        <f aca="false">IF(AND($A154&gt;=Premissas!$C$27,Y154&gt;=0),$A154,"")</f>
        <v/>
      </c>
      <c r="AE154" s="20" t="n">
        <f aca="false">IF(AND($A154&gt;=Premissas!$C$25,N(AB154)&gt;=0),$A154,"")</f>
        <v>50922</v>
      </c>
    </row>
    <row r="155" customFormat="false" ht="15" hidden="false" customHeight="false" outlineLevel="0" collapsed="false">
      <c r="A155" s="20" t="n">
        <f aca="false">DATE(YEAR(A154),MONTH(A154)+1,1)</f>
        <v>50952</v>
      </c>
      <c r="B155" s="5" t="str">
        <f aca="false">IF($A155&lt;Premissas!$C$25,"Obra",IF($A155=Premissas!$C$25,"Chaves",IF($A155&lt;Premissas!$C$27,"Mobiliando","Airbnb")))</f>
        <v>Airbnb</v>
      </c>
      <c r="C155" s="35" t="n">
        <f aca="false">(YEAR($A155)-YEAR(Premissas!$C$18))*12+MONTH($A155)-MONTH(Premissas!$C$18)</f>
        <v>154</v>
      </c>
      <c r="D155" s="16" t="n">
        <f aca="false">($A155=Premissas!$C$19)*Premissas!$C$8+(($A155=EDATE(Premissas!$C$19,1))+($A155=EDATE(Premissas!$C$19,2)))*Premissas!$C$9+AND($A155&gt;=Premissas!$C$20,$A155&lt;EDATE(Premissas!$C$20,Premissas!$C$21))*Premissas!$C$10+(($A155=Premissas!$C$22)+($A155=Premissas!$C$23)+($A155=Premissas!$C$24))*Premissas!$C$11+($A155=Premissas!$C$25)*Premissas!$C$12</f>
        <v>0</v>
      </c>
      <c r="E155" s="36" t="n">
        <f aca="false">(1+Premissas!$C$57)^C155</f>
        <v>1.98795507305023</v>
      </c>
      <c r="F155" s="16" t="n">
        <f aca="false">D155*E155</f>
        <v>0</v>
      </c>
      <c r="G155" s="16" t="n">
        <f aca="false">($A155=Premissas!$C$25)*Premissas!$C$34*Premissas!$C$14*(1+Premissas!$C$57)^C155</f>
        <v>0</v>
      </c>
      <c r="H155" s="16" t="n">
        <f aca="false">IF(AND($A155&gt;Premissas!$C$25,$A155&lt;Premissas!$C$27),Premissas!$C$35/MAX(1,Premissas!$C$26),0)</f>
        <v>0</v>
      </c>
      <c r="I155" s="35" t="n">
        <f aca="false">IF(AND($A155&gt;Premissas!$C$25,((YEAR($A155)-YEAR(Premissas!$C$25))*12+MONTH($A155)-MONTH(Premissas!$C$25))&lt;=Premissas!$C$32),((YEAR($A155)-YEAR(Premissas!$C$25))*12+MONTH($A155)-MONTH(Premissas!$C$25)),0)</f>
        <v>0</v>
      </c>
      <c r="J155" s="16" t="n">
        <f aca="false">IF(I155&gt;0,N154*(1+Premissas!$C$59),0)</f>
        <v>0</v>
      </c>
      <c r="K155" s="16" t="n">
        <f aca="false">J155*Premissas!$C$58</f>
        <v>0</v>
      </c>
      <c r="L155" s="16" t="n">
        <f aca="false">IF(I155&gt;0,J155/(Premissas!$C$32-I155+1),0)</f>
        <v>0</v>
      </c>
      <c r="M155" s="16" t="n">
        <f aca="false">K155+L155</f>
        <v>0</v>
      </c>
      <c r="N155" s="16" t="n">
        <f aca="false">IF($A155=Premissas!$C$25,Premissas!$C$13*E155,IF(I155&gt;0,J155-L155,0))</f>
        <v>0</v>
      </c>
      <c r="O155" s="37" t="n">
        <f aca="false">IF($A155&gt;=Premissas!$C$27,Premissas!$C$39*IF(((YEAR($A155)-YEAR(Premissas!$C$27))*12+MONTH($A155)-MONTH(Premissas!$C$27))&lt;Premissas!$C$41,Premissas!$C$42,1),0)</f>
        <v>0.62</v>
      </c>
      <c r="P155" s="16" t="n">
        <f aca="false">O155*Premissas!$C$38*Premissas!$C$40*(1+Premissas!$C$60)^((YEAR($A155)-YEAR(Premissas!$C$19))*12+MONTH($A155)-MONTH(Premissas!$C$19))</f>
        <v>6984.85703504876</v>
      </c>
      <c r="Q155" s="16" t="n">
        <f aca="false">P155*Premissas!$C$43</f>
        <v>1117.5771256078</v>
      </c>
      <c r="R155" s="16" t="n">
        <f aca="false">P155*Premissas!$C$44</f>
        <v>1396.97140700975</v>
      </c>
      <c r="S155" s="16" t="n">
        <f aca="false">IF($A155&gt;=Premissas!$C$25,Premissas!$C$45*(1+Premissas!$C$60)^((YEAR($A155)-YEAR(Premissas!$C$19))*12+MONTH($A155)-MONTH(Premissas!$C$19)),0)</f>
        <v>1224.55417865511</v>
      </c>
      <c r="T155" s="16" t="n">
        <f aca="false">IF($A155&gt;=Premissas!$C$27,Premissas!$C$46*(1+Premissas!$C$60)^((YEAR($A155)-YEAR(Premissas!$C$19))*12+MONTH($A155)-MONTH(Premissas!$C$19)),0)</f>
        <v>489.821671462045</v>
      </c>
      <c r="U155" s="16" t="n">
        <f aca="false">IF($A155&gt;=Premissas!$C$27,Premissas!$C$47*(1+Premissas!$C$60)^((YEAR($A155)-YEAR(Premissas!$C$19))*12+MONTH($A155)-MONTH(Premissas!$C$19)),0)</f>
        <v>244.910835731022</v>
      </c>
      <c r="V155" s="16" t="n">
        <f aca="false">IF($A155&gt;=Premissas!$C$27,MAX(0,P155-Q155-R155-S155)*Premissas!$C$49,0)</f>
        <v>892.582439038426</v>
      </c>
      <c r="W155" s="16" t="n">
        <f aca="false">P155-Q155-R155-S155-T155-U155-V155</f>
        <v>1618.4393775446</v>
      </c>
      <c r="X155" s="16" t="n">
        <f aca="false">W155-F155-G155-H155-M155</f>
        <v>1618.4393775446</v>
      </c>
      <c r="Y155" s="16" t="n">
        <f aca="false">Y154+X155</f>
        <v>-725562.652513369</v>
      </c>
      <c r="Z155" s="16" t="n">
        <f aca="false">Premissas!$C$14*(1+Premissas!$C$57)^((YEAR(Premissas!$C$19)-YEAR(Premissas!$C$18))*12+MONTH(Premissas!$C$19)-MONTH(Premissas!$C$18))*(1+Premissas!$C$61)^((YEAR($A155)-YEAR(Premissas!$C$19))*12+MONTH($A155)-MONTH(Premissas!$C$19))</f>
        <v>880021.114041457</v>
      </c>
      <c r="AA155" s="16" t="n">
        <f aca="false">IF($A155&gt;=Premissas!$C$25,Z155*(1-Premissas!$C$53)-N155-Premissas!$C$54*MAX(0,Z155*(1-Premissas!$C$53)-(Premissas!$C$14*(1+Premissas!$C$57)^((YEAR(Premissas!$C$25)-YEAR(Premissas!$C$18))*12+MONTH(Premissas!$C$25)-MONTH(Premissas!$C$18))*(1+Premissas!$C$34))),"")</f>
        <v>784339.079630789</v>
      </c>
      <c r="AB155" s="16" t="n">
        <f aca="false">IF($A155&gt;=Premissas!$C$25,Y155+AA155,"")</f>
        <v>58776.4271174199</v>
      </c>
      <c r="AC155" s="20" t="n">
        <f aca="false">IF(AND($A155&gt;=Premissas!$C$27,W155&gt;=M155),$A155,"")</f>
        <v>50952</v>
      </c>
      <c r="AD155" s="20" t="str">
        <f aca="false">IF(AND($A155&gt;=Premissas!$C$27,Y155&gt;=0),$A155,"")</f>
        <v/>
      </c>
      <c r="AE155" s="20" t="n">
        <f aca="false">IF(AND($A155&gt;=Premissas!$C$25,N(AB155)&gt;=0),$A155,"")</f>
        <v>50952</v>
      </c>
    </row>
    <row r="156" customFormat="false" ht="15" hidden="false" customHeight="false" outlineLevel="0" collapsed="false">
      <c r="A156" s="20" t="n">
        <f aca="false">DATE(YEAR(A155),MONTH(A155)+1,1)</f>
        <v>50983</v>
      </c>
      <c r="B156" s="5" t="str">
        <f aca="false">IF($A156&lt;Premissas!$C$25,"Obra",IF($A156=Premissas!$C$25,"Chaves",IF($A156&lt;Premissas!$C$27,"Mobiliando","Airbnb")))</f>
        <v>Airbnb</v>
      </c>
      <c r="C156" s="35" t="n">
        <f aca="false">(YEAR($A156)-YEAR(Premissas!$C$18))*12+MONTH($A156)-MONTH(Premissas!$C$18)</f>
        <v>155</v>
      </c>
      <c r="D156" s="16" t="n">
        <f aca="false">($A156=Premissas!$C$19)*Premissas!$C$8+(($A156=EDATE(Premissas!$C$19,1))+($A156=EDATE(Premissas!$C$19,2)))*Premissas!$C$9+AND($A156&gt;=Premissas!$C$20,$A156&lt;EDATE(Premissas!$C$20,Premissas!$C$21))*Premissas!$C$10+(($A156=Premissas!$C$22)+($A156=Premissas!$C$23)+($A156=Premissas!$C$24))*Premissas!$C$11+($A156=Premissas!$C$25)*Premissas!$C$12</f>
        <v>0</v>
      </c>
      <c r="E156" s="36" t="n">
        <f aca="false">(1+Premissas!$C$57)^C156</f>
        <v>1.99684460959752</v>
      </c>
      <c r="F156" s="16" t="n">
        <f aca="false">D156*E156</f>
        <v>0</v>
      </c>
      <c r="G156" s="16" t="n">
        <f aca="false">($A156=Premissas!$C$25)*Premissas!$C$34*Premissas!$C$14*(1+Premissas!$C$57)^C156</f>
        <v>0</v>
      </c>
      <c r="H156" s="16" t="n">
        <f aca="false">IF(AND($A156&gt;Premissas!$C$25,$A156&lt;Premissas!$C$27),Premissas!$C$35/MAX(1,Premissas!$C$26),0)</f>
        <v>0</v>
      </c>
      <c r="I156" s="35" t="n">
        <f aca="false">IF(AND($A156&gt;Premissas!$C$25,((YEAR($A156)-YEAR(Premissas!$C$25))*12+MONTH($A156)-MONTH(Premissas!$C$25))&lt;=Premissas!$C$32),((YEAR($A156)-YEAR(Premissas!$C$25))*12+MONTH($A156)-MONTH(Premissas!$C$25)),0)</f>
        <v>0</v>
      </c>
      <c r="J156" s="16" t="n">
        <f aca="false">IF(I156&gt;0,N155*(1+Premissas!$C$59),0)</f>
        <v>0</v>
      </c>
      <c r="K156" s="16" t="n">
        <f aca="false">J156*Premissas!$C$58</f>
        <v>0</v>
      </c>
      <c r="L156" s="16" t="n">
        <f aca="false">IF(I156&gt;0,J156/(Premissas!$C$32-I156+1),0)</f>
        <v>0</v>
      </c>
      <c r="M156" s="16" t="n">
        <f aca="false">K156+L156</f>
        <v>0</v>
      </c>
      <c r="N156" s="16" t="n">
        <f aca="false">IF($A156=Premissas!$C$25,Premissas!$C$13*E156,IF(I156&gt;0,J156-L156,0))</f>
        <v>0</v>
      </c>
      <c r="O156" s="37" t="n">
        <f aca="false">IF($A156&gt;=Premissas!$C$27,Premissas!$C$39*IF(((YEAR($A156)-YEAR(Premissas!$C$27))*12+MONTH($A156)-MONTH(Premissas!$C$27))&lt;Premissas!$C$41,Premissas!$C$42,1),0)</f>
        <v>0.62</v>
      </c>
      <c r="P156" s="16" t="n">
        <f aca="false">O156*Premissas!$C$38*Premissas!$C$40*(1+Premissas!$C$60)^((YEAR($A156)-YEAR(Premissas!$C$19))*12+MONTH($A156)-MONTH(Premissas!$C$19))</f>
        <v>7007.72363939737</v>
      </c>
      <c r="Q156" s="16" t="n">
        <f aca="false">P156*Premissas!$C$43</f>
        <v>1121.23578230358</v>
      </c>
      <c r="R156" s="16" t="n">
        <f aca="false">P156*Premissas!$C$44</f>
        <v>1401.54472787947</v>
      </c>
      <c r="S156" s="16" t="n">
        <f aca="false">IF($A156&gt;=Premissas!$C$25,Premissas!$C$45*(1+Premissas!$C$60)^((YEAR($A156)-YEAR(Premissas!$C$19))*12+MONTH($A156)-MONTH(Premissas!$C$19)),0)</f>
        <v>1228.56305038523</v>
      </c>
      <c r="T156" s="16" t="n">
        <f aca="false">IF($A156&gt;=Premissas!$C$27,Premissas!$C$46*(1+Premissas!$C$60)^((YEAR($A156)-YEAR(Premissas!$C$19))*12+MONTH($A156)-MONTH(Premissas!$C$19)),0)</f>
        <v>491.425220154093</v>
      </c>
      <c r="U156" s="16" t="n">
        <f aca="false">IF($A156&gt;=Premissas!$C$27,Premissas!$C$47*(1+Premissas!$C$60)^((YEAR($A156)-YEAR(Premissas!$C$19))*12+MONTH($A156)-MONTH(Premissas!$C$19)),0)</f>
        <v>245.712610077047</v>
      </c>
      <c r="V156" s="16" t="n">
        <f aca="false">IF($A156&gt;=Premissas!$C$27,MAX(0,P156-Q156-R156-S156)*Premissas!$C$49,0)</f>
        <v>895.504521677998</v>
      </c>
      <c r="W156" s="16" t="n">
        <f aca="false">P156-Q156-R156-S156-T156-U156-V156</f>
        <v>1623.73772691995</v>
      </c>
      <c r="X156" s="16" t="n">
        <f aca="false">W156-F156-G156-H156-M156</f>
        <v>1623.73772691995</v>
      </c>
      <c r="Y156" s="16" t="n">
        <f aca="false">Y155+X156</f>
        <v>-723938.914786449</v>
      </c>
      <c r="Z156" s="16" t="n">
        <f aca="false">Premissas!$C$14*(1+Premissas!$C$57)^((YEAR(Premissas!$C$19)-YEAR(Premissas!$C$18))*12+MONTH(Premissas!$C$19)-MONTH(Premissas!$C$18))*(1+Premissas!$C$61)^((YEAR($A156)-YEAR(Premissas!$C$19))*12+MONTH($A156)-MONTH(Premissas!$C$19))</f>
        <v>883606.428992286</v>
      </c>
      <c r="AA156" s="16" t="n">
        <f aca="false">IF($A156&gt;=Premissas!$C$25,Z156*(1-Premissas!$C$53)-N156-Premissas!$C$54*MAX(0,Z156*(1-Premissas!$C$53)-(Premissas!$C$14*(1+Premissas!$C$57)^((YEAR(Premissas!$C$25)-YEAR(Premissas!$C$18))*12+MONTH(Premissas!$C$25)-MONTH(Premissas!$C$18))*(1+Premissas!$C$34))),"")</f>
        <v>787203.746276501</v>
      </c>
      <c r="AB156" s="16" t="n">
        <f aca="false">IF($A156&gt;=Premissas!$C$25,Y156+AA156,"")</f>
        <v>63264.8314900524</v>
      </c>
      <c r="AC156" s="20" t="n">
        <f aca="false">IF(AND($A156&gt;=Premissas!$C$27,W156&gt;=M156),$A156,"")</f>
        <v>50983</v>
      </c>
      <c r="AD156" s="20" t="str">
        <f aca="false">IF(AND($A156&gt;=Premissas!$C$27,Y156&gt;=0),$A156,"")</f>
        <v/>
      </c>
      <c r="AE156" s="20" t="n">
        <f aca="false">IF(AND($A156&gt;=Premissas!$C$25,N(AB156)&gt;=0),$A156,"")</f>
        <v>50983</v>
      </c>
    </row>
    <row r="157" customFormat="false" ht="15" hidden="false" customHeight="false" outlineLevel="0" collapsed="false">
      <c r="A157" s="20" t="n">
        <f aca="false">DATE(YEAR(A156),MONTH(A156)+1,1)</f>
        <v>51014</v>
      </c>
      <c r="B157" s="5" t="str">
        <f aca="false">IF($A157&lt;Premissas!$C$25,"Obra",IF($A157=Premissas!$C$25,"Chaves",IF($A157&lt;Premissas!$C$27,"Mobiliando","Airbnb")))</f>
        <v>Airbnb</v>
      </c>
      <c r="C157" s="35" t="n">
        <f aca="false">(YEAR($A157)-YEAR(Premissas!$C$18))*12+MONTH($A157)-MONTH(Premissas!$C$18)</f>
        <v>156</v>
      </c>
      <c r="D157" s="16" t="n">
        <f aca="false">($A157=Premissas!$C$19)*Premissas!$C$8+(($A157=EDATE(Premissas!$C$19,1))+($A157=EDATE(Premissas!$C$19,2)))*Premissas!$C$9+AND($A157&gt;=Premissas!$C$20,$A157&lt;EDATE(Premissas!$C$20,Premissas!$C$21))*Premissas!$C$10+(($A157=Premissas!$C$22)+($A157=Premissas!$C$23)+($A157=Premissas!$C$24))*Premissas!$C$11+($A157=Premissas!$C$25)*Premissas!$C$12</f>
        <v>0</v>
      </c>
      <c r="E157" s="36" t="n">
        <f aca="false">(1+Premissas!$C$57)^C157</f>
        <v>2.00577389747576</v>
      </c>
      <c r="F157" s="16" t="n">
        <f aca="false">D157*E157</f>
        <v>0</v>
      </c>
      <c r="G157" s="16" t="n">
        <f aca="false">($A157=Premissas!$C$25)*Premissas!$C$34*Premissas!$C$14*(1+Premissas!$C$57)^C157</f>
        <v>0</v>
      </c>
      <c r="H157" s="16" t="n">
        <f aca="false">IF(AND($A157&gt;Premissas!$C$25,$A157&lt;Premissas!$C$27),Premissas!$C$35/MAX(1,Premissas!$C$26),0)</f>
        <v>0</v>
      </c>
      <c r="I157" s="35" t="n">
        <f aca="false">IF(AND($A157&gt;Premissas!$C$25,((YEAR($A157)-YEAR(Premissas!$C$25))*12+MONTH($A157)-MONTH(Premissas!$C$25))&lt;=Premissas!$C$32),((YEAR($A157)-YEAR(Premissas!$C$25))*12+MONTH($A157)-MONTH(Premissas!$C$25)),0)</f>
        <v>0</v>
      </c>
      <c r="J157" s="16" t="n">
        <f aca="false">IF(I157&gt;0,N156*(1+Premissas!$C$59),0)</f>
        <v>0</v>
      </c>
      <c r="K157" s="16" t="n">
        <f aca="false">J157*Premissas!$C$58</f>
        <v>0</v>
      </c>
      <c r="L157" s="16" t="n">
        <f aca="false">IF(I157&gt;0,J157/(Premissas!$C$32-I157+1),0)</f>
        <v>0</v>
      </c>
      <c r="M157" s="16" t="n">
        <f aca="false">K157+L157</f>
        <v>0</v>
      </c>
      <c r="N157" s="16" t="n">
        <f aca="false">IF($A157=Premissas!$C$25,Premissas!$C$13*E157,IF(I157&gt;0,J157-L157,0))</f>
        <v>0</v>
      </c>
      <c r="O157" s="37" t="n">
        <f aca="false">IF($A157&gt;=Premissas!$C$27,Premissas!$C$39*IF(((YEAR($A157)-YEAR(Premissas!$C$27))*12+MONTH($A157)-MONTH(Premissas!$C$27))&lt;Premissas!$C$41,Premissas!$C$42,1),0)</f>
        <v>0.62</v>
      </c>
      <c r="P157" s="16" t="n">
        <f aca="false">O157*Premissas!$C$38*Premissas!$C$40*(1+Premissas!$C$60)^((YEAR($A157)-YEAR(Premissas!$C$19))*12+MONTH($A157)-MONTH(Premissas!$C$19))</f>
        <v>7030.66510305832</v>
      </c>
      <c r="Q157" s="16" t="n">
        <f aca="false">P157*Premissas!$C$43</f>
        <v>1124.90641648933</v>
      </c>
      <c r="R157" s="16" t="n">
        <f aca="false">P157*Premissas!$C$44</f>
        <v>1406.13302061166</v>
      </c>
      <c r="S157" s="16" t="n">
        <f aca="false">IF($A157&gt;=Premissas!$C$25,Premissas!$C$45*(1+Premissas!$C$60)^((YEAR($A157)-YEAR(Premissas!$C$19))*12+MONTH($A157)-MONTH(Premissas!$C$19)),0)</f>
        <v>1232.58504611822</v>
      </c>
      <c r="T157" s="16" t="n">
        <f aca="false">IF($A157&gt;=Premissas!$C$27,Premissas!$C$46*(1+Premissas!$C$60)^((YEAR($A157)-YEAR(Premissas!$C$19))*12+MONTH($A157)-MONTH(Premissas!$C$19)),0)</f>
        <v>493.034018447288</v>
      </c>
      <c r="U157" s="16" t="n">
        <f aca="false">IF($A157&gt;=Premissas!$C$27,Premissas!$C$47*(1+Premissas!$C$60)^((YEAR($A157)-YEAR(Premissas!$C$19))*12+MONTH($A157)-MONTH(Premissas!$C$19)),0)</f>
        <v>246.517009223644</v>
      </c>
      <c r="V157" s="16" t="n">
        <f aca="false">IF($A157&gt;=Premissas!$C$27,MAX(0,P157-Q157-R157-S157)*Premissas!$C$49,0)</f>
        <v>898.436170455754</v>
      </c>
      <c r="W157" s="16" t="n">
        <f aca="false">P157-Q157-R157-S157-T157-U157-V157</f>
        <v>1629.05342171242</v>
      </c>
      <c r="X157" s="16" t="n">
        <f aca="false">W157-F157-G157-H157-M157</f>
        <v>1629.05342171242</v>
      </c>
      <c r="Y157" s="16" t="n">
        <f aca="false">Y156+X157</f>
        <v>-722309.861364737</v>
      </c>
      <c r="Z157" s="16" t="n">
        <f aca="false">Premissas!$C$14*(1+Premissas!$C$57)^((YEAR(Premissas!$C$19)-YEAR(Premissas!$C$18))*12+MONTH(Premissas!$C$19)-MONTH(Premissas!$C$18))*(1+Premissas!$C$61)^((YEAR($A157)-YEAR(Premissas!$C$19))*12+MONTH($A157)-MONTH(Premissas!$C$19))</f>
        <v>887206.350960028</v>
      </c>
      <c r="AA157" s="16" t="n">
        <f aca="false">IF($A157&gt;=Premissas!$C$25,Z157*(1-Premissas!$C$53)-N157-Premissas!$C$54*MAX(0,Z157*(1-Premissas!$C$53)-(Premissas!$C$14*(1+Premissas!$C$57)^((YEAR(Premissas!$C$25)-YEAR(Premissas!$C$18))*12+MONTH(Premissas!$C$25)-MONTH(Premissas!$C$18))*(1+Premissas!$C$34))),"")</f>
        <v>790080.083928727</v>
      </c>
      <c r="AB157" s="16" t="n">
        <f aca="false">IF($A157&gt;=Premissas!$C$25,Y157+AA157,"")</f>
        <v>67770.2225639906</v>
      </c>
      <c r="AC157" s="20" t="n">
        <f aca="false">IF(AND($A157&gt;=Premissas!$C$27,W157&gt;=M157),$A157,"")</f>
        <v>51014</v>
      </c>
      <c r="AD157" s="20" t="str">
        <f aca="false">IF(AND($A157&gt;=Premissas!$C$27,Y157&gt;=0),$A157,"")</f>
        <v/>
      </c>
      <c r="AE157" s="20" t="n">
        <f aca="false">IF(AND($A157&gt;=Premissas!$C$25,N(AB157)&gt;=0),$A157,"")</f>
        <v>51014</v>
      </c>
    </row>
    <row r="158" customFormat="false" ht="15" hidden="false" customHeight="false" outlineLevel="0" collapsed="false">
      <c r="A158" s="20" t="n">
        <f aca="false">DATE(YEAR(A157),MONTH(A157)+1,1)</f>
        <v>51044</v>
      </c>
      <c r="B158" s="5" t="str">
        <f aca="false">IF($A158&lt;Premissas!$C$25,"Obra",IF($A158=Premissas!$C$25,"Chaves",IF($A158&lt;Premissas!$C$27,"Mobiliando","Airbnb")))</f>
        <v>Airbnb</v>
      </c>
      <c r="C158" s="35" t="n">
        <f aca="false">(YEAR($A158)-YEAR(Premissas!$C$18))*12+MONTH($A158)-MONTH(Premissas!$C$18)</f>
        <v>157</v>
      </c>
      <c r="D158" s="16" t="n">
        <f aca="false">($A158=Premissas!$C$19)*Premissas!$C$8+(($A158=EDATE(Premissas!$C$19,1))+($A158=EDATE(Premissas!$C$19,2)))*Premissas!$C$9+AND($A158&gt;=Premissas!$C$20,$A158&lt;EDATE(Premissas!$C$20,Premissas!$C$21))*Premissas!$C$10+(($A158=Premissas!$C$22)+($A158=Premissas!$C$23)+($A158=Premissas!$C$24))*Premissas!$C$11+($A158=Premissas!$C$25)*Premissas!$C$12</f>
        <v>0</v>
      </c>
      <c r="E158" s="36" t="n">
        <f aca="false">(1+Premissas!$C$57)^C158</f>
        <v>2.01474311444093</v>
      </c>
      <c r="F158" s="16" t="n">
        <f aca="false">D158*E158</f>
        <v>0</v>
      </c>
      <c r="G158" s="16" t="n">
        <f aca="false">($A158=Premissas!$C$25)*Premissas!$C$34*Premissas!$C$14*(1+Premissas!$C$57)^C158</f>
        <v>0</v>
      </c>
      <c r="H158" s="16" t="n">
        <f aca="false">IF(AND($A158&gt;Premissas!$C$25,$A158&lt;Premissas!$C$27),Premissas!$C$35/MAX(1,Premissas!$C$26),0)</f>
        <v>0</v>
      </c>
      <c r="I158" s="35" t="n">
        <f aca="false">IF(AND($A158&gt;Premissas!$C$25,((YEAR($A158)-YEAR(Premissas!$C$25))*12+MONTH($A158)-MONTH(Premissas!$C$25))&lt;=Premissas!$C$32),((YEAR($A158)-YEAR(Premissas!$C$25))*12+MONTH($A158)-MONTH(Premissas!$C$25)),0)</f>
        <v>0</v>
      </c>
      <c r="J158" s="16" t="n">
        <f aca="false">IF(I158&gt;0,N157*(1+Premissas!$C$59),0)</f>
        <v>0</v>
      </c>
      <c r="K158" s="16" t="n">
        <f aca="false">J158*Premissas!$C$58</f>
        <v>0</v>
      </c>
      <c r="L158" s="16" t="n">
        <f aca="false">IF(I158&gt;0,J158/(Premissas!$C$32-I158+1),0)</f>
        <v>0</v>
      </c>
      <c r="M158" s="16" t="n">
        <f aca="false">K158+L158</f>
        <v>0</v>
      </c>
      <c r="N158" s="16" t="n">
        <f aca="false">IF($A158=Premissas!$C$25,Premissas!$C$13*E158,IF(I158&gt;0,J158-L158,0))</f>
        <v>0</v>
      </c>
      <c r="O158" s="37" t="n">
        <f aca="false">IF($A158&gt;=Premissas!$C$27,Premissas!$C$39*IF(((YEAR($A158)-YEAR(Premissas!$C$27))*12+MONTH($A158)-MONTH(Premissas!$C$27))&lt;Premissas!$C$41,Premissas!$C$42,1),0)</f>
        <v>0.62</v>
      </c>
      <c r="P158" s="16" t="n">
        <f aca="false">O158*Premissas!$C$38*Premissas!$C$40*(1+Premissas!$C$60)^((YEAR($A158)-YEAR(Premissas!$C$19))*12+MONTH($A158)-MONTH(Premissas!$C$19))</f>
        <v>7053.68167110152</v>
      </c>
      <c r="Q158" s="16" t="n">
        <f aca="false">P158*Premissas!$C$43</f>
        <v>1128.58906737624</v>
      </c>
      <c r="R158" s="16" t="n">
        <f aca="false">P158*Premissas!$C$44</f>
        <v>1410.7363342203</v>
      </c>
      <c r="S158" s="16" t="n">
        <f aca="false">IF($A158&gt;=Premissas!$C$25,Premissas!$C$45*(1+Premissas!$C$60)^((YEAR($A158)-YEAR(Premissas!$C$19))*12+MONTH($A158)-MONTH(Premissas!$C$19)),0)</f>
        <v>1236.62020881864</v>
      </c>
      <c r="T158" s="16" t="n">
        <f aca="false">IF($A158&gt;=Premissas!$C$27,Premissas!$C$46*(1+Premissas!$C$60)^((YEAR($A158)-YEAR(Premissas!$C$19))*12+MONTH($A158)-MONTH(Premissas!$C$19)),0)</f>
        <v>494.648083527456</v>
      </c>
      <c r="U158" s="16" t="n">
        <f aca="false">IF($A158&gt;=Premissas!$C$27,Premissas!$C$47*(1+Premissas!$C$60)^((YEAR($A158)-YEAR(Premissas!$C$19))*12+MONTH($A158)-MONTH(Premissas!$C$19)),0)</f>
        <v>247.324041763728</v>
      </c>
      <c r="V158" s="16" t="n">
        <f aca="false">IF($A158&gt;=Premissas!$C$27,MAX(0,P158-Q158-R158-S158)*Premissas!$C$49,0)</f>
        <v>901.377416688742</v>
      </c>
      <c r="W158" s="16" t="n">
        <f aca="false">P158-Q158-R158-S158-T158-U158-V158</f>
        <v>1634.38651870641</v>
      </c>
      <c r="X158" s="16" t="n">
        <f aca="false">W158-F158-G158-H158-M158</f>
        <v>1634.38651870641</v>
      </c>
      <c r="Y158" s="16" t="n">
        <f aca="false">Y157+X158</f>
        <v>-720675.47484603</v>
      </c>
      <c r="Z158" s="16" t="n">
        <f aca="false">Premissas!$C$14*(1+Premissas!$C$57)^((YEAR(Premissas!$C$19)-YEAR(Premissas!$C$18))*12+MONTH(Premissas!$C$19)-MONTH(Premissas!$C$18))*(1+Premissas!$C$61)^((YEAR($A158)-YEAR(Premissas!$C$19))*12+MONTH($A158)-MONTH(Premissas!$C$19))</f>
        <v>890820.939455478</v>
      </c>
      <c r="AA158" s="16" t="n">
        <f aca="false">IF($A158&gt;=Premissas!$C$25,Z158*(1-Premissas!$C$53)-N158-Premissas!$C$54*MAX(0,Z158*(1-Premissas!$C$53)-(Premissas!$C$14*(1+Premissas!$C$57)^((YEAR(Premissas!$C$25)-YEAR(Premissas!$C$18))*12+MONTH(Premissas!$C$25)-MONTH(Premissas!$C$18))*(1+Premissas!$C$34))),"")</f>
        <v>792968.140136592</v>
      </c>
      <c r="AB158" s="16" t="n">
        <f aca="false">IF($A158&gt;=Premissas!$C$25,Y158+AA158,"")</f>
        <v>72292.6652905617</v>
      </c>
      <c r="AC158" s="20" t="n">
        <f aca="false">IF(AND($A158&gt;=Premissas!$C$27,W158&gt;=M158),$A158,"")</f>
        <v>51044</v>
      </c>
      <c r="AD158" s="20" t="str">
        <f aca="false">IF(AND($A158&gt;=Premissas!$C$27,Y158&gt;=0),$A158,"")</f>
        <v/>
      </c>
      <c r="AE158" s="20" t="n">
        <f aca="false">IF(AND($A158&gt;=Premissas!$C$25,N(AB158)&gt;=0),$A158,"")</f>
        <v>51044</v>
      </c>
    </row>
    <row r="159" customFormat="false" ht="15" hidden="false" customHeight="false" outlineLevel="0" collapsed="false">
      <c r="A159" s="20" t="n">
        <f aca="false">DATE(YEAR(A158),MONTH(A158)+1,1)</f>
        <v>51075</v>
      </c>
      <c r="B159" s="5" t="str">
        <f aca="false">IF($A159&lt;Premissas!$C$25,"Obra",IF($A159=Premissas!$C$25,"Chaves",IF($A159&lt;Premissas!$C$27,"Mobiliando","Airbnb")))</f>
        <v>Airbnb</v>
      </c>
      <c r="C159" s="35" t="n">
        <f aca="false">(YEAR($A159)-YEAR(Premissas!$C$18))*12+MONTH($A159)-MONTH(Premissas!$C$18)</f>
        <v>158</v>
      </c>
      <c r="D159" s="16" t="n">
        <f aca="false">($A159=Premissas!$C$19)*Premissas!$C$8+(($A159=EDATE(Premissas!$C$19,1))+($A159=EDATE(Premissas!$C$19,2)))*Premissas!$C$9+AND($A159&gt;=Premissas!$C$20,$A159&lt;EDATE(Premissas!$C$20,Premissas!$C$21))*Premissas!$C$10+(($A159=Premissas!$C$22)+($A159=Premissas!$C$23)+($A159=Premissas!$C$24))*Premissas!$C$11+($A159=Premissas!$C$25)*Premissas!$C$12</f>
        <v>0</v>
      </c>
      <c r="E159" s="36" t="n">
        <f aca="false">(1+Premissas!$C$57)^C159</f>
        <v>2.0237524390439</v>
      </c>
      <c r="F159" s="16" t="n">
        <f aca="false">D159*E159</f>
        <v>0</v>
      </c>
      <c r="G159" s="16" t="n">
        <f aca="false">($A159=Premissas!$C$25)*Premissas!$C$34*Premissas!$C$14*(1+Premissas!$C$57)^C159</f>
        <v>0</v>
      </c>
      <c r="H159" s="16" t="n">
        <f aca="false">IF(AND($A159&gt;Premissas!$C$25,$A159&lt;Premissas!$C$27),Premissas!$C$35/MAX(1,Premissas!$C$26),0)</f>
        <v>0</v>
      </c>
      <c r="I159" s="35" t="n">
        <f aca="false">IF(AND($A159&gt;Premissas!$C$25,((YEAR($A159)-YEAR(Premissas!$C$25))*12+MONTH($A159)-MONTH(Premissas!$C$25))&lt;=Premissas!$C$32),((YEAR($A159)-YEAR(Premissas!$C$25))*12+MONTH($A159)-MONTH(Premissas!$C$25)),0)</f>
        <v>0</v>
      </c>
      <c r="J159" s="16" t="n">
        <f aca="false">IF(I159&gt;0,N158*(1+Premissas!$C$59),0)</f>
        <v>0</v>
      </c>
      <c r="K159" s="16" t="n">
        <f aca="false">J159*Premissas!$C$58</f>
        <v>0</v>
      </c>
      <c r="L159" s="16" t="n">
        <f aca="false">IF(I159&gt;0,J159/(Premissas!$C$32-I159+1),0)</f>
        <v>0</v>
      </c>
      <c r="M159" s="16" t="n">
        <f aca="false">K159+L159</f>
        <v>0</v>
      </c>
      <c r="N159" s="16" t="n">
        <f aca="false">IF($A159=Premissas!$C$25,Premissas!$C$13*E159,IF(I159&gt;0,J159-L159,0))</f>
        <v>0</v>
      </c>
      <c r="O159" s="37" t="n">
        <f aca="false">IF($A159&gt;=Premissas!$C$27,Premissas!$C$39*IF(((YEAR($A159)-YEAR(Premissas!$C$27))*12+MONTH($A159)-MONTH(Premissas!$C$27))&lt;Premissas!$C$41,Premissas!$C$42,1),0)</f>
        <v>0.62</v>
      </c>
      <c r="P159" s="16" t="n">
        <f aca="false">O159*Premissas!$C$38*Premissas!$C$40*(1+Premissas!$C$60)^((YEAR($A159)-YEAR(Premissas!$C$19))*12+MONTH($A159)-MONTH(Premissas!$C$19))</f>
        <v>7076.77358939917</v>
      </c>
      <c r="Q159" s="16" t="n">
        <f aca="false">P159*Premissas!$C$43</f>
        <v>1132.28377430387</v>
      </c>
      <c r="R159" s="16" t="n">
        <f aca="false">P159*Premissas!$C$44</f>
        <v>1415.35471787983</v>
      </c>
      <c r="S159" s="16" t="n">
        <f aca="false">IF($A159&gt;=Premissas!$C$25,Premissas!$C$45*(1+Premissas!$C$60)^((YEAR($A159)-YEAR(Premissas!$C$19))*12+MONTH($A159)-MONTH(Premissas!$C$19)),0)</f>
        <v>1240.66858159172</v>
      </c>
      <c r="T159" s="16" t="n">
        <f aca="false">IF($A159&gt;=Premissas!$C$27,Premissas!$C$46*(1+Premissas!$C$60)^((YEAR($A159)-YEAR(Premissas!$C$19))*12+MONTH($A159)-MONTH(Premissas!$C$19)),0)</f>
        <v>496.267432636688</v>
      </c>
      <c r="U159" s="16" t="n">
        <f aca="false">IF($A159&gt;=Premissas!$C$27,Premissas!$C$47*(1+Premissas!$C$60)^((YEAR($A159)-YEAR(Premissas!$C$19))*12+MONTH($A159)-MONTH(Premissas!$C$19)),0)</f>
        <v>248.133716318344</v>
      </c>
      <c r="V159" s="16" t="n">
        <f aca="false">IF($A159&gt;=Premissas!$C$27,MAX(0,P159-Q159-R159-S159)*Premissas!$C$49,0)</f>
        <v>904.328291796531</v>
      </c>
      <c r="W159" s="16" t="n">
        <f aca="false">P159-Q159-R159-S159-T159-U159-V159</f>
        <v>1639.73707487219</v>
      </c>
      <c r="X159" s="16" t="n">
        <f aca="false">W159-F159-G159-H159-M159</f>
        <v>1639.73707487219</v>
      </c>
      <c r="Y159" s="16" t="n">
        <f aca="false">Y158+X159</f>
        <v>-719035.737771158</v>
      </c>
      <c r="Z159" s="16" t="n">
        <f aca="false">Premissas!$C$14*(1+Premissas!$C$57)^((YEAR(Premissas!$C$19)-YEAR(Premissas!$C$18))*12+MONTH(Premissas!$C$19)-MONTH(Premissas!$C$18))*(1+Premissas!$C$61)^((YEAR($A159)-YEAR(Premissas!$C$19))*12+MONTH($A159)-MONTH(Premissas!$C$19))</f>
        <v>894450.254231885</v>
      </c>
      <c r="AA159" s="16" t="n">
        <f aca="false">IF($A159&gt;=Premissas!$C$25,Z159*(1-Premissas!$C$53)-N159-Premissas!$C$54*MAX(0,Z159*(1-Premissas!$C$53)-(Premissas!$C$14*(1+Premissas!$C$57)^((YEAR(Premissas!$C$25)-YEAR(Premissas!$C$18))*12+MONTH(Premissas!$C$25)-MONTH(Premissas!$C$18))*(1+Premissas!$C$34))),"")</f>
        <v>795867.962642942</v>
      </c>
      <c r="AB159" s="16" t="n">
        <f aca="false">IF($A159&gt;=Premissas!$C$25,Y159+AA159,"")</f>
        <v>76832.2248717835</v>
      </c>
      <c r="AC159" s="20" t="n">
        <f aca="false">IF(AND($A159&gt;=Premissas!$C$27,W159&gt;=M159),$A159,"")</f>
        <v>51075</v>
      </c>
      <c r="AD159" s="20" t="str">
        <f aca="false">IF(AND($A159&gt;=Premissas!$C$27,Y159&gt;=0),$A159,"")</f>
        <v/>
      </c>
      <c r="AE159" s="20" t="n">
        <f aca="false">IF(AND($A159&gt;=Premissas!$C$25,N(AB159)&gt;=0),$A159,"")</f>
        <v>51075</v>
      </c>
    </row>
    <row r="160" customFormat="false" ht="15" hidden="false" customHeight="false" outlineLevel="0" collapsed="false">
      <c r="A160" s="20" t="n">
        <f aca="false">DATE(YEAR(A159),MONTH(A159)+1,1)</f>
        <v>51105</v>
      </c>
      <c r="B160" s="5" t="str">
        <f aca="false">IF($A160&lt;Premissas!$C$25,"Obra",IF($A160=Premissas!$C$25,"Chaves",IF($A160&lt;Premissas!$C$27,"Mobiliando","Airbnb")))</f>
        <v>Airbnb</v>
      </c>
      <c r="C160" s="35" t="n">
        <f aca="false">(YEAR($A160)-YEAR(Premissas!$C$18))*12+MONTH($A160)-MONTH(Premissas!$C$18)</f>
        <v>159</v>
      </c>
      <c r="D160" s="16" t="n">
        <f aca="false">($A160=Premissas!$C$19)*Premissas!$C$8+(($A160=EDATE(Premissas!$C$19,1))+($A160=EDATE(Premissas!$C$19,2)))*Premissas!$C$9+AND($A160&gt;=Premissas!$C$20,$A160&lt;EDATE(Premissas!$C$20,Premissas!$C$21))*Premissas!$C$10+(($A160=Premissas!$C$22)+($A160=Premissas!$C$23)+($A160=Premissas!$C$24))*Premissas!$C$11+($A160=Premissas!$C$25)*Premissas!$C$12</f>
        <v>0</v>
      </c>
      <c r="E160" s="36" t="n">
        <f aca="false">(1+Premissas!$C$57)^C160</f>
        <v>2.03280205063393</v>
      </c>
      <c r="F160" s="16" t="n">
        <f aca="false">D160*E160</f>
        <v>0</v>
      </c>
      <c r="G160" s="16" t="n">
        <f aca="false">($A160=Premissas!$C$25)*Premissas!$C$34*Premissas!$C$14*(1+Premissas!$C$57)^C160</f>
        <v>0</v>
      </c>
      <c r="H160" s="16" t="n">
        <f aca="false">IF(AND($A160&gt;Premissas!$C$25,$A160&lt;Premissas!$C$27),Premissas!$C$35/MAX(1,Premissas!$C$26),0)</f>
        <v>0</v>
      </c>
      <c r="I160" s="35" t="n">
        <f aca="false">IF(AND($A160&gt;Premissas!$C$25,((YEAR($A160)-YEAR(Premissas!$C$25))*12+MONTH($A160)-MONTH(Premissas!$C$25))&lt;=Premissas!$C$32),((YEAR($A160)-YEAR(Premissas!$C$25))*12+MONTH($A160)-MONTH(Premissas!$C$25)),0)</f>
        <v>0</v>
      </c>
      <c r="J160" s="16" t="n">
        <f aca="false">IF(I160&gt;0,N159*(1+Premissas!$C$59),0)</f>
        <v>0</v>
      </c>
      <c r="K160" s="16" t="n">
        <f aca="false">J160*Premissas!$C$58</f>
        <v>0</v>
      </c>
      <c r="L160" s="16" t="n">
        <f aca="false">IF(I160&gt;0,J160/(Premissas!$C$32-I160+1),0)</f>
        <v>0</v>
      </c>
      <c r="M160" s="16" t="n">
        <f aca="false">K160+L160</f>
        <v>0</v>
      </c>
      <c r="N160" s="16" t="n">
        <f aca="false">IF($A160=Premissas!$C$25,Premissas!$C$13*E160,IF(I160&gt;0,J160-L160,0))</f>
        <v>0</v>
      </c>
      <c r="O160" s="37" t="n">
        <f aca="false">IF($A160&gt;=Premissas!$C$27,Premissas!$C$39*IF(((YEAR($A160)-YEAR(Premissas!$C$27))*12+MONTH($A160)-MONTH(Premissas!$C$27))&lt;Premissas!$C$41,Premissas!$C$42,1),0)</f>
        <v>0.62</v>
      </c>
      <c r="P160" s="16" t="n">
        <f aca="false">O160*Premissas!$C$38*Premissas!$C$40*(1+Premissas!$C$60)^((YEAR($A160)-YEAR(Premissas!$C$19))*12+MONTH($A160)-MONTH(Premissas!$C$19))</f>
        <v>7099.94110462841</v>
      </c>
      <c r="Q160" s="16" t="n">
        <f aca="false">P160*Premissas!$C$43</f>
        <v>1135.99057674054</v>
      </c>
      <c r="R160" s="16" t="n">
        <f aca="false">P160*Premissas!$C$44</f>
        <v>1419.98822092568</v>
      </c>
      <c r="S160" s="16" t="n">
        <f aca="false">IF($A160&gt;=Premissas!$C$25,Premissas!$C$45*(1+Premissas!$C$60)^((YEAR($A160)-YEAR(Premissas!$C$19))*12+MONTH($A160)-MONTH(Premissas!$C$19)),0)</f>
        <v>1244.7302076838</v>
      </c>
      <c r="T160" s="16" t="n">
        <f aca="false">IF($A160&gt;=Premissas!$C$27,Premissas!$C$46*(1+Premissas!$C$60)^((YEAR($A160)-YEAR(Premissas!$C$19))*12+MONTH($A160)-MONTH(Premissas!$C$19)),0)</f>
        <v>497.892083073521</v>
      </c>
      <c r="U160" s="16" t="n">
        <f aca="false">IF($A160&gt;=Premissas!$C$27,Premissas!$C$47*(1+Premissas!$C$60)^((YEAR($A160)-YEAR(Premissas!$C$19))*12+MONTH($A160)-MONTH(Premissas!$C$19)),0)</f>
        <v>248.94604153676</v>
      </c>
      <c r="V160" s="16" t="n">
        <f aca="false">IF($A160&gt;=Premissas!$C$27,MAX(0,P160-Q160-R160-S160)*Premissas!$C$49,0)</f>
        <v>907.288827301554</v>
      </c>
      <c r="W160" s="16" t="n">
        <f aca="false">P160-Q160-R160-S160-T160-U160-V160</f>
        <v>1645.10514736654</v>
      </c>
      <c r="X160" s="16" t="n">
        <f aca="false">W160-F160-G160-H160-M160</f>
        <v>1645.10514736654</v>
      </c>
      <c r="Y160" s="16" t="n">
        <f aca="false">Y159+X160</f>
        <v>-717390.632623792</v>
      </c>
      <c r="Z160" s="16" t="n">
        <f aca="false">Premissas!$C$14*(1+Premissas!$C$57)^((YEAR(Premissas!$C$19)-YEAR(Premissas!$C$18))*12+MONTH(Premissas!$C$19)-MONTH(Premissas!$C$18))*(1+Premissas!$C$61)^((YEAR($A160)-YEAR(Premissas!$C$19))*12+MONTH($A160)-MONTH(Premissas!$C$19))</f>
        <v>898094.355285942</v>
      </c>
      <c r="AA160" s="16" t="n">
        <f aca="false">IF($A160&gt;=Premissas!$C$25,Z160*(1-Premissas!$C$53)-N160-Premissas!$C$54*MAX(0,Z160*(1-Premissas!$C$53)-(Premissas!$C$14*(1+Premissas!$C$57)^((YEAR(Premissas!$C$25)-YEAR(Premissas!$C$18))*12+MONTH(Premissas!$C$25)-MONTH(Premissas!$C$18))*(1+Premissas!$C$34))),"")</f>
        <v>798779.599385133</v>
      </c>
      <c r="AB160" s="16" t="n">
        <f aca="false">IF($A160&gt;=Premissas!$C$25,Y160+AA160,"")</f>
        <v>81388.9667613412</v>
      </c>
      <c r="AC160" s="20" t="n">
        <f aca="false">IF(AND($A160&gt;=Premissas!$C$27,W160&gt;=M160),$A160,"")</f>
        <v>51105</v>
      </c>
      <c r="AD160" s="20" t="str">
        <f aca="false">IF(AND($A160&gt;=Premissas!$C$27,Y160&gt;=0),$A160,"")</f>
        <v/>
      </c>
      <c r="AE160" s="20" t="n">
        <f aca="false">IF(AND($A160&gt;=Premissas!$C$25,N(AB160)&gt;=0),$A160,"")</f>
        <v>51105</v>
      </c>
    </row>
    <row r="161" customFormat="false" ht="15" hidden="false" customHeight="false" outlineLevel="0" collapsed="false">
      <c r="A161" s="29" t="n">
        <f aca="false">DATE(YEAR(A160),MONTH(A160)+1,1)</f>
        <v>51136</v>
      </c>
      <c r="B161" s="30" t="str">
        <f aca="false">IF($A161&lt;Premissas!$C$25,"Obra",IF($A161=Premissas!$C$25,"Chaves",IF($A161&lt;Premissas!$C$27,"Mobiliando","Airbnb")))</f>
        <v>Airbnb</v>
      </c>
      <c r="C161" s="31" t="n">
        <f aca="false">(YEAR($A161)-YEAR(Premissas!$C$18))*12+MONTH($A161)-MONTH(Premissas!$C$18)</f>
        <v>160</v>
      </c>
      <c r="D161" s="32" t="n">
        <f aca="false">($A161=Premissas!$C$19)*Premissas!$C$8+(($A161=EDATE(Premissas!$C$19,1))+($A161=EDATE(Premissas!$C$19,2)))*Premissas!$C$9+AND($A161&gt;=Premissas!$C$20,$A161&lt;EDATE(Premissas!$C$20,Premissas!$C$21))*Premissas!$C$10+(($A161=Premissas!$C$22)+($A161=Premissas!$C$23)+($A161=Premissas!$C$24))*Premissas!$C$11+($A161=Premissas!$C$25)*Premissas!$C$12</f>
        <v>0</v>
      </c>
      <c r="E161" s="33" t="n">
        <f aca="false">(1+Premissas!$C$57)^C161</f>
        <v>2.04189212936232</v>
      </c>
      <c r="F161" s="32" t="n">
        <f aca="false">D161*E161</f>
        <v>0</v>
      </c>
      <c r="G161" s="32" t="n">
        <f aca="false">($A161=Premissas!$C$25)*Premissas!$C$34*Premissas!$C$14*(1+Premissas!$C$57)^C161</f>
        <v>0</v>
      </c>
      <c r="H161" s="32" t="n">
        <f aca="false">IF(AND($A161&gt;Premissas!$C$25,$A161&lt;Premissas!$C$27),Premissas!$C$35/MAX(1,Premissas!$C$26),0)</f>
        <v>0</v>
      </c>
      <c r="I161" s="31" t="n">
        <f aca="false">IF(AND($A161&gt;Premissas!$C$25,((YEAR($A161)-YEAR(Premissas!$C$25))*12+MONTH($A161)-MONTH(Premissas!$C$25))&lt;=Premissas!$C$32),((YEAR($A161)-YEAR(Premissas!$C$25))*12+MONTH($A161)-MONTH(Premissas!$C$25)),0)</f>
        <v>0</v>
      </c>
      <c r="J161" s="32" t="n">
        <f aca="false">IF(I161&gt;0,N160*(1+Premissas!$C$59),0)</f>
        <v>0</v>
      </c>
      <c r="K161" s="32" t="n">
        <f aca="false">J161*Premissas!$C$58</f>
        <v>0</v>
      </c>
      <c r="L161" s="32" t="n">
        <f aca="false">IF(I161&gt;0,J161/(Premissas!$C$32-I161+1),0)</f>
        <v>0</v>
      </c>
      <c r="M161" s="32" t="n">
        <f aca="false">K161+L161</f>
        <v>0</v>
      </c>
      <c r="N161" s="32" t="n">
        <f aca="false">IF($A161=Premissas!$C$25,Premissas!$C$13*E161,IF(I161&gt;0,J161-L161,0))</f>
        <v>0</v>
      </c>
      <c r="O161" s="34" t="n">
        <f aca="false">IF($A161&gt;=Premissas!$C$27,Premissas!$C$39*IF(((YEAR($A161)-YEAR(Premissas!$C$27))*12+MONTH($A161)-MONTH(Premissas!$C$27))&lt;Premissas!$C$41,Premissas!$C$42,1),0)</f>
        <v>0.62</v>
      </c>
      <c r="P161" s="32" t="n">
        <f aca="false">O161*Premissas!$C$38*Premissas!$C$40*(1+Premissas!$C$60)^((YEAR($A161)-YEAR(Premissas!$C$19))*12+MONTH($A161)-MONTH(Premissas!$C$19))</f>
        <v>7123.1844642739</v>
      </c>
      <c r="Q161" s="32" t="n">
        <f aca="false">P161*Premissas!$C$43</f>
        <v>1139.70951428382</v>
      </c>
      <c r="R161" s="32" t="n">
        <f aca="false">P161*Premissas!$C$44</f>
        <v>1424.63689285478</v>
      </c>
      <c r="S161" s="32" t="n">
        <f aca="false">IF($A161&gt;=Premissas!$C$25,Premissas!$C$45*(1+Premissas!$C$60)^((YEAR($A161)-YEAR(Premissas!$C$19))*12+MONTH($A161)-MONTH(Premissas!$C$19)),0)</f>
        <v>1248.8051304828</v>
      </c>
      <c r="T161" s="32" t="n">
        <f aca="false">IF($A161&gt;=Premissas!$C$27,Premissas!$C$46*(1+Premissas!$C$60)^((YEAR($A161)-YEAR(Premissas!$C$19))*12+MONTH($A161)-MONTH(Premissas!$C$19)),0)</f>
        <v>499.52205219312</v>
      </c>
      <c r="U161" s="32" t="n">
        <f aca="false">IF($A161&gt;=Premissas!$C$27,Premissas!$C$47*(1+Premissas!$C$60)^((YEAR($A161)-YEAR(Premissas!$C$19))*12+MONTH($A161)-MONTH(Premissas!$C$19)),0)</f>
        <v>249.76102609656</v>
      </c>
      <c r="V161" s="32" t="n">
        <f aca="false">IF($A161&gt;=Premissas!$C$27,MAX(0,P161-Q161-R161-S161)*Premissas!$C$49,0)</f>
        <v>910.259054829436</v>
      </c>
      <c r="W161" s="32" t="n">
        <f aca="false">P161-Q161-R161-S161-T161-U161-V161</f>
        <v>1650.49079353338</v>
      </c>
      <c r="X161" s="32" t="n">
        <f aca="false">W161-F161-G161-H161-M161</f>
        <v>1650.49079353338</v>
      </c>
      <c r="Y161" s="32" t="n">
        <f aca="false">Y160+X161</f>
        <v>-715740.141830258</v>
      </c>
      <c r="Z161" s="32" t="n">
        <f aca="false">Premissas!$C$14*(1+Premissas!$C$57)^((YEAR(Premissas!$C$19)-YEAR(Premissas!$C$18))*12+MONTH(Premissas!$C$19)-MONTH(Premissas!$C$18))*(1+Premissas!$C$61)^((YEAR($A161)-YEAR(Premissas!$C$19))*12+MONTH($A161)-MONTH(Premissas!$C$19))</f>
        <v>901753.302858773</v>
      </c>
      <c r="AA161" s="32" t="n">
        <f aca="false">IF($A161&gt;=Premissas!$C$25,Z161*(1-Premissas!$C$53)-N161-Premissas!$C$54*MAX(0,Z161*(1-Premissas!$C$53)-(Premissas!$C$14*(1+Premissas!$C$57)^((YEAR(Premissas!$C$25)-YEAR(Premissas!$C$18))*12+MONTH(Premissas!$C$25)-MONTH(Premissas!$C$18))*(1+Premissas!$C$34))),"")</f>
        <v>801703.098495825</v>
      </c>
      <c r="AB161" s="32" t="n">
        <f aca="false">IF($A161&gt;=Premissas!$C$25,Y161+AA161,"")</f>
        <v>85962.9566655663</v>
      </c>
      <c r="AC161" s="29" t="n">
        <f aca="false">IF(AND($A161&gt;=Premissas!$C$27,W161&gt;=M161),$A161,"")</f>
        <v>51136</v>
      </c>
      <c r="AD161" s="29" t="str">
        <f aca="false">IF(AND($A161&gt;=Premissas!$C$27,Y161&gt;=0),$A161,"")</f>
        <v/>
      </c>
      <c r="AE161" s="29" t="n">
        <f aca="false">IF(AND($A161&gt;=Premissas!$C$25,N(AB161)&gt;=0),$A161,"")</f>
        <v>51136</v>
      </c>
    </row>
    <row r="162" customFormat="false" ht="15" hidden="false" customHeight="false" outlineLevel="0" collapsed="false">
      <c r="A162" s="20" t="n">
        <f aca="false">DATE(YEAR(A161),MONTH(A161)+1,1)</f>
        <v>51167</v>
      </c>
      <c r="B162" s="5" t="str">
        <f aca="false">IF($A162&lt;Premissas!$C$25,"Obra",IF($A162=Premissas!$C$25,"Chaves",IF($A162&lt;Premissas!$C$27,"Mobiliando","Airbnb")))</f>
        <v>Airbnb</v>
      </c>
      <c r="C162" s="35" t="n">
        <f aca="false">(YEAR($A162)-YEAR(Premissas!$C$18))*12+MONTH($A162)-MONTH(Premissas!$C$18)</f>
        <v>161</v>
      </c>
      <c r="D162" s="16" t="n">
        <f aca="false">($A162=Premissas!$C$19)*Premissas!$C$8+(($A162=EDATE(Premissas!$C$19,1))+($A162=EDATE(Premissas!$C$19,2)))*Premissas!$C$9+AND($A162&gt;=Premissas!$C$20,$A162&lt;EDATE(Premissas!$C$20,Premissas!$C$21))*Premissas!$C$10+(($A162=Premissas!$C$22)+($A162=Premissas!$C$23)+($A162=Premissas!$C$24))*Premissas!$C$11+($A162=Premissas!$C$25)*Premissas!$C$12</f>
        <v>0</v>
      </c>
      <c r="E162" s="36" t="n">
        <f aca="false">(1+Premissas!$C$57)^C162</f>
        <v>2.0510228561859</v>
      </c>
      <c r="F162" s="16" t="n">
        <f aca="false">D162*E162</f>
        <v>0</v>
      </c>
      <c r="G162" s="16" t="n">
        <f aca="false">($A162=Premissas!$C$25)*Premissas!$C$34*Premissas!$C$14*(1+Premissas!$C$57)^C162</f>
        <v>0</v>
      </c>
      <c r="H162" s="16" t="n">
        <f aca="false">IF(AND($A162&gt;Premissas!$C$25,$A162&lt;Premissas!$C$27),Premissas!$C$35/MAX(1,Premissas!$C$26),0)</f>
        <v>0</v>
      </c>
      <c r="I162" s="35" t="n">
        <f aca="false">IF(AND($A162&gt;Premissas!$C$25,((YEAR($A162)-YEAR(Premissas!$C$25))*12+MONTH($A162)-MONTH(Premissas!$C$25))&lt;=Premissas!$C$32),((YEAR($A162)-YEAR(Premissas!$C$25))*12+MONTH($A162)-MONTH(Premissas!$C$25)),0)</f>
        <v>0</v>
      </c>
      <c r="J162" s="16" t="n">
        <f aca="false">IF(I162&gt;0,N161*(1+Premissas!$C$59),0)</f>
        <v>0</v>
      </c>
      <c r="K162" s="16" t="n">
        <f aca="false">J162*Premissas!$C$58</f>
        <v>0</v>
      </c>
      <c r="L162" s="16" t="n">
        <f aca="false">IF(I162&gt;0,J162/(Premissas!$C$32-I162+1),0)</f>
        <v>0</v>
      </c>
      <c r="M162" s="16" t="n">
        <f aca="false">K162+L162</f>
        <v>0</v>
      </c>
      <c r="N162" s="16" t="n">
        <f aca="false">IF($A162=Premissas!$C$25,Premissas!$C$13*E162,IF(I162&gt;0,J162-L162,0))</f>
        <v>0</v>
      </c>
      <c r="O162" s="37" t="n">
        <f aca="false">IF($A162&gt;=Premissas!$C$27,Premissas!$C$39*IF(((YEAR($A162)-YEAR(Premissas!$C$27))*12+MONTH($A162)-MONTH(Premissas!$C$27))&lt;Premissas!$C$41,Premissas!$C$42,1),0)</f>
        <v>0.62</v>
      </c>
      <c r="P162" s="16" t="n">
        <f aca="false">O162*Premissas!$C$38*Premissas!$C$40*(1+Premissas!$C$60)^((YEAR($A162)-YEAR(Premissas!$C$19))*12+MONTH($A162)-MONTH(Premissas!$C$19))</f>
        <v>7146.50391663053</v>
      </c>
      <c r="Q162" s="16" t="n">
        <f aca="false">P162*Premissas!$C$43</f>
        <v>1143.44062666089</v>
      </c>
      <c r="R162" s="16" t="n">
        <f aca="false">P162*Premissas!$C$44</f>
        <v>1429.30078332611</v>
      </c>
      <c r="S162" s="16" t="n">
        <f aca="false">IF($A162&gt;=Premissas!$C$25,Premissas!$C$45*(1+Premissas!$C$60)^((YEAR($A162)-YEAR(Premissas!$C$19))*12+MONTH($A162)-MONTH(Premissas!$C$19)),0)</f>
        <v>1252.89339351868</v>
      </c>
      <c r="T162" s="16" t="n">
        <f aca="false">IF($A162&gt;=Premissas!$C$27,Premissas!$C$46*(1+Premissas!$C$60)^((YEAR($A162)-YEAR(Premissas!$C$19))*12+MONTH($A162)-MONTH(Premissas!$C$19)),0)</f>
        <v>501.157357407471</v>
      </c>
      <c r="U162" s="16" t="n">
        <f aca="false">IF($A162&gt;=Premissas!$C$27,Premissas!$C$47*(1+Premissas!$C$60)^((YEAR($A162)-YEAR(Premissas!$C$19))*12+MONTH($A162)-MONTH(Premissas!$C$19)),0)</f>
        <v>250.578678703735</v>
      </c>
      <c r="V162" s="16" t="n">
        <f aca="false">IF($A162&gt;=Premissas!$C$27,MAX(0,P162-Q162-R162-S162)*Premissas!$C$49,0)</f>
        <v>913.239006109338</v>
      </c>
      <c r="W162" s="16" t="n">
        <f aca="false">P162-Q162-R162-S162-T162-U162-V162</f>
        <v>1655.89407090432</v>
      </c>
      <c r="X162" s="16" t="n">
        <f aca="false">W162-F162-G162-H162-M162</f>
        <v>1655.89407090432</v>
      </c>
      <c r="Y162" s="16" t="n">
        <f aca="false">Y161+X162</f>
        <v>-714084.247759354</v>
      </c>
      <c r="Z162" s="16" t="n">
        <f aca="false">Premissas!$C$14*(1+Premissas!$C$57)^((YEAR(Premissas!$C$19)-YEAR(Premissas!$C$18))*12+MONTH(Premissas!$C$19)-MONTH(Premissas!$C$18))*(1+Premissas!$C$61)^((YEAR($A162)-YEAR(Premissas!$C$19))*12+MONTH($A162)-MONTH(Premissas!$C$19))</f>
        <v>905427.157436933</v>
      </c>
      <c r="AA162" s="16" t="n">
        <f aca="false">IF($A162&gt;=Premissas!$C$25,Z162*(1-Premissas!$C$53)-N162-Premissas!$C$54*MAX(0,Z162*(1-Premissas!$C$53)-(Premissas!$C$14*(1+Premissas!$C$57)^((YEAR(Premissas!$C$25)-YEAR(Premissas!$C$18))*12+MONTH(Premissas!$C$25)-MONTH(Premissas!$C$18))*(1+Premissas!$C$34))),"")</f>
        <v>804638.508303775</v>
      </c>
      <c r="AB162" s="16" t="n">
        <f aca="false">IF($A162&gt;=Premissas!$C$25,Y162+AA162,"")</f>
        <v>90554.2605444208</v>
      </c>
      <c r="AC162" s="20" t="n">
        <f aca="false">IF(AND($A162&gt;=Premissas!$C$27,W162&gt;=M162),$A162,"")</f>
        <v>51167</v>
      </c>
      <c r="AD162" s="20" t="str">
        <f aca="false">IF(AND($A162&gt;=Premissas!$C$27,Y162&gt;=0),$A162,"")</f>
        <v/>
      </c>
      <c r="AE162" s="20" t="n">
        <f aca="false">IF(AND($A162&gt;=Premissas!$C$25,N(AB162)&gt;=0),$A162,"")</f>
        <v>51167</v>
      </c>
    </row>
    <row r="163" customFormat="false" ht="15" hidden="false" customHeight="false" outlineLevel="0" collapsed="false">
      <c r="A163" s="20" t="n">
        <f aca="false">DATE(YEAR(A162),MONTH(A162)+1,1)</f>
        <v>51196</v>
      </c>
      <c r="B163" s="5" t="str">
        <f aca="false">IF($A163&lt;Premissas!$C$25,"Obra",IF($A163=Premissas!$C$25,"Chaves",IF($A163&lt;Premissas!$C$27,"Mobiliando","Airbnb")))</f>
        <v>Airbnb</v>
      </c>
      <c r="C163" s="35" t="n">
        <f aca="false">(YEAR($A163)-YEAR(Premissas!$C$18))*12+MONTH($A163)-MONTH(Premissas!$C$18)</f>
        <v>162</v>
      </c>
      <c r="D163" s="16" t="n">
        <f aca="false">($A163=Premissas!$C$19)*Premissas!$C$8+(($A163=EDATE(Premissas!$C$19,1))+($A163=EDATE(Premissas!$C$19,2)))*Premissas!$C$9+AND($A163&gt;=Premissas!$C$20,$A163&lt;EDATE(Premissas!$C$20,Premissas!$C$21))*Premissas!$C$10+(($A163=Premissas!$C$22)+($A163=Premissas!$C$23)+($A163=Premissas!$C$24))*Premissas!$C$11+($A163=Premissas!$C$25)*Premissas!$C$12</f>
        <v>0</v>
      </c>
      <c r="E163" s="36" t="n">
        <f aca="false">(1+Premissas!$C$57)^C163</f>
        <v>2.06019441287074</v>
      </c>
      <c r="F163" s="16" t="n">
        <f aca="false">D163*E163</f>
        <v>0</v>
      </c>
      <c r="G163" s="16" t="n">
        <f aca="false">($A163=Premissas!$C$25)*Premissas!$C$34*Premissas!$C$14*(1+Premissas!$C$57)^C163</f>
        <v>0</v>
      </c>
      <c r="H163" s="16" t="n">
        <f aca="false">IF(AND($A163&gt;Premissas!$C$25,$A163&lt;Premissas!$C$27),Premissas!$C$35/MAX(1,Premissas!$C$26),0)</f>
        <v>0</v>
      </c>
      <c r="I163" s="35" t="n">
        <f aca="false">IF(AND($A163&gt;Premissas!$C$25,((YEAR($A163)-YEAR(Premissas!$C$25))*12+MONTH($A163)-MONTH(Premissas!$C$25))&lt;=Premissas!$C$32),((YEAR($A163)-YEAR(Premissas!$C$25))*12+MONTH($A163)-MONTH(Premissas!$C$25)),0)</f>
        <v>0</v>
      </c>
      <c r="J163" s="16" t="n">
        <f aca="false">IF(I163&gt;0,N162*(1+Premissas!$C$59),0)</f>
        <v>0</v>
      </c>
      <c r="K163" s="16" t="n">
        <f aca="false">J163*Premissas!$C$58</f>
        <v>0</v>
      </c>
      <c r="L163" s="16" t="n">
        <f aca="false">IF(I163&gt;0,J163/(Premissas!$C$32-I163+1),0)</f>
        <v>0</v>
      </c>
      <c r="M163" s="16" t="n">
        <f aca="false">K163+L163</f>
        <v>0</v>
      </c>
      <c r="N163" s="16" t="n">
        <f aca="false">IF($A163=Premissas!$C$25,Premissas!$C$13*E163,IF(I163&gt;0,J163-L163,0))</f>
        <v>0</v>
      </c>
      <c r="O163" s="37" t="n">
        <f aca="false">IF($A163&gt;=Premissas!$C$27,Premissas!$C$39*IF(((YEAR($A163)-YEAR(Premissas!$C$27))*12+MONTH($A163)-MONTH(Premissas!$C$27))&lt;Premissas!$C$41,Premissas!$C$42,1),0)</f>
        <v>0.62</v>
      </c>
      <c r="P163" s="16" t="n">
        <f aca="false">O163*Premissas!$C$38*Premissas!$C$40*(1+Premissas!$C$60)^((YEAR($A163)-YEAR(Premissas!$C$19))*12+MONTH($A163)-MONTH(Premissas!$C$19))</f>
        <v>7169.89971080605</v>
      </c>
      <c r="Q163" s="16" t="n">
        <f aca="false">P163*Premissas!$C$43</f>
        <v>1147.18395372897</v>
      </c>
      <c r="R163" s="16" t="n">
        <f aca="false">P163*Premissas!$C$44</f>
        <v>1433.97994216121</v>
      </c>
      <c r="S163" s="16" t="n">
        <f aca="false">IF($A163&gt;=Premissas!$C$25,Premissas!$C$45*(1+Premissas!$C$60)^((YEAR($A163)-YEAR(Premissas!$C$19))*12+MONTH($A163)-MONTH(Premissas!$C$19)),0)</f>
        <v>1256.99504046389</v>
      </c>
      <c r="T163" s="16" t="n">
        <f aca="false">IF($A163&gt;=Premissas!$C$27,Premissas!$C$46*(1+Premissas!$C$60)^((YEAR($A163)-YEAR(Premissas!$C$19))*12+MONTH($A163)-MONTH(Premissas!$C$19)),0)</f>
        <v>502.798016185557</v>
      </c>
      <c r="U163" s="16" t="n">
        <f aca="false">IF($A163&gt;=Premissas!$C$27,Premissas!$C$47*(1+Premissas!$C$60)^((YEAR($A163)-YEAR(Premissas!$C$19))*12+MONTH($A163)-MONTH(Premissas!$C$19)),0)</f>
        <v>251.399008092779</v>
      </c>
      <c r="V163" s="16" t="n">
        <f aca="false">IF($A163&gt;=Premissas!$C$27,MAX(0,P163-Q163-R163-S163)*Premissas!$C$49,0)</f>
        <v>916.228712974293</v>
      </c>
      <c r="W163" s="16" t="n">
        <f aca="false">P163-Q163-R163-S163-T163-U163-V163</f>
        <v>1661.31503719935</v>
      </c>
      <c r="X163" s="16" t="n">
        <f aca="false">W163-F163-G163-H163-M163</f>
        <v>1661.31503719935</v>
      </c>
      <c r="Y163" s="16" t="n">
        <f aca="false">Y162+X163</f>
        <v>-712422.932722155</v>
      </c>
      <c r="Z163" s="16" t="n">
        <f aca="false">Premissas!$C$14*(1+Premissas!$C$57)^((YEAR(Premissas!$C$19)-YEAR(Premissas!$C$18))*12+MONTH(Premissas!$C$19)-MONTH(Premissas!$C$18))*(1+Premissas!$C$61)^((YEAR($A163)-YEAR(Premissas!$C$19))*12+MONTH($A163)-MONTH(Premissas!$C$19))</f>
        <v>909115.979753408</v>
      </c>
      <c r="AA163" s="16" t="n">
        <f aca="false">IF($A163&gt;=Premissas!$C$25,Z163*(1-Premissas!$C$53)-N163-Premissas!$C$54*MAX(0,Z163*(1-Premissas!$C$53)-(Premissas!$C$14*(1+Premissas!$C$57)^((YEAR(Premissas!$C$25)-YEAR(Premissas!$C$18))*12+MONTH(Premissas!$C$25)-MONTH(Premissas!$C$18))*(1+Premissas!$C$34))),"")</f>
        <v>807585.877334638</v>
      </c>
      <c r="AB163" s="16" t="n">
        <f aca="false">IF($A163&gt;=Premissas!$C$25,Y163+AA163,"")</f>
        <v>95162.9446124836</v>
      </c>
      <c r="AC163" s="20" t="n">
        <f aca="false">IF(AND($A163&gt;=Premissas!$C$27,W163&gt;=M163),$A163,"")</f>
        <v>51196</v>
      </c>
      <c r="AD163" s="20" t="str">
        <f aca="false">IF(AND($A163&gt;=Premissas!$C$27,Y163&gt;=0),$A163,"")</f>
        <v/>
      </c>
      <c r="AE163" s="20" t="n">
        <f aca="false">IF(AND($A163&gt;=Premissas!$C$25,N(AB163)&gt;=0),$A163,"")</f>
        <v>51196</v>
      </c>
    </row>
    <row r="164" customFormat="false" ht="15" hidden="false" customHeight="false" outlineLevel="0" collapsed="false">
      <c r="A164" s="20" t="n">
        <f aca="false">DATE(YEAR(A163),MONTH(A163)+1,1)</f>
        <v>51227</v>
      </c>
      <c r="B164" s="5" t="str">
        <f aca="false">IF($A164&lt;Premissas!$C$25,"Obra",IF($A164=Premissas!$C$25,"Chaves",IF($A164&lt;Premissas!$C$27,"Mobiliando","Airbnb")))</f>
        <v>Airbnb</v>
      </c>
      <c r="C164" s="35" t="n">
        <f aca="false">(YEAR($A164)-YEAR(Premissas!$C$18))*12+MONTH($A164)-MONTH(Premissas!$C$18)</f>
        <v>163</v>
      </c>
      <c r="D164" s="16" t="n">
        <f aca="false">($A164=Premissas!$C$19)*Premissas!$C$8+(($A164=EDATE(Premissas!$C$19,1))+($A164=EDATE(Premissas!$C$19,2)))*Premissas!$C$9+AND($A164&gt;=Premissas!$C$20,$A164&lt;EDATE(Premissas!$C$20,Premissas!$C$21))*Premissas!$C$10+(($A164=Premissas!$C$22)+($A164=Premissas!$C$23)+($A164=Premissas!$C$24))*Premissas!$C$11+($A164=Premissas!$C$25)*Premissas!$C$12</f>
        <v>0</v>
      </c>
      <c r="E164" s="36" t="n">
        <f aca="false">(1+Premissas!$C$57)^C164</f>
        <v>2.06940698199567</v>
      </c>
      <c r="F164" s="16" t="n">
        <f aca="false">D164*E164</f>
        <v>0</v>
      </c>
      <c r="G164" s="16" t="n">
        <f aca="false">($A164=Premissas!$C$25)*Premissas!$C$34*Premissas!$C$14*(1+Premissas!$C$57)^C164</f>
        <v>0</v>
      </c>
      <c r="H164" s="16" t="n">
        <f aca="false">IF(AND($A164&gt;Premissas!$C$25,$A164&lt;Premissas!$C$27),Premissas!$C$35/MAX(1,Premissas!$C$26),0)</f>
        <v>0</v>
      </c>
      <c r="I164" s="35" t="n">
        <f aca="false">IF(AND($A164&gt;Premissas!$C$25,((YEAR($A164)-YEAR(Premissas!$C$25))*12+MONTH($A164)-MONTH(Premissas!$C$25))&lt;=Premissas!$C$32),((YEAR($A164)-YEAR(Premissas!$C$25))*12+MONTH($A164)-MONTH(Premissas!$C$25)),0)</f>
        <v>0</v>
      </c>
      <c r="J164" s="16" t="n">
        <f aca="false">IF(I164&gt;0,N163*(1+Premissas!$C$59),0)</f>
        <v>0</v>
      </c>
      <c r="K164" s="16" t="n">
        <f aca="false">J164*Premissas!$C$58</f>
        <v>0</v>
      </c>
      <c r="L164" s="16" t="n">
        <f aca="false">IF(I164&gt;0,J164/(Premissas!$C$32-I164+1),0)</f>
        <v>0</v>
      </c>
      <c r="M164" s="16" t="n">
        <f aca="false">K164+L164</f>
        <v>0</v>
      </c>
      <c r="N164" s="16" t="n">
        <f aca="false">IF($A164=Premissas!$C$25,Premissas!$C$13*E164,IF(I164&gt;0,J164-L164,0))</f>
        <v>0</v>
      </c>
      <c r="O164" s="37" t="n">
        <f aca="false">IF($A164&gt;=Premissas!$C$27,Premissas!$C$39*IF(((YEAR($A164)-YEAR(Premissas!$C$27))*12+MONTH($A164)-MONTH(Premissas!$C$27))&lt;Premissas!$C$41,Premissas!$C$42,1),0)</f>
        <v>0.62</v>
      </c>
      <c r="P164" s="16" t="n">
        <f aca="false">O164*Premissas!$C$38*Premissas!$C$40*(1+Premissas!$C$60)^((YEAR($A164)-YEAR(Premissas!$C$19))*12+MONTH($A164)-MONTH(Premissas!$C$19))</f>
        <v>7193.37209672369</v>
      </c>
      <c r="Q164" s="16" t="n">
        <f aca="false">P164*Premissas!$C$43</f>
        <v>1150.93953547579</v>
      </c>
      <c r="R164" s="16" t="n">
        <f aca="false">P164*Premissas!$C$44</f>
        <v>1438.67441934474</v>
      </c>
      <c r="S164" s="16" t="n">
        <f aca="false">IF($A164&gt;=Premissas!$C$25,Premissas!$C$45*(1+Premissas!$C$60)^((YEAR($A164)-YEAR(Premissas!$C$19))*12+MONTH($A164)-MONTH(Premissas!$C$19)),0)</f>
        <v>1261.11011513389</v>
      </c>
      <c r="T164" s="16" t="n">
        <f aca="false">IF($A164&gt;=Premissas!$C$27,Premissas!$C$46*(1+Premissas!$C$60)^((YEAR($A164)-YEAR(Premissas!$C$19))*12+MONTH($A164)-MONTH(Premissas!$C$19)),0)</f>
        <v>504.444046053555</v>
      </c>
      <c r="U164" s="16" t="n">
        <f aca="false">IF($A164&gt;=Premissas!$C$27,Premissas!$C$47*(1+Premissas!$C$60)^((YEAR($A164)-YEAR(Premissas!$C$19))*12+MONTH($A164)-MONTH(Premissas!$C$19)),0)</f>
        <v>252.222023026777</v>
      </c>
      <c r="V164" s="16" t="n">
        <f aca="false">IF($A164&gt;=Premissas!$C$27,MAX(0,P164-Q164-R164-S164)*Premissas!$C$49,0)</f>
        <v>919.22820736155</v>
      </c>
      <c r="W164" s="16" t="n">
        <f aca="false">P164-Q164-R164-S164-T164-U164-V164</f>
        <v>1666.75375032739</v>
      </c>
      <c r="X164" s="16" t="n">
        <f aca="false">W164-F164-G164-H164-M164</f>
        <v>1666.75375032739</v>
      </c>
      <c r="Y164" s="16" t="n">
        <f aca="false">Y163+X164</f>
        <v>-710756.178971827</v>
      </c>
      <c r="Z164" s="16" t="n">
        <f aca="false">Premissas!$C$14*(1+Premissas!$C$57)^((YEAR(Premissas!$C$19)-YEAR(Premissas!$C$18))*12+MONTH(Premissas!$C$19)-MONTH(Premissas!$C$18))*(1+Premissas!$C$61)^((YEAR($A164)-YEAR(Premissas!$C$19))*12+MONTH($A164)-MONTH(Premissas!$C$19))</f>
        <v>912819.830788616</v>
      </c>
      <c r="AA164" s="16" t="n">
        <f aca="false">IF($A164&gt;=Premissas!$C$25,Z164*(1-Premissas!$C$53)-N164-Premissas!$C$54*MAX(0,Z164*(1-Premissas!$C$53)-(Premissas!$C$14*(1+Premissas!$C$57)^((YEAR(Premissas!$C$25)-YEAR(Premissas!$C$18))*12+MONTH(Premissas!$C$25)-MONTH(Premissas!$C$18))*(1+Premissas!$C$34))),"")</f>
        <v>810545.254311769</v>
      </c>
      <c r="AB164" s="16" t="n">
        <f aca="false">IF($A164&gt;=Premissas!$C$25,Y164+AA164,"")</f>
        <v>99789.0753399422</v>
      </c>
      <c r="AC164" s="20" t="n">
        <f aca="false">IF(AND($A164&gt;=Premissas!$C$27,W164&gt;=M164),$A164,"")</f>
        <v>51227</v>
      </c>
      <c r="AD164" s="20" t="str">
        <f aca="false">IF(AND($A164&gt;=Premissas!$C$27,Y164&gt;=0),$A164,"")</f>
        <v/>
      </c>
      <c r="AE164" s="20" t="n">
        <f aca="false">IF(AND($A164&gt;=Premissas!$C$25,N(AB164)&gt;=0),$A164,"")</f>
        <v>51227</v>
      </c>
    </row>
    <row r="165" customFormat="false" ht="15" hidden="false" customHeight="false" outlineLevel="0" collapsed="false">
      <c r="A165" s="20" t="n">
        <f aca="false">DATE(YEAR(A164),MONTH(A164)+1,1)</f>
        <v>51257</v>
      </c>
      <c r="B165" s="5" t="str">
        <f aca="false">IF($A165&lt;Premissas!$C$25,"Obra",IF($A165=Premissas!$C$25,"Chaves",IF($A165&lt;Premissas!$C$27,"Mobiliando","Airbnb")))</f>
        <v>Airbnb</v>
      </c>
      <c r="C165" s="35" t="n">
        <f aca="false">(YEAR($A165)-YEAR(Premissas!$C$18))*12+MONTH($A165)-MONTH(Premissas!$C$18)</f>
        <v>164</v>
      </c>
      <c r="D165" s="16" t="n">
        <f aca="false">($A165=Premissas!$C$19)*Premissas!$C$8+(($A165=EDATE(Premissas!$C$19,1))+($A165=EDATE(Premissas!$C$19,2)))*Premissas!$C$9+AND($A165&gt;=Premissas!$C$20,$A165&lt;EDATE(Premissas!$C$20,Premissas!$C$21))*Premissas!$C$10+(($A165=Premissas!$C$22)+($A165=Premissas!$C$23)+($A165=Premissas!$C$24))*Premissas!$C$11+($A165=Premissas!$C$25)*Premissas!$C$12</f>
        <v>0</v>
      </c>
      <c r="E165" s="36" t="n">
        <f aca="false">(1+Premissas!$C$57)^C165</f>
        <v>2.07866074695598</v>
      </c>
      <c r="F165" s="16" t="n">
        <f aca="false">D165*E165</f>
        <v>0</v>
      </c>
      <c r="G165" s="16" t="n">
        <f aca="false">($A165=Premissas!$C$25)*Premissas!$C$34*Premissas!$C$14*(1+Premissas!$C$57)^C165</f>
        <v>0</v>
      </c>
      <c r="H165" s="16" t="n">
        <f aca="false">IF(AND($A165&gt;Premissas!$C$25,$A165&lt;Premissas!$C$27),Premissas!$C$35/MAX(1,Premissas!$C$26),0)</f>
        <v>0</v>
      </c>
      <c r="I165" s="35" t="n">
        <f aca="false">IF(AND($A165&gt;Premissas!$C$25,((YEAR($A165)-YEAR(Premissas!$C$25))*12+MONTH($A165)-MONTH(Premissas!$C$25))&lt;=Premissas!$C$32),((YEAR($A165)-YEAR(Premissas!$C$25))*12+MONTH($A165)-MONTH(Premissas!$C$25)),0)</f>
        <v>0</v>
      </c>
      <c r="J165" s="16" t="n">
        <f aca="false">IF(I165&gt;0,N164*(1+Premissas!$C$59),0)</f>
        <v>0</v>
      </c>
      <c r="K165" s="16" t="n">
        <f aca="false">J165*Premissas!$C$58</f>
        <v>0</v>
      </c>
      <c r="L165" s="16" t="n">
        <f aca="false">IF(I165&gt;0,J165/(Premissas!$C$32-I165+1),0)</f>
        <v>0</v>
      </c>
      <c r="M165" s="16" t="n">
        <f aca="false">K165+L165</f>
        <v>0</v>
      </c>
      <c r="N165" s="16" t="n">
        <f aca="false">IF($A165=Premissas!$C$25,Premissas!$C$13*E165,IF(I165&gt;0,J165-L165,0))</f>
        <v>0</v>
      </c>
      <c r="O165" s="37" t="n">
        <f aca="false">IF($A165&gt;=Premissas!$C$27,Premissas!$C$39*IF(((YEAR($A165)-YEAR(Premissas!$C$27))*12+MONTH($A165)-MONTH(Premissas!$C$27))&lt;Premissas!$C$41,Premissas!$C$42,1),0)</f>
        <v>0.62</v>
      </c>
      <c r="P165" s="16" t="n">
        <f aca="false">O165*Premissas!$C$38*Premissas!$C$40*(1+Premissas!$C$60)^((YEAR($A165)-YEAR(Premissas!$C$19))*12+MONTH($A165)-MONTH(Premissas!$C$19))</f>
        <v>7216.92132512489</v>
      </c>
      <c r="Q165" s="16" t="n">
        <f aca="false">P165*Premissas!$C$43</f>
        <v>1154.70741201998</v>
      </c>
      <c r="R165" s="16" t="n">
        <f aca="false">P165*Premissas!$C$44</f>
        <v>1443.38426502498</v>
      </c>
      <c r="S165" s="16" t="n">
        <f aca="false">IF($A165&gt;=Premissas!$C$25,Premissas!$C$45*(1+Premissas!$C$60)^((YEAR($A165)-YEAR(Premissas!$C$19))*12+MONTH($A165)-MONTH(Premissas!$C$19)),0)</f>
        <v>1265.23866148753</v>
      </c>
      <c r="T165" s="16" t="n">
        <f aca="false">IF($A165&gt;=Premissas!$C$27,Premissas!$C$46*(1+Premissas!$C$60)^((YEAR($A165)-YEAR(Premissas!$C$19))*12+MONTH($A165)-MONTH(Premissas!$C$19)),0)</f>
        <v>506.095464595013</v>
      </c>
      <c r="U165" s="16" t="n">
        <f aca="false">IF($A165&gt;=Premissas!$C$27,Premissas!$C$47*(1+Premissas!$C$60)^((YEAR($A165)-YEAR(Premissas!$C$19))*12+MONTH($A165)-MONTH(Premissas!$C$19)),0)</f>
        <v>253.047732297507</v>
      </c>
      <c r="V165" s="16" t="n">
        <f aca="false">IF($A165&gt;=Premissas!$C$27,MAX(0,P165-Q165-R165-S165)*Premissas!$C$49,0)</f>
        <v>922.237521312909</v>
      </c>
      <c r="W165" s="16" t="n">
        <f aca="false">P165-Q165-R165-S165-T165-U165-V165</f>
        <v>1672.21026838697</v>
      </c>
      <c r="X165" s="16" t="n">
        <f aca="false">W165-F165-G165-H165-M165</f>
        <v>1672.21026838697</v>
      </c>
      <c r="Y165" s="16" t="n">
        <f aca="false">Y164+X165</f>
        <v>-709083.96870344</v>
      </c>
      <c r="Z165" s="16" t="n">
        <f aca="false">Premissas!$C$14*(1+Premissas!$C$57)^((YEAR(Premissas!$C$19)-YEAR(Premissas!$C$18))*12+MONTH(Premissas!$C$19)-MONTH(Premissas!$C$18))*(1+Premissas!$C$61)^((YEAR($A165)-YEAR(Premissas!$C$19))*12+MONTH($A165)-MONTH(Premissas!$C$19))</f>
        <v>916538.771771418</v>
      </c>
      <c r="AA165" s="16" t="n">
        <f aca="false">IF($A165&gt;=Premissas!$C$25,Z165*(1-Premissas!$C$53)-N165-Premissas!$C$54*MAX(0,Z165*(1-Premissas!$C$53)-(Premissas!$C$14*(1+Premissas!$C$57)^((YEAR(Premissas!$C$25)-YEAR(Premissas!$C$18))*12+MONTH(Premissas!$C$25)-MONTH(Premissas!$C$18))*(1+Premissas!$C$34))),"")</f>
        <v>813516.688157028</v>
      </c>
      <c r="AB165" s="16" t="n">
        <f aca="false">IF($A165&gt;=Premissas!$C$25,Y165+AA165,"")</f>
        <v>104432.719453588</v>
      </c>
      <c r="AC165" s="20" t="n">
        <f aca="false">IF(AND($A165&gt;=Premissas!$C$27,W165&gt;=M165),$A165,"")</f>
        <v>51257</v>
      </c>
      <c r="AD165" s="20" t="str">
        <f aca="false">IF(AND($A165&gt;=Premissas!$C$27,Y165&gt;=0),$A165,"")</f>
        <v/>
      </c>
      <c r="AE165" s="20" t="n">
        <f aca="false">IF(AND($A165&gt;=Premissas!$C$25,N(AB165)&gt;=0),$A165,"")</f>
        <v>51257</v>
      </c>
    </row>
    <row r="166" customFormat="false" ht="15" hidden="false" customHeight="false" outlineLevel="0" collapsed="false">
      <c r="A166" s="20" t="n">
        <f aca="false">DATE(YEAR(A165),MONTH(A165)+1,1)</f>
        <v>51288</v>
      </c>
      <c r="B166" s="5" t="str">
        <f aca="false">IF($A166&lt;Premissas!$C$25,"Obra",IF($A166=Premissas!$C$25,"Chaves",IF($A166&lt;Premissas!$C$27,"Mobiliando","Airbnb")))</f>
        <v>Airbnb</v>
      </c>
      <c r="C166" s="35" t="n">
        <f aca="false">(YEAR($A166)-YEAR(Premissas!$C$18))*12+MONTH($A166)-MONTH(Premissas!$C$18)</f>
        <v>165</v>
      </c>
      <c r="D166" s="16" t="n">
        <f aca="false">($A166=Premissas!$C$19)*Premissas!$C$8+(($A166=EDATE(Premissas!$C$19,1))+($A166=EDATE(Premissas!$C$19,2)))*Premissas!$C$9+AND($A166&gt;=Premissas!$C$20,$A166&lt;EDATE(Premissas!$C$20,Premissas!$C$21))*Premissas!$C$10+(($A166=Premissas!$C$22)+($A166=Premissas!$C$23)+($A166=Premissas!$C$24))*Premissas!$C$11+($A166=Premissas!$C$25)*Premissas!$C$12</f>
        <v>0</v>
      </c>
      <c r="E166" s="36" t="n">
        <f aca="false">(1+Premissas!$C$57)^C166</f>
        <v>2.08795589196705</v>
      </c>
      <c r="F166" s="16" t="n">
        <f aca="false">D166*E166</f>
        <v>0</v>
      </c>
      <c r="G166" s="16" t="n">
        <f aca="false">($A166=Premissas!$C$25)*Premissas!$C$34*Premissas!$C$14*(1+Premissas!$C$57)^C166</f>
        <v>0</v>
      </c>
      <c r="H166" s="16" t="n">
        <f aca="false">IF(AND($A166&gt;Premissas!$C$25,$A166&lt;Premissas!$C$27),Premissas!$C$35/MAX(1,Premissas!$C$26),0)</f>
        <v>0</v>
      </c>
      <c r="I166" s="35" t="n">
        <f aca="false">IF(AND($A166&gt;Premissas!$C$25,((YEAR($A166)-YEAR(Premissas!$C$25))*12+MONTH($A166)-MONTH(Premissas!$C$25))&lt;=Premissas!$C$32),((YEAR($A166)-YEAR(Premissas!$C$25))*12+MONTH($A166)-MONTH(Premissas!$C$25)),0)</f>
        <v>0</v>
      </c>
      <c r="J166" s="16" t="n">
        <f aca="false">IF(I166&gt;0,N165*(1+Premissas!$C$59),0)</f>
        <v>0</v>
      </c>
      <c r="K166" s="16" t="n">
        <f aca="false">J166*Premissas!$C$58</f>
        <v>0</v>
      </c>
      <c r="L166" s="16" t="n">
        <f aca="false">IF(I166&gt;0,J166/(Premissas!$C$32-I166+1),0)</f>
        <v>0</v>
      </c>
      <c r="M166" s="16" t="n">
        <f aca="false">K166+L166</f>
        <v>0</v>
      </c>
      <c r="N166" s="16" t="n">
        <f aca="false">IF($A166=Premissas!$C$25,Premissas!$C$13*E166,IF(I166&gt;0,J166-L166,0))</f>
        <v>0</v>
      </c>
      <c r="O166" s="37" t="n">
        <f aca="false">IF($A166&gt;=Premissas!$C$27,Premissas!$C$39*IF(((YEAR($A166)-YEAR(Premissas!$C$27))*12+MONTH($A166)-MONTH(Premissas!$C$27))&lt;Premissas!$C$41,Premissas!$C$42,1),0)</f>
        <v>0.62</v>
      </c>
      <c r="P166" s="16" t="n">
        <f aca="false">O166*Premissas!$C$38*Premissas!$C$40*(1+Premissas!$C$60)^((YEAR($A166)-YEAR(Premissas!$C$19))*12+MONTH($A166)-MONTH(Premissas!$C$19))</f>
        <v>7240.54764757195</v>
      </c>
      <c r="Q166" s="16" t="n">
        <f aca="false">P166*Premissas!$C$43</f>
        <v>1158.48762361151</v>
      </c>
      <c r="R166" s="16" t="n">
        <f aca="false">P166*Premissas!$C$44</f>
        <v>1448.10952951439</v>
      </c>
      <c r="S166" s="16" t="n">
        <f aca="false">IF($A166&gt;=Premissas!$C$25,Premissas!$C$45*(1+Premissas!$C$60)^((YEAR($A166)-YEAR(Premissas!$C$19))*12+MONTH($A166)-MONTH(Premissas!$C$19)),0)</f>
        <v>1269.38072362762</v>
      </c>
      <c r="T166" s="16" t="n">
        <f aca="false">IF($A166&gt;=Premissas!$C$27,Premissas!$C$46*(1+Premissas!$C$60)^((YEAR($A166)-YEAR(Premissas!$C$19))*12+MONTH($A166)-MONTH(Premissas!$C$19)),0)</f>
        <v>507.752289451049</v>
      </c>
      <c r="U166" s="16" t="n">
        <f aca="false">IF($A166&gt;=Premissas!$C$27,Premissas!$C$47*(1+Premissas!$C$60)^((YEAR($A166)-YEAR(Premissas!$C$19))*12+MONTH($A166)-MONTH(Premissas!$C$19)),0)</f>
        <v>253.876144725524</v>
      </c>
      <c r="V166" s="16" t="n">
        <f aca="false">IF($A166&gt;=Premissas!$C$27,MAX(0,P166-Q166-R166-S166)*Premissas!$C$49,0)</f>
        <v>925.256686975068</v>
      </c>
      <c r="W166" s="16" t="n">
        <f aca="false">P166-Q166-R166-S166-T166-U166-V166</f>
        <v>1677.68464966679</v>
      </c>
      <c r="X166" s="16" t="n">
        <f aca="false">W166-F166-G166-H166-M166</f>
        <v>1677.68464966679</v>
      </c>
      <c r="Y166" s="16" t="n">
        <f aca="false">Y165+X166</f>
        <v>-707406.284053773</v>
      </c>
      <c r="Z166" s="16" t="n">
        <f aca="false">Premissas!$C$14*(1+Premissas!$C$57)^((YEAR(Premissas!$C$19)-YEAR(Premissas!$C$18))*12+MONTH(Premissas!$C$19)-MONTH(Premissas!$C$18))*(1+Premissas!$C$61)^((YEAR($A166)-YEAR(Premissas!$C$19))*12+MONTH($A166)-MONTH(Premissas!$C$19))</f>
        <v>920272.864180128</v>
      </c>
      <c r="AA166" s="16" t="n">
        <f aca="false">IF($A166&gt;=Premissas!$C$25,Z166*(1-Premissas!$C$53)-N166-Premissas!$C$54*MAX(0,Z166*(1-Premissas!$C$53)-(Premissas!$C$14*(1+Premissas!$C$57)^((YEAR(Premissas!$C$25)-YEAR(Premissas!$C$18))*12+MONTH(Premissas!$C$25)-MONTH(Premissas!$C$18))*(1+Premissas!$C$34))),"")</f>
        <v>816500.227991587</v>
      </c>
      <c r="AB166" s="16" t="n">
        <f aca="false">IF($A166&gt;=Premissas!$C$25,Y166+AA166,"")</f>
        <v>109093.943937814</v>
      </c>
      <c r="AC166" s="20" t="n">
        <f aca="false">IF(AND($A166&gt;=Premissas!$C$27,W166&gt;=M166),$A166,"")</f>
        <v>51288</v>
      </c>
      <c r="AD166" s="20" t="str">
        <f aca="false">IF(AND($A166&gt;=Premissas!$C$27,Y166&gt;=0),$A166,"")</f>
        <v/>
      </c>
      <c r="AE166" s="20" t="n">
        <f aca="false">IF(AND($A166&gt;=Premissas!$C$25,N(AB166)&gt;=0),$A166,"")</f>
        <v>51288</v>
      </c>
    </row>
    <row r="167" customFormat="false" ht="15" hidden="false" customHeight="false" outlineLevel="0" collapsed="false">
      <c r="A167" s="20" t="n">
        <f aca="false">DATE(YEAR(A166),MONTH(A166)+1,1)</f>
        <v>51318</v>
      </c>
      <c r="B167" s="5" t="str">
        <f aca="false">IF($A167&lt;Premissas!$C$25,"Obra",IF($A167=Premissas!$C$25,"Chaves",IF($A167&lt;Premissas!$C$27,"Mobiliando","Airbnb")))</f>
        <v>Airbnb</v>
      </c>
      <c r="C167" s="35" t="n">
        <f aca="false">(YEAR($A167)-YEAR(Premissas!$C$18))*12+MONTH($A167)-MONTH(Premissas!$C$18)</f>
        <v>166</v>
      </c>
      <c r="D167" s="16" t="n">
        <f aca="false">($A167=Premissas!$C$19)*Premissas!$C$8+(($A167=EDATE(Premissas!$C$19,1))+($A167=EDATE(Premissas!$C$19,2)))*Premissas!$C$9+AND($A167&gt;=Premissas!$C$20,$A167&lt;EDATE(Premissas!$C$20,Premissas!$C$21))*Premissas!$C$10+(($A167=Premissas!$C$22)+($A167=Premissas!$C$23)+($A167=Premissas!$C$24))*Premissas!$C$11+($A167=Premissas!$C$25)*Premissas!$C$12</f>
        <v>0</v>
      </c>
      <c r="E167" s="36" t="n">
        <f aca="false">(1+Premissas!$C$57)^C167</f>
        <v>2.09729260206799</v>
      </c>
      <c r="F167" s="16" t="n">
        <f aca="false">D167*E167</f>
        <v>0</v>
      </c>
      <c r="G167" s="16" t="n">
        <f aca="false">($A167=Premissas!$C$25)*Premissas!$C$34*Premissas!$C$14*(1+Premissas!$C$57)^C167</f>
        <v>0</v>
      </c>
      <c r="H167" s="16" t="n">
        <f aca="false">IF(AND($A167&gt;Premissas!$C$25,$A167&lt;Premissas!$C$27),Premissas!$C$35/MAX(1,Premissas!$C$26),0)</f>
        <v>0</v>
      </c>
      <c r="I167" s="35" t="n">
        <f aca="false">IF(AND($A167&gt;Premissas!$C$25,((YEAR($A167)-YEAR(Premissas!$C$25))*12+MONTH($A167)-MONTH(Premissas!$C$25))&lt;=Premissas!$C$32),((YEAR($A167)-YEAR(Premissas!$C$25))*12+MONTH($A167)-MONTH(Premissas!$C$25)),0)</f>
        <v>0</v>
      </c>
      <c r="J167" s="16" t="n">
        <f aca="false">IF(I167&gt;0,N166*(1+Premissas!$C$59),0)</f>
        <v>0</v>
      </c>
      <c r="K167" s="16" t="n">
        <f aca="false">J167*Premissas!$C$58</f>
        <v>0</v>
      </c>
      <c r="L167" s="16" t="n">
        <f aca="false">IF(I167&gt;0,J167/(Premissas!$C$32-I167+1),0)</f>
        <v>0</v>
      </c>
      <c r="M167" s="16" t="n">
        <f aca="false">K167+L167</f>
        <v>0</v>
      </c>
      <c r="N167" s="16" t="n">
        <f aca="false">IF($A167=Premissas!$C$25,Premissas!$C$13*E167,IF(I167&gt;0,J167-L167,0))</f>
        <v>0</v>
      </c>
      <c r="O167" s="37" t="n">
        <f aca="false">IF($A167&gt;=Premissas!$C$27,Premissas!$C$39*IF(((YEAR($A167)-YEAR(Premissas!$C$27))*12+MONTH($A167)-MONTH(Premissas!$C$27))&lt;Premissas!$C$41,Premissas!$C$42,1),0)</f>
        <v>0.62</v>
      </c>
      <c r="P167" s="16" t="n">
        <f aca="false">O167*Premissas!$C$38*Premissas!$C$40*(1+Premissas!$C$60)^((YEAR($A167)-YEAR(Premissas!$C$19))*12+MONTH($A167)-MONTH(Premissas!$C$19))</f>
        <v>7264.25131645071</v>
      </c>
      <c r="Q167" s="16" t="n">
        <f aca="false">P167*Premissas!$C$43</f>
        <v>1162.28021063211</v>
      </c>
      <c r="R167" s="16" t="n">
        <f aca="false">P167*Premissas!$C$44</f>
        <v>1452.85026329014</v>
      </c>
      <c r="S167" s="16" t="n">
        <f aca="false">IF($A167&gt;=Premissas!$C$25,Premissas!$C$45*(1+Premissas!$C$60)^((YEAR($A167)-YEAR(Premissas!$C$19))*12+MONTH($A167)-MONTH(Premissas!$C$19)),0)</f>
        <v>1273.53634580132</v>
      </c>
      <c r="T167" s="16" t="n">
        <f aca="false">IF($A167&gt;=Premissas!$C$27,Premissas!$C$46*(1+Premissas!$C$60)^((YEAR($A167)-YEAR(Premissas!$C$19))*12+MONTH($A167)-MONTH(Premissas!$C$19)),0)</f>
        <v>509.414538320527</v>
      </c>
      <c r="U167" s="16" t="n">
        <f aca="false">IF($A167&gt;=Premissas!$C$27,Premissas!$C$47*(1+Premissas!$C$60)^((YEAR($A167)-YEAR(Premissas!$C$19))*12+MONTH($A167)-MONTH(Premissas!$C$19)),0)</f>
        <v>254.707269160263</v>
      </c>
      <c r="V167" s="16" t="n">
        <f aca="false">IF($A167&gt;=Premissas!$C$27,MAX(0,P167-Q167-R167-S167)*Premissas!$C$49,0)</f>
        <v>928.285736599964</v>
      </c>
      <c r="W167" s="16" t="n">
        <f aca="false">P167-Q167-R167-S167-T167-U167-V167</f>
        <v>1683.17695264639</v>
      </c>
      <c r="X167" s="16" t="n">
        <f aca="false">W167-F167-G167-H167-M167</f>
        <v>1683.17695264639</v>
      </c>
      <c r="Y167" s="16" t="n">
        <f aca="false">Y166+X167</f>
        <v>-705723.107101127</v>
      </c>
      <c r="Z167" s="16" t="n">
        <f aca="false">Premissas!$C$14*(1+Premissas!$C$57)^((YEAR(Premissas!$C$19)-YEAR(Premissas!$C$18))*12+MONTH(Premissas!$C$19)-MONTH(Premissas!$C$18))*(1+Premissas!$C$61)^((YEAR($A167)-YEAR(Premissas!$C$19))*12+MONTH($A167)-MONTH(Premissas!$C$19))</f>
        <v>924022.16974353</v>
      </c>
      <c r="AA167" s="16" t="n">
        <f aca="false">IF($A167&gt;=Premissas!$C$25,Z167*(1-Premissas!$C$53)-N167-Premissas!$C$54*MAX(0,Z167*(1-Premissas!$C$53)-(Premissas!$C$14*(1+Premissas!$C$57)^((YEAR(Premissas!$C$25)-YEAR(Premissas!$C$18))*12+MONTH(Premissas!$C$25)-MONTH(Premissas!$C$18))*(1+Premissas!$C$34))),"")</f>
        <v>819495.923136746</v>
      </c>
      <c r="AB167" s="16" t="n">
        <f aca="false">IF($A167&gt;=Premissas!$C$25,Y167+AA167,"")</f>
        <v>113772.816035619</v>
      </c>
      <c r="AC167" s="20" t="n">
        <f aca="false">IF(AND($A167&gt;=Premissas!$C$27,W167&gt;=M167),$A167,"")</f>
        <v>51318</v>
      </c>
      <c r="AD167" s="20" t="str">
        <f aca="false">IF(AND($A167&gt;=Premissas!$C$27,Y167&gt;=0),$A167,"")</f>
        <v/>
      </c>
      <c r="AE167" s="20" t="n">
        <f aca="false">IF(AND($A167&gt;=Premissas!$C$25,N(AB167)&gt;=0),$A167,"")</f>
        <v>51318</v>
      </c>
    </row>
    <row r="168" customFormat="false" ht="15" hidden="false" customHeight="false" outlineLevel="0" collapsed="false">
      <c r="A168" s="20" t="n">
        <f aca="false">DATE(YEAR(A167),MONTH(A167)+1,1)</f>
        <v>51349</v>
      </c>
      <c r="B168" s="5" t="str">
        <f aca="false">IF($A168&lt;Premissas!$C$25,"Obra",IF($A168=Premissas!$C$25,"Chaves",IF($A168&lt;Premissas!$C$27,"Mobiliando","Airbnb")))</f>
        <v>Airbnb</v>
      </c>
      <c r="C168" s="35" t="n">
        <f aca="false">(YEAR($A168)-YEAR(Premissas!$C$18))*12+MONTH($A168)-MONTH(Premissas!$C$18)</f>
        <v>167</v>
      </c>
      <c r="D168" s="16" t="n">
        <f aca="false">($A168=Premissas!$C$19)*Premissas!$C$8+(($A168=EDATE(Premissas!$C$19,1))+($A168=EDATE(Premissas!$C$19,2)))*Premissas!$C$9+AND($A168&gt;=Premissas!$C$20,$A168&lt;EDATE(Premissas!$C$20,Premissas!$C$21))*Premissas!$C$10+(($A168=Premissas!$C$22)+($A168=Premissas!$C$23)+($A168=Premissas!$C$24))*Premissas!$C$11+($A168=Premissas!$C$25)*Premissas!$C$12</f>
        <v>0</v>
      </c>
      <c r="E168" s="36" t="n">
        <f aca="false">(1+Premissas!$C$57)^C168</f>
        <v>2.10667106312538</v>
      </c>
      <c r="F168" s="16" t="n">
        <f aca="false">D168*E168</f>
        <v>0</v>
      </c>
      <c r="G168" s="16" t="n">
        <f aca="false">($A168=Premissas!$C$25)*Premissas!$C$34*Premissas!$C$14*(1+Premissas!$C$57)^C168</f>
        <v>0</v>
      </c>
      <c r="H168" s="16" t="n">
        <f aca="false">IF(AND($A168&gt;Premissas!$C$25,$A168&lt;Premissas!$C$27),Premissas!$C$35/MAX(1,Premissas!$C$26),0)</f>
        <v>0</v>
      </c>
      <c r="I168" s="35" t="n">
        <f aca="false">IF(AND($A168&gt;Premissas!$C$25,((YEAR($A168)-YEAR(Premissas!$C$25))*12+MONTH($A168)-MONTH(Premissas!$C$25))&lt;=Premissas!$C$32),((YEAR($A168)-YEAR(Premissas!$C$25))*12+MONTH($A168)-MONTH(Premissas!$C$25)),0)</f>
        <v>0</v>
      </c>
      <c r="J168" s="16" t="n">
        <f aca="false">IF(I168&gt;0,N167*(1+Premissas!$C$59),0)</f>
        <v>0</v>
      </c>
      <c r="K168" s="16" t="n">
        <f aca="false">J168*Premissas!$C$58</f>
        <v>0</v>
      </c>
      <c r="L168" s="16" t="n">
        <f aca="false">IF(I168&gt;0,J168/(Premissas!$C$32-I168+1),0)</f>
        <v>0</v>
      </c>
      <c r="M168" s="16" t="n">
        <f aca="false">K168+L168</f>
        <v>0</v>
      </c>
      <c r="N168" s="16" t="n">
        <f aca="false">IF($A168=Premissas!$C$25,Premissas!$C$13*E168,IF(I168&gt;0,J168-L168,0))</f>
        <v>0</v>
      </c>
      <c r="O168" s="37" t="n">
        <f aca="false">IF($A168&gt;=Premissas!$C$27,Premissas!$C$39*IF(((YEAR($A168)-YEAR(Premissas!$C$27))*12+MONTH($A168)-MONTH(Premissas!$C$27))&lt;Premissas!$C$41,Premissas!$C$42,1),0)</f>
        <v>0.62</v>
      </c>
      <c r="P168" s="16" t="n">
        <f aca="false">O168*Premissas!$C$38*Premissas!$C$40*(1+Premissas!$C$60)^((YEAR($A168)-YEAR(Premissas!$C$19))*12+MONTH($A168)-MONTH(Premissas!$C$19))</f>
        <v>7288.03258497327</v>
      </c>
      <c r="Q168" s="16" t="n">
        <f aca="false">P168*Premissas!$C$43</f>
        <v>1166.08521359572</v>
      </c>
      <c r="R168" s="16" t="n">
        <f aca="false">P168*Premissas!$C$44</f>
        <v>1457.60651699465</v>
      </c>
      <c r="S168" s="16" t="n">
        <f aca="false">IF($A168&gt;=Premissas!$C$25,Premissas!$C$45*(1+Premissas!$C$60)^((YEAR($A168)-YEAR(Premissas!$C$19))*12+MONTH($A168)-MONTH(Premissas!$C$19)),0)</f>
        <v>1277.70557240064</v>
      </c>
      <c r="T168" s="16" t="n">
        <f aca="false">IF($A168&gt;=Premissas!$C$27,Premissas!$C$46*(1+Premissas!$C$60)^((YEAR($A168)-YEAR(Premissas!$C$19))*12+MONTH($A168)-MONTH(Premissas!$C$19)),0)</f>
        <v>511.082228960257</v>
      </c>
      <c r="U168" s="16" t="n">
        <f aca="false">IF($A168&gt;=Premissas!$C$27,Premissas!$C$47*(1+Premissas!$C$60)^((YEAR($A168)-YEAR(Premissas!$C$19))*12+MONTH($A168)-MONTH(Premissas!$C$19)),0)</f>
        <v>255.541114480129</v>
      </c>
      <c r="V168" s="16" t="n">
        <f aca="false">IF($A168&gt;=Premissas!$C$27,MAX(0,P168-Q168-R168-S168)*Premissas!$C$49,0)</f>
        <v>931.324702545119</v>
      </c>
      <c r="W168" s="16" t="n">
        <f aca="false">P168-Q168-R168-S168-T168-U168-V168</f>
        <v>1688.68723599674</v>
      </c>
      <c r="X168" s="16" t="n">
        <f aca="false">W168-F168-G168-H168-M168</f>
        <v>1688.68723599674</v>
      </c>
      <c r="Y168" s="16" t="n">
        <f aca="false">Y167+X168</f>
        <v>-704034.41986513</v>
      </c>
      <c r="Z168" s="16" t="n">
        <f aca="false">Premissas!$C$14*(1+Premissas!$C$57)^((YEAR(Premissas!$C$19)-YEAR(Premissas!$C$18))*12+MONTH(Premissas!$C$19)-MONTH(Premissas!$C$18))*(1+Premissas!$C$61)^((YEAR($A168)-YEAR(Premissas!$C$19))*12+MONTH($A168)-MONTH(Premissas!$C$19))</f>
        <v>927786.750441901</v>
      </c>
      <c r="AA168" s="16" t="n">
        <f aca="false">IF($A168&gt;=Premissas!$C$25,Z168*(1-Premissas!$C$53)-N168-Premissas!$C$54*MAX(0,Z168*(1-Premissas!$C$53)-(Premissas!$C$14*(1+Premissas!$C$57)^((YEAR(Premissas!$C$25)-YEAR(Premissas!$C$18))*12+MONTH(Premissas!$C$25)-MONTH(Premissas!$C$18))*(1+Premissas!$C$34))),"")</f>
        <v>822503.823114744</v>
      </c>
      <c r="AB168" s="16" t="n">
        <f aca="false">IF($A168&gt;=Premissas!$C$25,Y168+AA168,"")</f>
        <v>118469.403249613</v>
      </c>
      <c r="AC168" s="20" t="n">
        <f aca="false">IF(AND($A168&gt;=Premissas!$C$27,W168&gt;=M168),$A168,"")</f>
        <v>51349</v>
      </c>
      <c r="AD168" s="20" t="str">
        <f aca="false">IF(AND($A168&gt;=Premissas!$C$27,Y168&gt;=0),$A168,"")</f>
        <v/>
      </c>
      <c r="AE168" s="20" t="n">
        <f aca="false">IF(AND($A168&gt;=Premissas!$C$25,N(AB168)&gt;=0),$A168,"")</f>
        <v>51349</v>
      </c>
    </row>
    <row r="169" customFormat="false" ht="15" hidden="false" customHeight="false" outlineLevel="0" collapsed="false">
      <c r="A169" s="20" t="n">
        <f aca="false">DATE(YEAR(A168),MONTH(A168)+1,1)</f>
        <v>51380</v>
      </c>
      <c r="B169" s="5" t="str">
        <f aca="false">IF($A169&lt;Premissas!$C$25,"Obra",IF($A169=Premissas!$C$25,"Chaves",IF($A169&lt;Premissas!$C$27,"Mobiliando","Airbnb")))</f>
        <v>Airbnb</v>
      </c>
      <c r="C169" s="35" t="n">
        <f aca="false">(YEAR($A169)-YEAR(Premissas!$C$18))*12+MONTH($A169)-MONTH(Premissas!$C$18)</f>
        <v>168</v>
      </c>
      <c r="D169" s="16" t="n">
        <f aca="false">($A169=Premissas!$C$19)*Premissas!$C$8+(($A169=EDATE(Premissas!$C$19,1))+($A169=EDATE(Premissas!$C$19,2)))*Premissas!$C$9+AND($A169&gt;=Premissas!$C$20,$A169&lt;EDATE(Premissas!$C$20,Premissas!$C$21))*Premissas!$C$10+(($A169=Premissas!$C$22)+($A169=Premissas!$C$23)+($A169=Premissas!$C$24))*Premissas!$C$11+($A169=Premissas!$C$25)*Premissas!$C$12</f>
        <v>0</v>
      </c>
      <c r="E169" s="36" t="n">
        <f aca="false">(1+Premissas!$C$57)^C169</f>
        <v>2.11609146183692</v>
      </c>
      <c r="F169" s="16" t="n">
        <f aca="false">D169*E169</f>
        <v>0</v>
      </c>
      <c r="G169" s="16" t="n">
        <f aca="false">($A169=Premissas!$C$25)*Premissas!$C$34*Premissas!$C$14*(1+Premissas!$C$57)^C169</f>
        <v>0</v>
      </c>
      <c r="H169" s="16" t="n">
        <f aca="false">IF(AND($A169&gt;Premissas!$C$25,$A169&lt;Premissas!$C$27),Premissas!$C$35/MAX(1,Premissas!$C$26),0)</f>
        <v>0</v>
      </c>
      <c r="I169" s="35" t="n">
        <f aca="false">IF(AND($A169&gt;Premissas!$C$25,((YEAR($A169)-YEAR(Premissas!$C$25))*12+MONTH($A169)-MONTH(Premissas!$C$25))&lt;=Premissas!$C$32),((YEAR($A169)-YEAR(Premissas!$C$25))*12+MONTH($A169)-MONTH(Premissas!$C$25)),0)</f>
        <v>0</v>
      </c>
      <c r="J169" s="16" t="n">
        <f aca="false">IF(I169&gt;0,N168*(1+Premissas!$C$59),0)</f>
        <v>0</v>
      </c>
      <c r="K169" s="16" t="n">
        <f aca="false">J169*Premissas!$C$58</f>
        <v>0</v>
      </c>
      <c r="L169" s="16" t="n">
        <f aca="false">IF(I169&gt;0,J169/(Premissas!$C$32-I169+1),0)</f>
        <v>0</v>
      </c>
      <c r="M169" s="16" t="n">
        <f aca="false">K169+L169</f>
        <v>0</v>
      </c>
      <c r="N169" s="16" t="n">
        <f aca="false">IF($A169=Premissas!$C$25,Premissas!$C$13*E169,IF(I169&gt;0,J169-L169,0))</f>
        <v>0</v>
      </c>
      <c r="O169" s="37" t="n">
        <f aca="false">IF($A169&gt;=Premissas!$C$27,Premissas!$C$39*IF(((YEAR($A169)-YEAR(Premissas!$C$27))*12+MONTH($A169)-MONTH(Premissas!$C$27))&lt;Premissas!$C$41,Premissas!$C$42,1),0)</f>
        <v>0.62</v>
      </c>
      <c r="P169" s="16" t="n">
        <f aca="false">O169*Premissas!$C$38*Premissas!$C$40*(1+Premissas!$C$60)^((YEAR($A169)-YEAR(Premissas!$C$19))*12+MONTH($A169)-MONTH(Premissas!$C$19))</f>
        <v>7311.89170718066</v>
      </c>
      <c r="Q169" s="16" t="n">
        <f aca="false">P169*Premissas!$C$43</f>
        <v>1169.90267314891</v>
      </c>
      <c r="R169" s="16" t="n">
        <f aca="false">P169*Premissas!$C$44</f>
        <v>1462.37834143613</v>
      </c>
      <c r="S169" s="16" t="n">
        <f aca="false">IF($A169&gt;=Premissas!$C$25,Premissas!$C$45*(1+Premissas!$C$60)^((YEAR($A169)-YEAR(Premissas!$C$19))*12+MONTH($A169)-MONTH(Premissas!$C$19)),0)</f>
        <v>1281.88844796295</v>
      </c>
      <c r="T169" s="16" t="n">
        <f aca="false">IF($A169&gt;=Premissas!$C$27,Premissas!$C$46*(1+Premissas!$C$60)^((YEAR($A169)-YEAR(Premissas!$C$19))*12+MONTH($A169)-MONTH(Premissas!$C$19)),0)</f>
        <v>512.75537918518</v>
      </c>
      <c r="U169" s="16" t="n">
        <f aca="false">IF($A169&gt;=Premissas!$C$27,Premissas!$C$47*(1+Premissas!$C$60)^((YEAR($A169)-YEAR(Premissas!$C$19))*12+MONTH($A169)-MONTH(Premissas!$C$19)),0)</f>
        <v>256.37768959259</v>
      </c>
      <c r="V169" s="16" t="n">
        <f aca="false">IF($A169&gt;=Premissas!$C$27,MAX(0,P169-Q169-R169-S169)*Premissas!$C$49,0)</f>
        <v>934.373617273985</v>
      </c>
      <c r="W169" s="16" t="n">
        <f aca="false">P169-Q169-R169-S169-T169-U169-V169</f>
        <v>1694.21555858092</v>
      </c>
      <c r="X169" s="16" t="n">
        <f aca="false">W169-F169-G169-H169-M169</f>
        <v>1694.21555858092</v>
      </c>
      <c r="Y169" s="16" t="n">
        <f aca="false">Y168+X169</f>
        <v>-702340.204306549</v>
      </c>
      <c r="Z169" s="16" t="n">
        <f aca="false">Premissas!$C$14*(1+Premissas!$C$57)^((YEAR(Premissas!$C$19)-YEAR(Premissas!$C$18))*12+MONTH(Premissas!$C$19)-MONTH(Premissas!$C$18))*(1+Premissas!$C$61)^((YEAR($A169)-YEAR(Premissas!$C$19))*12+MONTH($A169)-MONTH(Premissas!$C$19))</f>
        <v>931566.66850803</v>
      </c>
      <c r="AA169" s="16" t="n">
        <f aca="false">IF($A169&gt;=Premissas!$C$25,Z169*(1-Premissas!$C$53)-N169-Premissas!$C$54*MAX(0,Z169*(1-Premissas!$C$53)-(Premissas!$C$14*(1+Premissas!$C$57)^((YEAR(Premissas!$C$25)-YEAR(Premissas!$C$18))*12+MONTH(Premissas!$C$25)-MONTH(Premissas!$C$18))*(1+Premissas!$C$34))),"")</f>
        <v>825523.977649581</v>
      </c>
      <c r="AB169" s="16" t="n">
        <f aca="false">IF($A169&gt;=Premissas!$C$25,Y169+AA169,"")</f>
        <v>123183.773343031</v>
      </c>
      <c r="AC169" s="20" t="n">
        <f aca="false">IF(AND($A169&gt;=Premissas!$C$27,W169&gt;=M169),$A169,"")</f>
        <v>51380</v>
      </c>
      <c r="AD169" s="20" t="str">
        <f aca="false">IF(AND($A169&gt;=Premissas!$C$27,Y169&gt;=0),$A169,"")</f>
        <v/>
      </c>
      <c r="AE169" s="20" t="n">
        <f aca="false">IF(AND($A169&gt;=Premissas!$C$25,N(AB169)&gt;=0),$A169,"")</f>
        <v>51380</v>
      </c>
    </row>
    <row r="170" customFormat="false" ht="15" hidden="false" customHeight="false" outlineLevel="0" collapsed="false">
      <c r="A170" s="20" t="n">
        <f aca="false">DATE(YEAR(A169),MONTH(A169)+1,1)</f>
        <v>51410</v>
      </c>
      <c r="B170" s="5" t="str">
        <f aca="false">IF($A170&lt;Premissas!$C$25,"Obra",IF($A170=Premissas!$C$25,"Chaves",IF($A170&lt;Premissas!$C$27,"Mobiliando","Airbnb")))</f>
        <v>Airbnb</v>
      </c>
      <c r="C170" s="35" t="n">
        <f aca="false">(YEAR($A170)-YEAR(Premissas!$C$18))*12+MONTH($A170)-MONTH(Premissas!$C$18)</f>
        <v>169</v>
      </c>
      <c r="D170" s="16" t="n">
        <f aca="false">($A170=Premissas!$C$19)*Premissas!$C$8+(($A170=EDATE(Premissas!$C$19,1))+($A170=EDATE(Premissas!$C$19,2)))*Premissas!$C$9+AND($A170&gt;=Premissas!$C$20,$A170&lt;EDATE(Premissas!$C$20,Premissas!$C$21))*Premissas!$C$10+(($A170=Premissas!$C$22)+($A170=Premissas!$C$23)+($A170=Premissas!$C$24))*Premissas!$C$11+($A170=Premissas!$C$25)*Premissas!$C$12</f>
        <v>0</v>
      </c>
      <c r="E170" s="36" t="n">
        <f aca="false">(1+Premissas!$C$57)^C170</f>
        <v>2.12555398573518</v>
      </c>
      <c r="F170" s="16" t="n">
        <f aca="false">D170*E170</f>
        <v>0</v>
      </c>
      <c r="G170" s="16" t="n">
        <f aca="false">($A170=Premissas!$C$25)*Premissas!$C$34*Premissas!$C$14*(1+Premissas!$C$57)^C170</f>
        <v>0</v>
      </c>
      <c r="H170" s="16" t="n">
        <f aca="false">IF(AND($A170&gt;Premissas!$C$25,$A170&lt;Premissas!$C$27),Premissas!$C$35/MAX(1,Premissas!$C$26),0)</f>
        <v>0</v>
      </c>
      <c r="I170" s="35" t="n">
        <f aca="false">IF(AND($A170&gt;Premissas!$C$25,((YEAR($A170)-YEAR(Premissas!$C$25))*12+MONTH($A170)-MONTH(Premissas!$C$25))&lt;=Premissas!$C$32),((YEAR($A170)-YEAR(Premissas!$C$25))*12+MONTH($A170)-MONTH(Premissas!$C$25)),0)</f>
        <v>0</v>
      </c>
      <c r="J170" s="16" t="n">
        <f aca="false">IF(I170&gt;0,N169*(1+Premissas!$C$59),0)</f>
        <v>0</v>
      </c>
      <c r="K170" s="16" t="n">
        <f aca="false">J170*Premissas!$C$58</f>
        <v>0</v>
      </c>
      <c r="L170" s="16" t="n">
        <f aca="false">IF(I170&gt;0,J170/(Premissas!$C$32-I170+1),0)</f>
        <v>0</v>
      </c>
      <c r="M170" s="16" t="n">
        <f aca="false">K170+L170</f>
        <v>0</v>
      </c>
      <c r="N170" s="16" t="n">
        <f aca="false">IF($A170=Premissas!$C$25,Premissas!$C$13*E170,IF(I170&gt;0,J170-L170,0))</f>
        <v>0</v>
      </c>
      <c r="O170" s="37" t="n">
        <f aca="false">IF($A170&gt;=Premissas!$C$27,Premissas!$C$39*IF(((YEAR($A170)-YEAR(Premissas!$C$27))*12+MONTH($A170)-MONTH(Premissas!$C$27))&lt;Premissas!$C$41,Premissas!$C$42,1),0)</f>
        <v>0.62</v>
      </c>
      <c r="P170" s="16" t="n">
        <f aca="false">O170*Premissas!$C$38*Premissas!$C$40*(1+Premissas!$C$60)^((YEAR($A170)-YEAR(Premissas!$C$19))*12+MONTH($A170)-MONTH(Premissas!$C$19))</f>
        <v>7335.82893794559</v>
      </c>
      <c r="Q170" s="16" t="n">
        <f aca="false">P170*Premissas!$C$43</f>
        <v>1173.73263007129</v>
      </c>
      <c r="R170" s="16" t="n">
        <f aca="false">P170*Premissas!$C$44</f>
        <v>1467.16578758912</v>
      </c>
      <c r="S170" s="16" t="n">
        <f aca="false">IF($A170&gt;=Premissas!$C$25,Premissas!$C$45*(1+Premissas!$C$60)^((YEAR($A170)-YEAR(Premissas!$C$19))*12+MONTH($A170)-MONTH(Premissas!$C$19)),0)</f>
        <v>1286.08501717139</v>
      </c>
      <c r="T170" s="16" t="n">
        <f aca="false">IF($A170&gt;=Premissas!$C$27,Premissas!$C$46*(1+Premissas!$C$60)^((YEAR($A170)-YEAR(Premissas!$C$19))*12+MONTH($A170)-MONTH(Premissas!$C$19)),0)</f>
        <v>514.434006868555</v>
      </c>
      <c r="U170" s="16" t="n">
        <f aca="false">IF($A170&gt;=Premissas!$C$27,Premissas!$C$47*(1+Premissas!$C$60)^((YEAR($A170)-YEAR(Premissas!$C$19))*12+MONTH($A170)-MONTH(Premissas!$C$19)),0)</f>
        <v>257.217003434277</v>
      </c>
      <c r="V170" s="16" t="n">
        <f aca="false">IF($A170&gt;=Premissas!$C$27,MAX(0,P170-Q170-R170-S170)*Premissas!$C$49,0)</f>
        <v>937.432513356292</v>
      </c>
      <c r="W170" s="16" t="n">
        <f aca="false">P170-Q170-R170-S170-T170-U170-V170</f>
        <v>1699.76197945467</v>
      </c>
      <c r="X170" s="16" t="n">
        <f aca="false">W170-F170-G170-H170-M170</f>
        <v>1699.76197945467</v>
      </c>
      <c r="Y170" s="16" t="n">
        <f aca="false">Y169+X170</f>
        <v>-700640.442327095</v>
      </c>
      <c r="Z170" s="16" t="n">
        <f aca="false">Premissas!$C$14*(1+Premissas!$C$57)^((YEAR(Premissas!$C$19)-YEAR(Premissas!$C$18))*12+MONTH(Premissas!$C$19)-MONTH(Premissas!$C$18))*(1+Premissas!$C$61)^((YEAR($A170)-YEAR(Premissas!$C$19))*12+MONTH($A170)-MONTH(Premissas!$C$19))</f>
        <v>935361.986428252</v>
      </c>
      <c r="AA170" s="16" t="n">
        <f aca="false">IF($A170&gt;=Premissas!$C$25,Z170*(1-Premissas!$C$53)-N170-Premissas!$C$54*MAX(0,Z170*(1-Premissas!$C$53)-(Premissas!$C$14*(1+Premissas!$C$57)^((YEAR(Premissas!$C$25)-YEAR(Premissas!$C$18))*12+MONTH(Premissas!$C$25)-MONTH(Premissas!$C$18))*(1+Premissas!$C$34))),"")</f>
        <v>828556.436667839</v>
      </c>
      <c r="AB170" s="16" t="n">
        <f aca="false">IF($A170&gt;=Premissas!$C$25,Y170+AA170,"")</f>
        <v>127915.994340744</v>
      </c>
      <c r="AC170" s="20" t="n">
        <f aca="false">IF(AND($A170&gt;=Premissas!$C$27,W170&gt;=M170),$A170,"")</f>
        <v>51410</v>
      </c>
      <c r="AD170" s="20" t="str">
        <f aca="false">IF(AND($A170&gt;=Premissas!$C$27,Y170&gt;=0),$A170,"")</f>
        <v/>
      </c>
      <c r="AE170" s="20" t="n">
        <f aca="false">IF(AND($A170&gt;=Premissas!$C$25,N(AB170)&gt;=0),$A170,"")</f>
        <v>51410</v>
      </c>
    </row>
    <row r="171" customFormat="false" ht="15" hidden="false" customHeight="false" outlineLevel="0" collapsed="false">
      <c r="A171" s="20" t="n">
        <f aca="false">DATE(YEAR(A170),MONTH(A170)+1,1)</f>
        <v>51441</v>
      </c>
      <c r="B171" s="5" t="str">
        <f aca="false">IF($A171&lt;Premissas!$C$25,"Obra",IF($A171=Premissas!$C$25,"Chaves",IF($A171&lt;Premissas!$C$27,"Mobiliando","Airbnb")))</f>
        <v>Airbnb</v>
      </c>
      <c r="C171" s="35" t="n">
        <f aca="false">(YEAR($A171)-YEAR(Premissas!$C$18))*12+MONTH($A171)-MONTH(Premissas!$C$18)</f>
        <v>170</v>
      </c>
      <c r="D171" s="16" t="n">
        <f aca="false">($A171=Premissas!$C$19)*Premissas!$C$8+(($A171=EDATE(Premissas!$C$19,1))+($A171=EDATE(Premissas!$C$19,2)))*Premissas!$C$9+AND($A171&gt;=Premissas!$C$20,$A171&lt;EDATE(Premissas!$C$20,Premissas!$C$21))*Premissas!$C$10+(($A171=Premissas!$C$22)+($A171=Premissas!$C$23)+($A171=Premissas!$C$24))*Premissas!$C$11+($A171=Premissas!$C$25)*Premissas!$C$12</f>
        <v>0</v>
      </c>
      <c r="E171" s="36" t="n">
        <f aca="false">(1+Premissas!$C$57)^C171</f>
        <v>2.13505882319131</v>
      </c>
      <c r="F171" s="16" t="n">
        <f aca="false">D171*E171</f>
        <v>0</v>
      </c>
      <c r="G171" s="16" t="n">
        <f aca="false">($A171=Premissas!$C$25)*Premissas!$C$34*Premissas!$C$14*(1+Premissas!$C$57)^C171</f>
        <v>0</v>
      </c>
      <c r="H171" s="16" t="n">
        <f aca="false">IF(AND($A171&gt;Premissas!$C$25,$A171&lt;Premissas!$C$27),Premissas!$C$35/MAX(1,Premissas!$C$26),0)</f>
        <v>0</v>
      </c>
      <c r="I171" s="35" t="n">
        <f aca="false">IF(AND($A171&gt;Premissas!$C$25,((YEAR($A171)-YEAR(Premissas!$C$25))*12+MONTH($A171)-MONTH(Premissas!$C$25))&lt;=Premissas!$C$32),((YEAR($A171)-YEAR(Premissas!$C$25))*12+MONTH($A171)-MONTH(Premissas!$C$25)),0)</f>
        <v>0</v>
      </c>
      <c r="J171" s="16" t="n">
        <f aca="false">IF(I171&gt;0,N170*(1+Premissas!$C$59),0)</f>
        <v>0</v>
      </c>
      <c r="K171" s="16" t="n">
        <f aca="false">J171*Premissas!$C$58</f>
        <v>0</v>
      </c>
      <c r="L171" s="16" t="n">
        <f aca="false">IF(I171&gt;0,J171/(Premissas!$C$32-I171+1),0)</f>
        <v>0</v>
      </c>
      <c r="M171" s="16" t="n">
        <f aca="false">K171+L171</f>
        <v>0</v>
      </c>
      <c r="N171" s="16" t="n">
        <f aca="false">IF($A171=Premissas!$C$25,Premissas!$C$13*E171,IF(I171&gt;0,J171-L171,0))</f>
        <v>0</v>
      </c>
      <c r="O171" s="37" t="n">
        <f aca="false">IF($A171&gt;=Premissas!$C$27,Premissas!$C$39*IF(((YEAR($A171)-YEAR(Premissas!$C$27))*12+MONTH($A171)-MONTH(Premissas!$C$27))&lt;Premissas!$C$41,Premissas!$C$42,1),0)</f>
        <v>0.62</v>
      </c>
      <c r="P171" s="16" t="n">
        <f aca="false">O171*Premissas!$C$38*Premissas!$C$40*(1+Premissas!$C$60)^((YEAR($A171)-YEAR(Premissas!$C$19))*12+MONTH($A171)-MONTH(Premissas!$C$19))</f>
        <v>7359.84453297515</v>
      </c>
      <c r="Q171" s="16" t="n">
        <f aca="false">P171*Premissas!$C$43</f>
        <v>1177.57512527602</v>
      </c>
      <c r="R171" s="16" t="n">
        <f aca="false">P171*Premissas!$C$44</f>
        <v>1471.96890659503</v>
      </c>
      <c r="S171" s="16" t="n">
        <f aca="false">IF($A171&gt;=Premissas!$C$25,Premissas!$C$45*(1+Premissas!$C$60)^((YEAR($A171)-YEAR(Premissas!$C$19))*12+MONTH($A171)-MONTH(Premissas!$C$19)),0)</f>
        <v>1290.29532485539</v>
      </c>
      <c r="T171" s="16" t="n">
        <f aca="false">IF($A171&gt;=Premissas!$C$27,Premissas!$C$46*(1+Premissas!$C$60)^((YEAR($A171)-YEAR(Premissas!$C$19))*12+MONTH($A171)-MONTH(Premissas!$C$19)),0)</f>
        <v>516.118129942156</v>
      </c>
      <c r="U171" s="16" t="n">
        <f aca="false">IF($A171&gt;=Premissas!$C$27,Premissas!$C$47*(1+Premissas!$C$60)^((YEAR($A171)-YEAR(Premissas!$C$19))*12+MONTH($A171)-MONTH(Premissas!$C$19)),0)</f>
        <v>258.059064971078</v>
      </c>
      <c r="V171" s="16" t="n">
        <f aca="false">IF($A171&gt;=Premissas!$C$27,MAX(0,P171-Q171-R171-S171)*Premissas!$C$49,0)</f>
        <v>940.501423468393</v>
      </c>
      <c r="W171" s="16" t="n">
        <f aca="false">P171-Q171-R171-S171-T171-U171-V171</f>
        <v>1705.32655786708</v>
      </c>
      <c r="X171" s="16" t="n">
        <f aca="false">W171-F171-G171-H171-M171</f>
        <v>1705.32655786708</v>
      </c>
      <c r="Y171" s="16" t="n">
        <f aca="false">Y170+X171</f>
        <v>-698935.115769228</v>
      </c>
      <c r="Z171" s="16" t="n">
        <f aca="false">Premissas!$C$14*(1+Premissas!$C$57)^((YEAR(Premissas!$C$19)-YEAR(Premissas!$C$18))*12+MONTH(Premissas!$C$19)-MONTH(Premissas!$C$18))*(1+Premissas!$C$61)^((YEAR($A171)-YEAR(Premissas!$C$19))*12+MONTH($A171)-MONTH(Premissas!$C$19))</f>
        <v>939172.76694348</v>
      </c>
      <c r="AA171" s="16" t="n">
        <f aca="false">IF($A171&gt;=Premissas!$C$25,Z171*(1-Premissas!$C$53)-N171-Premissas!$C$54*MAX(0,Z171*(1-Premissas!$C$53)-(Premissas!$C$14*(1+Premissas!$C$57)^((YEAR(Premissas!$C$25)-YEAR(Premissas!$C$18))*12+MONTH(Premissas!$C$25)-MONTH(Premissas!$C$18))*(1+Premissas!$C$34))),"")</f>
        <v>831601.250299506</v>
      </c>
      <c r="AB171" s="16" t="n">
        <f aca="false">IF($A171&gt;=Premissas!$C$25,Y171+AA171,"")</f>
        <v>132666.134530278</v>
      </c>
      <c r="AC171" s="20" t="n">
        <f aca="false">IF(AND($A171&gt;=Premissas!$C$27,W171&gt;=M171),$A171,"")</f>
        <v>51441</v>
      </c>
      <c r="AD171" s="20" t="str">
        <f aca="false">IF(AND($A171&gt;=Premissas!$C$27,Y171&gt;=0),$A171,"")</f>
        <v/>
      </c>
      <c r="AE171" s="20" t="n">
        <f aca="false">IF(AND($A171&gt;=Premissas!$C$25,N(AB171)&gt;=0),$A171,"")</f>
        <v>51441</v>
      </c>
    </row>
    <row r="172" customFormat="false" ht="15" hidden="false" customHeight="false" outlineLevel="0" collapsed="false">
      <c r="A172" s="20" t="n">
        <f aca="false">DATE(YEAR(A171),MONTH(A171)+1,1)</f>
        <v>51471</v>
      </c>
      <c r="B172" s="5" t="str">
        <f aca="false">IF($A172&lt;Premissas!$C$25,"Obra",IF($A172=Premissas!$C$25,"Chaves",IF($A172&lt;Premissas!$C$27,"Mobiliando","Airbnb")))</f>
        <v>Airbnb</v>
      </c>
      <c r="C172" s="35" t="n">
        <f aca="false">(YEAR($A172)-YEAR(Premissas!$C$18))*12+MONTH($A172)-MONTH(Premissas!$C$18)</f>
        <v>171</v>
      </c>
      <c r="D172" s="16" t="n">
        <f aca="false">($A172=Premissas!$C$19)*Premissas!$C$8+(($A172=EDATE(Premissas!$C$19,1))+($A172=EDATE(Premissas!$C$19,2)))*Premissas!$C$9+AND($A172&gt;=Premissas!$C$20,$A172&lt;EDATE(Premissas!$C$20,Premissas!$C$21))*Premissas!$C$10+(($A172=Premissas!$C$22)+($A172=Premissas!$C$23)+($A172=Premissas!$C$24))*Premissas!$C$11+($A172=Premissas!$C$25)*Premissas!$C$12</f>
        <v>0</v>
      </c>
      <c r="E172" s="36" t="n">
        <f aca="false">(1+Premissas!$C$57)^C172</f>
        <v>2.1446061634188</v>
      </c>
      <c r="F172" s="16" t="n">
        <f aca="false">D172*E172</f>
        <v>0</v>
      </c>
      <c r="G172" s="16" t="n">
        <f aca="false">($A172=Premissas!$C$25)*Premissas!$C$34*Premissas!$C$14*(1+Premissas!$C$57)^C172</f>
        <v>0</v>
      </c>
      <c r="H172" s="16" t="n">
        <f aca="false">IF(AND($A172&gt;Premissas!$C$25,$A172&lt;Premissas!$C$27),Premissas!$C$35/MAX(1,Premissas!$C$26),0)</f>
        <v>0</v>
      </c>
      <c r="I172" s="35" t="n">
        <f aca="false">IF(AND($A172&gt;Premissas!$C$25,((YEAR($A172)-YEAR(Premissas!$C$25))*12+MONTH($A172)-MONTH(Premissas!$C$25))&lt;=Premissas!$C$32),((YEAR($A172)-YEAR(Premissas!$C$25))*12+MONTH($A172)-MONTH(Premissas!$C$25)),0)</f>
        <v>0</v>
      </c>
      <c r="J172" s="16" t="n">
        <f aca="false">IF(I172&gt;0,N171*(1+Premissas!$C$59),0)</f>
        <v>0</v>
      </c>
      <c r="K172" s="16" t="n">
        <f aca="false">J172*Premissas!$C$58</f>
        <v>0</v>
      </c>
      <c r="L172" s="16" t="n">
        <f aca="false">IF(I172&gt;0,J172/(Premissas!$C$32-I172+1),0)</f>
        <v>0</v>
      </c>
      <c r="M172" s="16" t="n">
        <f aca="false">K172+L172</f>
        <v>0</v>
      </c>
      <c r="N172" s="16" t="n">
        <f aca="false">IF($A172=Premissas!$C$25,Premissas!$C$13*E172,IF(I172&gt;0,J172-L172,0))</f>
        <v>0</v>
      </c>
      <c r="O172" s="37" t="n">
        <f aca="false">IF($A172&gt;=Premissas!$C$27,Premissas!$C$39*IF(((YEAR($A172)-YEAR(Premissas!$C$27))*12+MONTH($A172)-MONTH(Premissas!$C$27))&lt;Premissas!$C$41,Premissas!$C$42,1),0)</f>
        <v>0.62</v>
      </c>
      <c r="P172" s="16" t="n">
        <f aca="false">O172*Premissas!$C$38*Premissas!$C$40*(1+Premissas!$C$60)^((YEAR($A172)-YEAR(Premissas!$C$19))*12+MONTH($A172)-MONTH(Premissas!$C$19))</f>
        <v>7383.93874881355</v>
      </c>
      <c r="Q172" s="16" t="n">
        <f aca="false">P172*Premissas!$C$43</f>
        <v>1181.43019981017</v>
      </c>
      <c r="R172" s="16" t="n">
        <f aca="false">P172*Premissas!$C$44</f>
        <v>1476.78774976271</v>
      </c>
      <c r="S172" s="16" t="n">
        <f aca="false">IF($A172&gt;=Premissas!$C$25,Premissas!$C$45*(1+Premissas!$C$60)^((YEAR($A172)-YEAR(Premissas!$C$19))*12+MONTH($A172)-MONTH(Premissas!$C$19)),0)</f>
        <v>1294.51941599115</v>
      </c>
      <c r="T172" s="16" t="n">
        <f aca="false">IF($A172&gt;=Premissas!$C$27,Premissas!$C$46*(1+Premissas!$C$60)^((YEAR($A172)-YEAR(Premissas!$C$19))*12+MONTH($A172)-MONTH(Premissas!$C$19)),0)</f>
        <v>517.807766396462</v>
      </c>
      <c r="U172" s="16" t="n">
        <f aca="false">IF($A172&gt;=Premissas!$C$27,Premissas!$C$47*(1+Premissas!$C$60)^((YEAR($A172)-YEAR(Premissas!$C$19))*12+MONTH($A172)-MONTH(Premissas!$C$19)),0)</f>
        <v>258.903883198231</v>
      </c>
      <c r="V172" s="16" t="n">
        <f aca="false">IF($A172&gt;=Premissas!$C$27,MAX(0,P172-Q172-R172-S172)*Premissas!$C$49,0)</f>
        <v>943.580380393617</v>
      </c>
      <c r="W172" s="16" t="n">
        <f aca="false">P172-Q172-R172-S172-T172-U172-V172</f>
        <v>1710.90935326121</v>
      </c>
      <c r="X172" s="16" t="n">
        <f aca="false">W172-F172-G172-H172-M172</f>
        <v>1710.90935326121</v>
      </c>
      <c r="Y172" s="16" t="n">
        <f aca="false">Y171+X172</f>
        <v>-697224.206415966</v>
      </c>
      <c r="Z172" s="16" t="n">
        <f aca="false">Premissas!$C$14*(1+Premissas!$C$57)^((YEAR(Premissas!$C$19)-YEAR(Premissas!$C$18))*12+MONTH(Premissas!$C$19)-MONTH(Premissas!$C$18))*(1+Premissas!$C$61)^((YEAR($A172)-YEAR(Premissas!$C$19))*12+MONTH($A172)-MONTH(Premissas!$C$19))</f>
        <v>942999.07305024</v>
      </c>
      <c r="AA172" s="16" t="n">
        <f aca="false">IF($A172&gt;=Premissas!$C$25,Z172*(1-Premissas!$C$53)-N172-Premissas!$C$54*MAX(0,Z172*(1-Premissas!$C$53)-(Premissas!$C$14*(1+Premissas!$C$57)^((YEAR(Premissas!$C$25)-YEAR(Premissas!$C$18))*12+MONTH(Premissas!$C$25)-MONTH(Premissas!$C$18))*(1+Premissas!$C$34))),"")</f>
        <v>834658.468878807</v>
      </c>
      <c r="AB172" s="16" t="n">
        <f aca="false">IF($A172&gt;=Premissas!$C$25,Y172+AA172,"")</f>
        <v>137434.26246284</v>
      </c>
      <c r="AC172" s="20" t="n">
        <f aca="false">IF(AND($A172&gt;=Premissas!$C$27,W172&gt;=M172),$A172,"")</f>
        <v>51471</v>
      </c>
      <c r="AD172" s="20" t="str">
        <f aca="false">IF(AND($A172&gt;=Premissas!$C$27,Y172&gt;=0),$A172,"")</f>
        <v/>
      </c>
      <c r="AE172" s="20" t="n">
        <f aca="false">IF(AND($A172&gt;=Premissas!$C$25,N(AB172)&gt;=0),$A172,"")</f>
        <v>51471</v>
      </c>
    </row>
    <row r="173" customFormat="false" ht="15" hidden="false" customHeight="false" outlineLevel="0" collapsed="false">
      <c r="A173" s="29" t="n">
        <f aca="false">DATE(YEAR(A172),MONTH(A172)+1,1)</f>
        <v>51502</v>
      </c>
      <c r="B173" s="30" t="str">
        <f aca="false">IF($A173&lt;Premissas!$C$25,"Obra",IF($A173=Premissas!$C$25,"Chaves",IF($A173&lt;Premissas!$C$27,"Mobiliando","Airbnb")))</f>
        <v>Airbnb</v>
      </c>
      <c r="C173" s="31" t="n">
        <f aca="false">(YEAR($A173)-YEAR(Premissas!$C$18))*12+MONTH($A173)-MONTH(Premissas!$C$18)</f>
        <v>172</v>
      </c>
      <c r="D173" s="32" t="n">
        <f aca="false">($A173=Premissas!$C$19)*Premissas!$C$8+(($A173=EDATE(Premissas!$C$19,1))+($A173=EDATE(Premissas!$C$19,2)))*Premissas!$C$9+AND($A173&gt;=Premissas!$C$20,$A173&lt;EDATE(Premissas!$C$20,Premissas!$C$21))*Premissas!$C$10+(($A173=Premissas!$C$22)+($A173=Premissas!$C$23)+($A173=Premissas!$C$24))*Premissas!$C$11+($A173=Premissas!$C$25)*Premissas!$C$12</f>
        <v>0</v>
      </c>
      <c r="E173" s="33" t="n">
        <f aca="false">(1+Premissas!$C$57)^C173</f>
        <v>2.15419619647724</v>
      </c>
      <c r="F173" s="32" t="n">
        <f aca="false">D173*E173</f>
        <v>0</v>
      </c>
      <c r="G173" s="32" t="n">
        <f aca="false">($A173=Premissas!$C$25)*Premissas!$C$34*Premissas!$C$14*(1+Premissas!$C$57)^C173</f>
        <v>0</v>
      </c>
      <c r="H173" s="32" t="n">
        <f aca="false">IF(AND($A173&gt;Premissas!$C$25,$A173&lt;Premissas!$C$27),Premissas!$C$35/MAX(1,Premissas!$C$26),0)</f>
        <v>0</v>
      </c>
      <c r="I173" s="31" t="n">
        <f aca="false">IF(AND($A173&gt;Premissas!$C$25,((YEAR($A173)-YEAR(Premissas!$C$25))*12+MONTH($A173)-MONTH(Premissas!$C$25))&lt;=Premissas!$C$32),((YEAR($A173)-YEAR(Premissas!$C$25))*12+MONTH($A173)-MONTH(Premissas!$C$25)),0)</f>
        <v>0</v>
      </c>
      <c r="J173" s="32" t="n">
        <f aca="false">IF(I173&gt;0,N172*(1+Premissas!$C$59),0)</f>
        <v>0</v>
      </c>
      <c r="K173" s="32" t="n">
        <f aca="false">J173*Premissas!$C$58</f>
        <v>0</v>
      </c>
      <c r="L173" s="32" t="n">
        <f aca="false">IF(I173&gt;0,J173/(Premissas!$C$32-I173+1),0)</f>
        <v>0</v>
      </c>
      <c r="M173" s="32" t="n">
        <f aca="false">K173+L173</f>
        <v>0</v>
      </c>
      <c r="N173" s="32" t="n">
        <f aca="false">IF($A173=Premissas!$C$25,Premissas!$C$13*E173,IF(I173&gt;0,J173-L173,0))</f>
        <v>0</v>
      </c>
      <c r="O173" s="34" t="n">
        <f aca="false">IF($A173&gt;=Premissas!$C$27,Premissas!$C$39*IF(((YEAR($A173)-YEAR(Premissas!$C$27))*12+MONTH($A173)-MONTH(Premissas!$C$27))&lt;Premissas!$C$41,Premissas!$C$42,1),0)</f>
        <v>0.62</v>
      </c>
      <c r="P173" s="32" t="n">
        <f aca="false">O173*Premissas!$C$38*Premissas!$C$40*(1+Premissas!$C$60)^((YEAR($A173)-YEAR(Premissas!$C$19))*12+MONTH($A173)-MONTH(Premissas!$C$19))</f>
        <v>7408.11184284486</v>
      </c>
      <c r="Q173" s="32" t="n">
        <f aca="false">P173*Premissas!$C$43</f>
        <v>1185.29789485518</v>
      </c>
      <c r="R173" s="32" t="n">
        <f aca="false">P173*Premissas!$C$44</f>
        <v>1481.62236856897</v>
      </c>
      <c r="S173" s="32" t="n">
        <f aca="false">IF($A173&gt;=Premissas!$C$25,Premissas!$C$45*(1+Premissas!$C$60)^((YEAR($A173)-YEAR(Premissas!$C$19))*12+MONTH($A173)-MONTH(Premissas!$C$19)),0)</f>
        <v>1298.75733570211</v>
      </c>
      <c r="T173" s="32" t="n">
        <f aca="false">IF($A173&gt;=Premissas!$C$27,Premissas!$C$46*(1+Premissas!$C$60)^((YEAR($A173)-YEAR(Premissas!$C$19))*12+MONTH($A173)-MONTH(Premissas!$C$19)),0)</f>
        <v>519.502934280846</v>
      </c>
      <c r="U173" s="32" t="n">
        <f aca="false">IF($A173&gt;=Premissas!$C$27,Premissas!$C$47*(1+Premissas!$C$60)^((YEAR($A173)-YEAR(Premissas!$C$19))*12+MONTH($A173)-MONTH(Premissas!$C$19)),0)</f>
        <v>259.751467140423</v>
      </c>
      <c r="V173" s="32" t="n">
        <f aca="false">IF($A173&gt;=Premissas!$C$27,MAX(0,P173-Q173-R173-S173)*Premissas!$C$49,0)</f>
        <v>946.669417022614</v>
      </c>
      <c r="W173" s="32" t="n">
        <f aca="false">P173-Q173-R173-S173-T173-U173-V173</f>
        <v>1716.51042527471</v>
      </c>
      <c r="X173" s="32" t="n">
        <f aca="false">W173-F173-G173-H173-M173</f>
        <v>1716.51042527471</v>
      </c>
      <c r="Y173" s="32" t="n">
        <f aca="false">Y172+X173</f>
        <v>-695507.695990692</v>
      </c>
      <c r="Z173" s="32" t="n">
        <f aca="false">Premissas!$C$14*(1+Premissas!$C$57)^((YEAR(Premissas!$C$19)-YEAR(Premissas!$C$18))*12+MONTH(Premissas!$C$19)-MONTH(Premissas!$C$18))*(1+Premissas!$C$61)^((YEAR($A173)-YEAR(Premissas!$C$19))*12+MONTH($A173)-MONTH(Premissas!$C$19))</f>
        <v>946840.968001712</v>
      </c>
      <c r="AA173" s="32" t="n">
        <f aca="false">IF($A173&gt;=Premissas!$C$25,Z173*(1-Premissas!$C$53)-N173-Premissas!$C$54*MAX(0,Z173*(1-Premissas!$C$53)-(Premissas!$C$14*(1+Premissas!$C$57)^((YEAR(Premissas!$C$25)-YEAR(Premissas!$C$18))*12+MONTH(Premissas!$C$25)-MONTH(Premissas!$C$18))*(1+Premissas!$C$34))),"")</f>
        <v>837728.142945033</v>
      </c>
      <c r="AB173" s="32" t="n">
        <f aca="false">IF($A173&gt;=Premissas!$C$25,Y173+AA173,"")</f>
        <v>142220.446954341</v>
      </c>
      <c r="AC173" s="29" t="n">
        <f aca="false">IF(AND($A173&gt;=Premissas!$C$27,W173&gt;=M173),$A173,"")</f>
        <v>51502</v>
      </c>
      <c r="AD173" s="29" t="str">
        <f aca="false">IF(AND($A173&gt;=Premissas!$C$27,Y173&gt;=0),$A173,"")</f>
        <v/>
      </c>
      <c r="AE173" s="29" t="n">
        <f aca="false">IF(AND($A173&gt;=Premissas!$C$25,N(AB173)&gt;=0),$A173,"")</f>
        <v>51502</v>
      </c>
    </row>
    <row r="174" customFormat="false" ht="15" hidden="false" customHeight="false" outlineLevel="0" collapsed="false">
      <c r="A174" s="20" t="n">
        <f aca="false">DATE(YEAR(A173),MONTH(A173)+1,1)</f>
        <v>51533</v>
      </c>
      <c r="B174" s="5" t="str">
        <f aca="false">IF($A174&lt;Premissas!$C$25,"Obra",IF($A174=Premissas!$C$25,"Chaves",IF($A174&lt;Premissas!$C$27,"Mobiliando","Airbnb")))</f>
        <v>Airbnb</v>
      </c>
      <c r="C174" s="35" t="n">
        <f aca="false">(YEAR($A174)-YEAR(Premissas!$C$18))*12+MONTH($A174)-MONTH(Premissas!$C$18)</f>
        <v>173</v>
      </c>
      <c r="D174" s="16" t="n">
        <f aca="false">($A174=Premissas!$C$19)*Premissas!$C$8+(($A174=EDATE(Premissas!$C$19,1))+($A174=EDATE(Premissas!$C$19,2)))*Premissas!$C$9+AND($A174&gt;=Premissas!$C$20,$A174&lt;EDATE(Premissas!$C$20,Premissas!$C$21))*Premissas!$C$10+(($A174=Premissas!$C$22)+($A174=Premissas!$C$23)+($A174=Premissas!$C$24))*Premissas!$C$11+($A174=Premissas!$C$25)*Premissas!$C$12</f>
        <v>0</v>
      </c>
      <c r="E174" s="36" t="n">
        <f aca="false">(1+Premissas!$C$57)^C174</f>
        <v>2.16382911327613</v>
      </c>
      <c r="F174" s="16" t="n">
        <f aca="false">D174*E174</f>
        <v>0</v>
      </c>
      <c r="G174" s="16" t="n">
        <f aca="false">($A174=Premissas!$C$25)*Premissas!$C$34*Premissas!$C$14*(1+Premissas!$C$57)^C174</f>
        <v>0</v>
      </c>
      <c r="H174" s="16" t="n">
        <f aca="false">IF(AND($A174&gt;Premissas!$C$25,$A174&lt;Premissas!$C$27),Premissas!$C$35/MAX(1,Premissas!$C$26),0)</f>
        <v>0</v>
      </c>
      <c r="I174" s="35" t="n">
        <f aca="false">IF(AND($A174&gt;Premissas!$C$25,((YEAR($A174)-YEAR(Premissas!$C$25))*12+MONTH($A174)-MONTH(Premissas!$C$25))&lt;=Premissas!$C$32),((YEAR($A174)-YEAR(Premissas!$C$25))*12+MONTH($A174)-MONTH(Premissas!$C$25)),0)</f>
        <v>0</v>
      </c>
      <c r="J174" s="16" t="n">
        <f aca="false">IF(I174&gt;0,N173*(1+Premissas!$C$59),0)</f>
        <v>0</v>
      </c>
      <c r="K174" s="16" t="n">
        <f aca="false">J174*Premissas!$C$58</f>
        <v>0</v>
      </c>
      <c r="L174" s="16" t="n">
        <f aca="false">IF(I174&gt;0,J174/(Premissas!$C$32-I174+1),0)</f>
        <v>0</v>
      </c>
      <c r="M174" s="16" t="n">
        <f aca="false">K174+L174</f>
        <v>0</v>
      </c>
      <c r="N174" s="16" t="n">
        <f aca="false">IF($A174=Premissas!$C$25,Premissas!$C$13*E174,IF(I174&gt;0,J174-L174,0))</f>
        <v>0</v>
      </c>
      <c r="O174" s="37" t="n">
        <f aca="false">IF($A174&gt;=Premissas!$C$27,Premissas!$C$39*IF(((YEAR($A174)-YEAR(Premissas!$C$27))*12+MONTH($A174)-MONTH(Premissas!$C$27))&lt;Premissas!$C$41,Premissas!$C$42,1),0)</f>
        <v>0.62</v>
      </c>
      <c r="P174" s="16" t="n">
        <f aca="false">O174*Premissas!$C$38*Premissas!$C$40*(1+Premissas!$C$60)^((YEAR($A174)-YEAR(Premissas!$C$19))*12+MONTH($A174)-MONTH(Premissas!$C$19))</f>
        <v>7432.36407329576</v>
      </c>
      <c r="Q174" s="16" t="n">
        <f aca="false">P174*Premissas!$C$43</f>
        <v>1189.17825172732</v>
      </c>
      <c r="R174" s="16" t="n">
        <f aca="false">P174*Premissas!$C$44</f>
        <v>1486.47281465915</v>
      </c>
      <c r="S174" s="16" t="n">
        <f aca="false">IF($A174&gt;=Premissas!$C$25,Premissas!$C$45*(1+Premissas!$C$60)^((YEAR($A174)-YEAR(Premissas!$C$19))*12+MONTH($A174)-MONTH(Premissas!$C$19)),0)</f>
        <v>1303.00912925942</v>
      </c>
      <c r="T174" s="16" t="n">
        <f aca="false">IF($A174&gt;=Premissas!$C$27,Premissas!$C$46*(1+Premissas!$C$60)^((YEAR($A174)-YEAR(Premissas!$C$19))*12+MONTH($A174)-MONTH(Premissas!$C$19)),0)</f>
        <v>521.20365170377</v>
      </c>
      <c r="U174" s="16" t="n">
        <f aca="false">IF($A174&gt;=Premissas!$C$27,Premissas!$C$47*(1+Premissas!$C$60)^((YEAR($A174)-YEAR(Premissas!$C$19))*12+MONTH($A174)-MONTH(Premissas!$C$19)),0)</f>
        <v>260.601825851885</v>
      </c>
      <c r="V174" s="16" t="n">
        <f aca="false">IF($A174&gt;=Premissas!$C$27,MAX(0,P174-Q174-R174-S174)*Premissas!$C$49,0)</f>
        <v>949.768566353711</v>
      </c>
      <c r="W174" s="16" t="n">
        <f aca="false">P174-Q174-R174-S174-T174-U174-V174</f>
        <v>1722.12983374049</v>
      </c>
      <c r="X174" s="16" t="n">
        <f aca="false">W174-F174-G174-H174-M174</f>
        <v>1722.12983374049</v>
      </c>
      <c r="Y174" s="16" t="n">
        <f aca="false">Y173+X174</f>
        <v>-693785.566156951</v>
      </c>
      <c r="Z174" s="16" t="n">
        <f aca="false">Premissas!$C$14*(1+Premissas!$C$57)^((YEAR(Premissas!$C$19)-YEAR(Premissas!$C$18))*12+MONTH(Premissas!$C$19)-MONTH(Premissas!$C$18))*(1+Premissas!$C$61)^((YEAR($A174)-YEAR(Premissas!$C$19))*12+MONTH($A174)-MONTH(Premissas!$C$19))</f>
        <v>950698.51530878</v>
      </c>
      <c r="AA174" s="16" t="n">
        <f aca="false">IF($A174&gt;=Premissas!$C$25,Z174*(1-Premissas!$C$53)-N174-Premissas!$C$54*MAX(0,Z174*(1-Premissas!$C$53)-(Premissas!$C$14*(1+Premissas!$C$57)^((YEAR(Premissas!$C$25)-YEAR(Premissas!$C$18))*12+MONTH(Premissas!$C$25)-MONTH(Premissas!$C$18))*(1+Premissas!$C$34))),"")</f>
        <v>840810.323243381</v>
      </c>
      <c r="AB174" s="16" t="n">
        <f aca="false">IF($A174&gt;=Premissas!$C$25,Y174+AA174,"")</f>
        <v>147024.75708643</v>
      </c>
      <c r="AC174" s="20" t="n">
        <f aca="false">IF(AND($A174&gt;=Premissas!$C$27,W174&gt;=M174),$A174,"")</f>
        <v>51533</v>
      </c>
      <c r="AD174" s="20" t="str">
        <f aca="false">IF(AND($A174&gt;=Premissas!$C$27,Y174&gt;=0),$A174,"")</f>
        <v/>
      </c>
      <c r="AE174" s="20" t="n">
        <f aca="false">IF(AND($A174&gt;=Premissas!$C$25,N(AB174)&gt;=0),$A174,"")</f>
        <v>51533</v>
      </c>
    </row>
    <row r="175" customFormat="false" ht="15" hidden="false" customHeight="false" outlineLevel="0" collapsed="false">
      <c r="A175" s="20" t="n">
        <f aca="false">DATE(YEAR(A174),MONTH(A174)+1,1)</f>
        <v>51561</v>
      </c>
      <c r="B175" s="5" t="str">
        <f aca="false">IF($A175&lt;Premissas!$C$25,"Obra",IF($A175=Premissas!$C$25,"Chaves",IF($A175&lt;Premissas!$C$27,"Mobiliando","Airbnb")))</f>
        <v>Airbnb</v>
      </c>
      <c r="C175" s="35" t="n">
        <f aca="false">(YEAR($A175)-YEAR(Premissas!$C$18))*12+MONTH($A175)-MONTH(Premissas!$C$18)</f>
        <v>174</v>
      </c>
      <c r="D175" s="16" t="n">
        <f aca="false">($A175=Premissas!$C$19)*Premissas!$C$8+(($A175=EDATE(Premissas!$C$19,1))+($A175=EDATE(Premissas!$C$19,2)))*Premissas!$C$9+AND($A175&gt;=Premissas!$C$20,$A175&lt;EDATE(Premissas!$C$20,Premissas!$C$21))*Premissas!$C$10+(($A175=Premissas!$C$22)+($A175=Premissas!$C$23)+($A175=Premissas!$C$24))*Premissas!$C$11+($A175=Premissas!$C$25)*Premissas!$C$12</f>
        <v>0</v>
      </c>
      <c r="E175" s="36" t="n">
        <f aca="false">(1+Premissas!$C$57)^C175</f>
        <v>2.17350510557863</v>
      </c>
      <c r="F175" s="16" t="n">
        <f aca="false">D175*E175</f>
        <v>0</v>
      </c>
      <c r="G175" s="16" t="n">
        <f aca="false">($A175=Premissas!$C$25)*Premissas!$C$34*Premissas!$C$14*(1+Premissas!$C$57)^C175</f>
        <v>0</v>
      </c>
      <c r="H175" s="16" t="n">
        <f aca="false">IF(AND($A175&gt;Premissas!$C$25,$A175&lt;Premissas!$C$27),Premissas!$C$35/MAX(1,Premissas!$C$26),0)</f>
        <v>0</v>
      </c>
      <c r="I175" s="35" t="n">
        <f aca="false">IF(AND($A175&gt;Premissas!$C$25,((YEAR($A175)-YEAR(Premissas!$C$25))*12+MONTH($A175)-MONTH(Premissas!$C$25))&lt;=Premissas!$C$32),((YEAR($A175)-YEAR(Premissas!$C$25))*12+MONTH($A175)-MONTH(Premissas!$C$25)),0)</f>
        <v>0</v>
      </c>
      <c r="J175" s="16" t="n">
        <f aca="false">IF(I175&gt;0,N174*(1+Premissas!$C$59),0)</f>
        <v>0</v>
      </c>
      <c r="K175" s="16" t="n">
        <f aca="false">J175*Premissas!$C$58</f>
        <v>0</v>
      </c>
      <c r="L175" s="16" t="n">
        <f aca="false">IF(I175&gt;0,J175/(Premissas!$C$32-I175+1),0)</f>
        <v>0</v>
      </c>
      <c r="M175" s="16" t="n">
        <f aca="false">K175+L175</f>
        <v>0</v>
      </c>
      <c r="N175" s="16" t="n">
        <f aca="false">IF($A175=Premissas!$C$25,Premissas!$C$13*E175,IF(I175&gt;0,J175-L175,0))</f>
        <v>0</v>
      </c>
      <c r="O175" s="37" t="n">
        <f aca="false">IF($A175&gt;=Premissas!$C$27,Premissas!$C$39*IF(((YEAR($A175)-YEAR(Premissas!$C$27))*12+MONTH($A175)-MONTH(Premissas!$C$27))&lt;Premissas!$C$41,Premissas!$C$42,1),0)</f>
        <v>0.62</v>
      </c>
      <c r="P175" s="16" t="n">
        <f aca="false">O175*Premissas!$C$38*Premissas!$C$40*(1+Premissas!$C$60)^((YEAR($A175)-YEAR(Premissas!$C$19))*12+MONTH($A175)-MONTH(Premissas!$C$19))</f>
        <v>7456.69569923829</v>
      </c>
      <c r="Q175" s="16" t="n">
        <f aca="false">P175*Premissas!$C$43</f>
        <v>1193.07131187813</v>
      </c>
      <c r="R175" s="16" t="n">
        <f aca="false">P175*Premissas!$C$44</f>
        <v>1491.33913984766</v>
      </c>
      <c r="S175" s="16" t="n">
        <f aca="false">IF($A175&gt;=Premissas!$C$25,Premissas!$C$45*(1+Premissas!$C$60)^((YEAR($A175)-YEAR(Premissas!$C$19))*12+MONTH($A175)-MONTH(Premissas!$C$19)),0)</f>
        <v>1307.27484208245</v>
      </c>
      <c r="T175" s="16" t="n">
        <f aca="false">IF($A175&gt;=Premissas!$C$27,Premissas!$C$46*(1+Premissas!$C$60)^((YEAR($A175)-YEAR(Premissas!$C$19))*12+MONTH($A175)-MONTH(Premissas!$C$19)),0)</f>
        <v>522.90993683298</v>
      </c>
      <c r="U175" s="16" t="n">
        <f aca="false">IF($A175&gt;=Premissas!$C$27,Premissas!$C$47*(1+Premissas!$C$60)^((YEAR($A175)-YEAR(Premissas!$C$19))*12+MONTH($A175)-MONTH(Premissas!$C$19)),0)</f>
        <v>261.45496841649</v>
      </c>
      <c r="V175" s="16" t="n">
        <f aca="false">IF($A175&gt;=Premissas!$C$27,MAX(0,P175-Q175-R175-S175)*Premissas!$C$49,0)</f>
        <v>952.877861493266</v>
      </c>
      <c r="W175" s="16" t="n">
        <f aca="false">P175-Q175-R175-S175-T175-U175-V175</f>
        <v>1727.76763868732</v>
      </c>
      <c r="X175" s="16" t="n">
        <f aca="false">W175-F175-G175-H175-M175</f>
        <v>1727.76763868732</v>
      </c>
      <c r="Y175" s="16" t="n">
        <f aca="false">Y174+X175</f>
        <v>-692057.798518264</v>
      </c>
      <c r="Z175" s="16" t="n">
        <f aca="false">Premissas!$C$14*(1+Premissas!$C$57)^((YEAR(Premissas!$C$19)-YEAR(Premissas!$C$18))*12+MONTH(Premissas!$C$19)-MONTH(Premissas!$C$18))*(1+Premissas!$C$61)^((YEAR($A175)-YEAR(Premissas!$C$19))*12+MONTH($A175)-MONTH(Premissas!$C$19))</f>
        <v>954571.778741079</v>
      </c>
      <c r="AA175" s="16" t="n">
        <f aca="false">IF($A175&gt;=Premissas!$C$25,Z175*(1-Premissas!$C$53)-N175-Premissas!$C$54*MAX(0,Z175*(1-Premissas!$C$53)-(Premissas!$C$14*(1+Premissas!$C$57)^((YEAR(Premissas!$C$25)-YEAR(Premissas!$C$18))*12+MONTH(Premissas!$C$25)-MONTH(Premissas!$C$18))*(1+Premissas!$C$34))),"")</f>
        <v>843905.060725787</v>
      </c>
      <c r="AB175" s="16" t="n">
        <f aca="false">IF($A175&gt;=Premissas!$C$25,Y175+AA175,"")</f>
        <v>151847.262207523</v>
      </c>
      <c r="AC175" s="20" t="n">
        <f aca="false">IF(AND($A175&gt;=Premissas!$C$27,W175&gt;=M175),$A175,"")</f>
        <v>51561</v>
      </c>
      <c r="AD175" s="20" t="str">
        <f aca="false">IF(AND($A175&gt;=Premissas!$C$27,Y175&gt;=0),$A175,"")</f>
        <v/>
      </c>
      <c r="AE175" s="20" t="n">
        <f aca="false">IF(AND($A175&gt;=Premissas!$C$25,N(AB175)&gt;=0),$A175,"")</f>
        <v>51561</v>
      </c>
    </row>
    <row r="176" customFormat="false" ht="15" hidden="false" customHeight="false" outlineLevel="0" collapsed="false">
      <c r="A176" s="20" t="n">
        <f aca="false">DATE(YEAR(A175),MONTH(A175)+1,1)</f>
        <v>51592</v>
      </c>
      <c r="B176" s="5" t="str">
        <f aca="false">IF($A176&lt;Premissas!$C$25,"Obra",IF($A176=Premissas!$C$25,"Chaves",IF($A176&lt;Premissas!$C$27,"Mobiliando","Airbnb")))</f>
        <v>Airbnb</v>
      </c>
      <c r="C176" s="35" t="n">
        <f aca="false">(YEAR($A176)-YEAR(Premissas!$C$18))*12+MONTH($A176)-MONTH(Premissas!$C$18)</f>
        <v>175</v>
      </c>
      <c r="D176" s="16" t="n">
        <f aca="false">($A176=Premissas!$C$19)*Premissas!$C$8+(($A176=EDATE(Premissas!$C$19,1))+($A176=EDATE(Premissas!$C$19,2)))*Premissas!$C$9+AND($A176&gt;=Premissas!$C$20,$A176&lt;EDATE(Premissas!$C$20,Premissas!$C$21))*Premissas!$C$10+(($A176=Premissas!$C$22)+($A176=Premissas!$C$23)+($A176=Premissas!$C$24))*Premissas!$C$11+($A176=Premissas!$C$25)*Premissas!$C$12</f>
        <v>0</v>
      </c>
      <c r="E176" s="36" t="n">
        <f aca="false">(1+Premissas!$C$57)^C176</f>
        <v>2.18322436600544</v>
      </c>
      <c r="F176" s="16" t="n">
        <f aca="false">D176*E176</f>
        <v>0</v>
      </c>
      <c r="G176" s="16" t="n">
        <f aca="false">($A176=Premissas!$C$25)*Premissas!$C$34*Premissas!$C$14*(1+Premissas!$C$57)^C176</f>
        <v>0</v>
      </c>
      <c r="H176" s="16" t="n">
        <f aca="false">IF(AND($A176&gt;Premissas!$C$25,$A176&lt;Premissas!$C$27),Premissas!$C$35/MAX(1,Premissas!$C$26),0)</f>
        <v>0</v>
      </c>
      <c r="I176" s="35" t="n">
        <f aca="false">IF(AND($A176&gt;Premissas!$C$25,((YEAR($A176)-YEAR(Premissas!$C$25))*12+MONTH($A176)-MONTH(Premissas!$C$25))&lt;=Premissas!$C$32),((YEAR($A176)-YEAR(Premissas!$C$25))*12+MONTH($A176)-MONTH(Premissas!$C$25)),0)</f>
        <v>0</v>
      </c>
      <c r="J176" s="16" t="n">
        <f aca="false">IF(I176&gt;0,N175*(1+Premissas!$C$59),0)</f>
        <v>0</v>
      </c>
      <c r="K176" s="16" t="n">
        <f aca="false">J176*Premissas!$C$58</f>
        <v>0</v>
      </c>
      <c r="L176" s="16" t="n">
        <f aca="false">IF(I176&gt;0,J176/(Premissas!$C$32-I176+1),0)</f>
        <v>0</v>
      </c>
      <c r="M176" s="16" t="n">
        <f aca="false">K176+L176</f>
        <v>0</v>
      </c>
      <c r="N176" s="16" t="n">
        <f aca="false">IF($A176=Premissas!$C$25,Premissas!$C$13*E176,IF(I176&gt;0,J176-L176,0))</f>
        <v>0</v>
      </c>
      <c r="O176" s="37" t="n">
        <f aca="false">IF($A176&gt;=Premissas!$C$27,Premissas!$C$39*IF(((YEAR($A176)-YEAR(Premissas!$C$27))*12+MONTH($A176)-MONTH(Premissas!$C$27))&lt;Premissas!$C$41,Premissas!$C$42,1),0)</f>
        <v>0.62</v>
      </c>
      <c r="P176" s="16" t="n">
        <f aca="false">O176*Premissas!$C$38*Premissas!$C$40*(1+Premissas!$C$60)^((YEAR($A176)-YEAR(Premissas!$C$19))*12+MONTH($A176)-MONTH(Premissas!$C$19))</f>
        <v>7481.10698059264</v>
      </c>
      <c r="Q176" s="16" t="n">
        <f aca="false">P176*Premissas!$C$43</f>
        <v>1196.97711689482</v>
      </c>
      <c r="R176" s="16" t="n">
        <f aca="false">P176*Premissas!$C$44</f>
        <v>1496.22139611853</v>
      </c>
      <c r="S176" s="16" t="n">
        <f aca="false">IF($A176&gt;=Premissas!$C$25,Premissas!$C$45*(1+Premissas!$C$60)^((YEAR($A176)-YEAR(Premissas!$C$19))*12+MONTH($A176)-MONTH(Premissas!$C$19)),0)</f>
        <v>1311.55451973924</v>
      </c>
      <c r="T176" s="16" t="n">
        <f aca="false">IF($A176&gt;=Premissas!$C$27,Premissas!$C$46*(1+Premissas!$C$60)^((YEAR($A176)-YEAR(Premissas!$C$19))*12+MONTH($A176)-MONTH(Premissas!$C$19)),0)</f>
        <v>524.621807895697</v>
      </c>
      <c r="U176" s="16" t="n">
        <f aca="false">IF($A176&gt;=Premissas!$C$27,Premissas!$C$47*(1+Premissas!$C$60)^((YEAR($A176)-YEAR(Premissas!$C$19))*12+MONTH($A176)-MONTH(Premissas!$C$19)),0)</f>
        <v>262.310903947849</v>
      </c>
      <c r="V176" s="16" t="n">
        <f aca="false">IF($A176&gt;=Premissas!$C$27,MAX(0,P176-Q176-R176-S176)*Premissas!$C$49,0)</f>
        <v>955.997335656013</v>
      </c>
      <c r="W176" s="16" t="n">
        <f aca="false">P176-Q176-R176-S176-T176-U176-V176</f>
        <v>1733.42390034049</v>
      </c>
      <c r="X176" s="16" t="n">
        <f aca="false">W176-F176-G176-H176-M176</f>
        <v>1733.42390034049</v>
      </c>
      <c r="Y176" s="16" t="n">
        <f aca="false">Y175+X176</f>
        <v>-690324.374617923</v>
      </c>
      <c r="Z176" s="16" t="n">
        <f aca="false">Premissas!$C$14*(1+Premissas!$C$57)^((YEAR(Premissas!$C$19)-YEAR(Premissas!$C$18))*12+MONTH(Premissas!$C$19)-MONTH(Premissas!$C$18))*(1+Premissas!$C$61)^((YEAR($A176)-YEAR(Premissas!$C$19))*12+MONTH($A176)-MONTH(Premissas!$C$19))</f>
        <v>958460.822328048</v>
      </c>
      <c r="AA176" s="16" t="n">
        <f aca="false">IF($A176&gt;=Premissas!$C$25,Z176*(1-Premissas!$C$53)-N176-Premissas!$C$54*MAX(0,Z176*(1-Premissas!$C$53)-(Premissas!$C$14*(1+Premissas!$C$57)^((YEAR(Premissas!$C$25)-YEAR(Premissas!$C$18))*12+MONTH(Premissas!$C$25)-MONTH(Premissas!$C$18))*(1+Premissas!$C$34))),"")</f>
        <v>847012.406551775</v>
      </c>
      <c r="AB176" s="16" t="n">
        <f aca="false">IF($A176&gt;=Premissas!$C$25,Y176+AA176,"")</f>
        <v>156688.031933852</v>
      </c>
      <c r="AC176" s="20" t="n">
        <f aca="false">IF(AND($A176&gt;=Premissas!$C$27,W176&gt;=M176),$A176,"")</f>
        <v>51592</v>
      </c>
      <c r="AD176" s="20" t="str">
        <f aca="false">IF(AND($A176&gt;=Premissas!$C$27,Y176&gt;=0),$A176,"")</f>
        <v/>
      </c>
      <c r="AE176" s="20" t="n">
        <f aca="false">IF(AND($A176&gt;=Premissas!$C$25,N(AB176)&gt;=0),$A176,"")</f>
        <v>51592</v>
      </c>
    </row>
    <row r="177" customFormat="false" ht="15" hidden="false" customHeight="false" outlineLevel="0" collapsed="false">
      <c r="A177" s="20" t="n">
        <f aca="false">DATE(YEAR(A176),MONTH(A176)+1,1)</f>
        <v>51622</v>
      </c>
      <c r="B177" s="5" t="str">
        <f aca="false">IF($A177&lt;Premissas!$C$25,"Obra",IF($A177=Premissas!$C$25,"Chaves",IF($A177&lt;Premissas!$C$27,"Mobiliando","Airbnb")))</f>
        <v>Airbnb</v>
      </c>
      <c r="C177" s="35" t="n">
        <f aca="false">(YEAR($A177)-YEAR(Premissas!$C$18))*12+MONTH($A177)-MONTH(Premissas!$C$18)</f>
        <v>176</v>
      </c>
      <c r="D177" s="16" t="n">
        <f aca="false">($A177=Premissas!$C$19)*Premissas!$C$8+(($A177=EDATE(Premissas!$C$19,1))+($A177=EDATE(Premissas!$C$19,2)))*Premissas!$C$9+AND($A177&gt;=Premissas!$C$20,$A177&lt;EDATE(Premissas!$C$20,Premissas!$C$21))*Premissas!$C$10+(($A177=Premissas!$C$22)+($A177=Premissas!$C$23)+($A177=Premissas!$C$24))*Premissas!$C$11+($A177=Premissas!$C$25)*Premissas!$C$12</f>
        <v>0</v>
      </c>
      <c r="E177" s="36" t="n">
        <f aca="false">(1+Premissas!$C$57)^C177</f>
        <v>2.19298708803856</v>
      </c>
      <c r="F177" s="16" t="n">
        <f aca="false">D177*E177</f>
        <v>0</v>
      </c>
      <c r="G177" s="16" t="n">
        <f aca="false">($A177=Premissas!$C$25)*Premissas!$C$34*Premissas!$C$14*(1+Premissas!$C$57)^C177</f>
        <v>0</v>
      </c>
      <c r="H177" s="16" t="n">
        <f aca="false">IF(AND($A177&gt;Premissas!$C$25,$A177&lt;Premissas!$C$27),Premissas!$C$35/MAX(1,Premissas!$C$26),0)</f>
        <v>0</v>
      </c>
      <c r="I177" s="35" t="n">
        <f aca="false">IF(AND($A177&gt;Premissas!$C$25,((YEAR($A177)-YEAR(Premissas!$C$25))*12+MONTH($A177)-MONTH(Premissas!$C$25))&lt;=Premissas!$C$32),((YEAR($A177)-YEAR(Premissas!$C$25))*12+MONTH($A177)-MONTH(Premissas!$C$25)),0)</f>
        <v>0</v>
      </c>
      <c r="J177" s="16" t="n">
        <f aca="false">IF(I177&gt;0,N176*(1+Premissas!$C$59),0)</f>
        <v>0</v>
      </c>
      <c r="K177" s="16" t="n">
        <f aca="false">J177*Premissas!$C$58</f>
        <v>0</v>
      </c>
      <c r="L177" s="16" t="n">
        <f aca="false">IF(I177&gt;0,J177/(Premissas!$C$32-I177+1),0)</f>
        <v>0</v>
      </c>
      <c r="M177" s="16" t="n">
        <f aca="false">K177+L177</f>
        <v>0</v>
      </c>
      <c r="N177" s="16" t="n">
        <f aca="false">IF($A177=Premissas!$C$25,Premissas!$C$13*E177,IF(I177&gt;0,J177-L177,0))</f>
        <v>0</v>
      </c>
      <c r="O177" s="37" t="n">
        <f aca="false">IF($A177&gt;=Premissas!$C$27,Premissas!$C$39*IF(((YEAR($A177)-YEAR(Premissas!$C$27))*12+MONTH($A177)-MONTH(Premissas!$C$27))&lt;Premissas!$C$41,Premissas!$C$42,1),0)</f>
        <v>0.62</v>
      </c>
      <c r="P177" s="16" t="n">
        <f aca="false">O177*Premissas!$C$38*Premissas!$C$40*(1+Premissas!$C$60)^((YEAR($A177)-YEAR(Premissas!$C$19))*12+MONTH($A177)-MONTH(Premissas!$C$19))</f>
        <v>7505.59817812989</v>
      </c>
      <c r="Q177" s="16" t="n">
        <f aca="false">P177*Premissas!$C$43</f>
        <v>1200.89570850078</v>
      </c>
      <c r="R177" s="16" t="n">
        <f aca="false">P177*Premissas!$C$44</f>
        <v>1501.11963562598</v>
      </c>
      <c r="S177" s="16" t="n">
        <f aca="false">IF($A177&gt;=Premissas!$C$25,Premissas!$C$45*(1+Premissas!$C$60)^((YEAR($A177)-YEAR(Premissas!$C$19))*12+MONTH($A177)-MONTH(Premissas!$C$19)),0)</f>
        <v>1315.84820794704</v>
      </c>
      <c r="T177" s="16" t="n">
        <f aca="false">IF($A177&gt;=Premissas!$C$27,Premissas!$C$46*(1+Premissas!$C$60)^((YEAR($A177)-YEAR(Premissas!$C$19))*12+MONTH($A177)-MONTH(Premissas!$C$19)),0)</f>
        <v>526.339283178814</v>
      </c>
      <c r="U177" s="16" t="n">
        <f aca="false">IF($A177&gt;=Premissas!$C$27,Premissas!$C$47*(1+Premissas!$C$60)^((YEAR($A177)-YEAR(Premissas!$C$19))*12+MONTH($A177)-MONTH(Premissas!$C$19)),0)</f>
        <v>263.169641589407</v>
      </c>
      <c r="V177" s="16" t="n">
        <f aca="false">IF($A177&gt;=Premissas!$C$27,MAX(0,P177-Q177-R177-S177)*Premissas!$C$49,0)</f>
        <v>959.127022165426</v>
      </c>
      <c r="W177" s="16" t="n">
        <f aca="false">P177-Q177-R177-S177-T177-U177-V177</f>
        <v>1739.09867912245</v>
      </c>
      <c r="X177" s="16" t="n">
        <f aca="false">W177-F177-G177-H177-M177</f>
        <v>1739.09867912245</v>
      </c>
      <c r="Y177" s="16" t="n">
        <f aca="false">Y176+X177</f>
        <v>-688585.275938801</v>
      </c>
      <c r="Z177" s="16" t="n">
        <f aca="false">Premissas!$C$14*(1+Premissas!$C$57)^((YEAR(Premissas!$C$19)-YEAR(Premissas!$C$18))*12+MONTH(Premissas!$C$19)-MONTH(Premissas!$C$18))*(1+Premissas!$C$61)^((YEAR($A177)-YEAR(Premissas!$C$19))*12+MONTH($A177)-MONTH(Premissas!$C$19))</f>
        <v>962365.710359989</v>
      </c>
      <c r="AA177" s="16" t="n">
        <f aca="false">IF($A177&gt;=Premissas!$C$25,Z177*(1-Premissas!$C$53)-N177-Premissas!$C$54*MAX(0,Z177*(1-Premissas!$C$53)-(Premissas!$C$14*(1+Premissas!$C$57)^((YEAR(Premissas!$C$25)-YEAR(Premissas!$C$18))*12+MONTH(Premissas!$C$25)-MONTH(Premissas!$C$18))*(1+Premissas!$C$34))),"")</f>
        <v>850132.412089297</v>
      </c>
      <c r="AB177" s="16" t="n">
        <f aca="false">IF($A177&gt;=Premissas!$C$25,Y177+AA177,"")</f>
        <v>161547.136150496</v>
      </c>
      <c r="AC177" s="20" t="n">
        <f aca="false">IF(AND($A177&gt;=Premissas!$C$27,W177&gt;=M177),$A177,"")</f>
        <v>51622</v>
      </c>
      <c r="AD177" s="20" t="str">
        <f aca="false">IF(AND($A177&gt;=Premissas!$C$27,Y177&gt;=0),$A177,"")</f>
        <v/>
      </c>
      <c r="AE177" s="20" t="n">
        <f aca="false">IF(AND($A177&gt;=Premissas!$C$25,N(AB177)&gt;=0),$A177,"")</f>
        <v>51622</v>
      </c>
    </row>
    <row r="178" customFormat="false" ht="15" hidden="false" customHeight="false" outlineLevel="0" collapsed="false">
      <c r="A178" s="20" t="n">
        <f aca="false">DATE(YEAR(A177),MONTH(A177)+1,1)</f>
        <v>51653</v>
      </c>
      <c r="B178" s="5" t="str">
        <f aca="false">IF($A178&lt;Premissas!$C$25,"Obra",IF($A178=Premissas!$C$25,"Chaves",IF($A178&lt;Premissas!$C$27,"Mobiliando","Airbnb")))</f>
        <v>Airbnb</v>
      </c>
      <c r="C178" s="35" t="n">
        <f aca="false">(YEAR($A178)-YEAR(Premissas!$C$18))*12+MONTH($A178)-MONTH(Premissas!$C$18)</f>
        <v>177</v>
      </c>
      <c r="D178" s="16" t="n">
        <f aca="false">($A178=Premissas!$C$19)*Premissas!$C$8+(($A178=EDATE(Premissas!$C$19,1))+($A178=EDATE(Premissas!$C$19,2)))*Premissas!$C$9+AND($A178&gt;=Premissas!$C$20,$A178&lt;EDATE(Premissas!$C$20,Premissas!$C$21))*Premissas!$C$10+(($A178=Premissas!$C$22)+($A178=Premissas!$C$23)+($A178=Premissas!$C$24))*Premissas!$C$11+($A178=Premissas!$C$25)*Premissas!$C$12</f>
        <v>0</v>
      </c>
      <c r="E178" s="36" t="n">
        <f aca="false">(1+Premissas!$C$57)^C178</f>
        <v>2.20279346602524</v>
      </c>
      <c r="F178" s="16" t="n">
        <f aca="false">D178*E178</f>
        <v>0</v>
      </c>
      <c r="G178" s="16" t="n">
        <f aca="false">($A178=Premissas!$C$25)*Premissas!$C$34*Premissas!$C$14*(1+Premissas!$C$57)^C178</f>
        <v>0</v>
      </c>
      <c r="H178" s="16" t="n">
        <f aca="false">IF(AND($A178&gt;Premissas!$C$25,$A178&lt;Premissas!$C$27),Premissas!$C$35/MAX(1,Premissas!$C$26),0)</f>
        <v>0</v>
      </c>
      <c r="I178" s="35" t="n">
        <f aca="false">IF(AND($A178&gt;Premissas!$C$25,((YEAR($A178)-YEAR(Premissas!$C$25))*12+MONTH($A178)-MONTH(Premissas!$C$25))&lt;=Premissas!$C$32),((YEAR($A178)-YEAR(Premissas!$C$25))*12+MONTH($A178)-MONTH(Premissas!$C$25)),0)</f>
        <v>0</v>
      </c>
      <c r="J178" s="16" t="n">
        <f aca="false">IF(I178&gt;0,N177*(1+Premissas!$C$59),0)</f>
        <v>0</v>
      </c>
      <c r="K178" s="16" t="n">
        <f aca="false">J178*Premissas!$C$58</f>
        <v>0</v>
      </c>
      <c r="L178" s="16" t="n">
        <f aca="false">IF(I178&gt;0,J178/(Premissas!$C$32-I178+1),0)</f>
        <v>0</v>
      </c>
      <c r="M178" s="16" t="n">
        <f aca="false">K178+L178</f>
        <v>0</v>
      </c>
      <c r="N178" s="16" t="n">
        <f aca="false">IF($A178=Premissas!$C$25,Premissas!$C$13*E178,IF(I178&gt;0,J178-L178,0))</f>
        <v>0</v>
      </c>
      <c r="O178" s="37" t="n">
        <f aca="false">IF($A178&gt;=Premissas!$C$27,Premissas!$C$39*IF(((YEAR($A178)-YEAR(Premissas!$C$27))*12+MONTH($A178)-MONTH(Premissas!$C$27))&lt;Premissas!$C$41,Premissas!$C$42,1),0)</f>
        <v>0.62</v>
      </c>
      <c r="P178" s="16" t="n">
        <f aca="false">O178*Premissas!$C$38*Premissas!$C$40*(1+Premissas!$C$60)^((YEAR($A178)-YEAR(Premissas!$C$19))*12+MONTH($A178)-MONTH(Premissas!$C$19))</f>
        <v>7530.16955347483</v>
      </c>
      <c r="Q178" s="16" t="n">
        <f aca="false">P178*Premissas!$C$43</f>
        <v>1204.82712855597</v>
      </c>
      <c r="R178" s="16" t="n">
        <f aca="false">P178*Premissas!$C$44</f>
        <v>1506.03391069497</v>
      </c>
      <c r="S178" s="16" t="n">
        <f aca="false">IF($A178&gt;=Premissas!$C$25,Premissas!$C$45*(1+Premissas!$C$60)^((YEAR($A178)-YEAR(Premissas!$C$19))*12+MONTH($A178)-MONTH(Premissas!$C$19)),0)</f>
        <v>1320.15595257273</v>
      </c>
      <c r="T178" s="16" t="n">
        <f aca="false">IF($A178&gt;=Premissas!$C$27,Premissas!$C$46*(1+Premissas!$C$60)^((YEAR($A178)-YEAR(Premissas!$C$19))*12+MONTH($A178)-MONTH(Premissas!$C$19)),0)</f>
        <v>528.062381029091</v>
      </c>
      <c r="U178" s="16" t="n">
        <f aca="false">IF($A178&gt;=Premissas!$C$27,Premissas!$C$47*(1+Premissas!$C$60)^((YEAR($A178)-YEAR(Premissas!$C$19))*12+MONTH($A178)-MONTH(Premissas!$C$19)),0)</f>
        <v>264.031190514545</v>
      </c>
      <c r="V178" s="16" t="n">
        <f aca="false">IF($A178&gt;=Premissas!$C$27,MAX(0,P178-Q178-R178-S178)*Premissas!$C$49,0)</f>
        <v>962.266954454071</v>
      </c>
      <c r="W178" s="16" t="n">
        <f aca="false">P178-Q178-R178-S178-T178-U178-V178</f>
        <v>1744.79203565346</v>
      </c>
      <c r="X178" s="16" t="n">
        <f aca="false">W178-F178-G178-H178-M178</f>
        <v>1744.79203565346</v>
      </c>
      <c r="Y178" s="16" t="n">
        <f aca="false">Y177+X178</f>
        <v>-686840.483903148</v>
      </c>
      <c r="Z178" s="16" t="n">
        <f aca="false">Premissas!$C$14*(1+Premissas!$C$57)^((YEAR(Premissas!$C$19)-YEAR(Premissas!$C$18))*12+MONTH(Premissas!$C$19)-MONTH(Premissas!$C$18))*(1+Premissas!$C$61)^((YEAR($A178)-YEAR(Premissas!$C$19))*12+MONTH($A178)-MONTH(Premissas!$C$19))</f>
        <v>966286.507389135</v>
      </c>
      <c r="AA178" s="16" t="n">
        <f aca="false">IF($A178&gt;=Premissas!$C$25,Z178*(1-Premissas!$C$53)-N178-Premissas!$C$54*MAX(0,Z178*(1-Premissas!$C$53)-(Premissas!$C$14*(1+Premissas!$C$57)^((YEAR(Premissas!$C$25)-YEAR(Premissas!$C$18))*12+MONTH(Premissas!$C$25)-MONTH(Premissas!$C$18))*(1+Premissas!$C$34))),"")</f>
        <v>853265.128915584</v>
      </c>
      <c r="AB178" s="16" t="n">
        <f aca="false">IF($A178&gt;=Premissas!$C$25,Y178+AA178,"")</f>
        <v>166424.645012436</v>
      </c>
      <c r="AC178" s="20" t="n">
        <f aca="false">IF(AND($A178&gt;=Premissas!$C$27,W178&gt;=M178),$A178,"")</f>
        <v>51653</v>
      </c>
      <c r="AD178" s="20" t="str">
        <f aca="false">IF(AND($A178&gt;=Premissas!$C$27,Y178&gt;=0),$A178,"")</f>
        <v/>
      </c>
      <c r="AE178" s="20" t="n">
        <f aca="false">IF(AND($A178&gt;=Premissas!$C$25,N(AB178)&gt;=0),$A178,"")</f>
        <v>51653</v>
      </c>
    </row>
    <row r="179" customFormat="false" ht="15" hidden="false" customHeight="false" outlineLevel="0" collapsed="false">
      <c r="A179" s="20" t="n">
        <f aca="false">DATE(YEAR(A178),MONTH(A178)+1,1)</f>
        <v>51683</v>
      </c>
      <c r="B179" s="5" t="str">
        <f aca="false">IF($A179&lt;Premissas!$C$25,"Obra",IF($A179=Premissas!$C$25,"Chaves",IF($A179&lt;Premissas!$C$27,"Mobiliando","Airbnb")))</f>
        <v>Airbnb</v>
      </c>
      <c r="C179" s="35" t="n">
        <f aca="false">(YEAR($A179)-YEAR(Premissas!$C$18))*12+MONTH($A179)-MONTH(Premissas!$C$18)</f>
        <v>178</v>
      </c>
      <c r="D179" s="16" t="n">
        <f aca="false">($A179=Premissas!$C$19)*Premissas!$C$8+(($A179=EDATE(Premissas!$C$19,1))+($A179=EDATE(Premissas!$C$19,2)))*Premissas!$C$9+AND($A179&gt;=Premissas!$C$20,$A179&lt;EDATE(Premissas!$C$20,Premissas!$C$21))*Premissas!$C$10+(($A179=Premissas!$C$22)+($A179=Premissas!$C$23)+($A179=Premissas!$C$24))*Premissas!$C$11+($A179=Premissas!$C$25)*Premissas!$C$12</f>
        <v>0</v>
      </c>
      <c r="E179" s="36" t="n">
        <f aca="false">(1+Premissas!$C$57)^C179</f>
        <v>2.21264369518173</v>
      </c>
      <c r="F179" s="16" t="n">
        <f aca="false">D179*E179</f>
        <v>0</v>
      </c>
      <c r="G179" s="16" t="n">
        <f aca="false">($A179=Premissas!$C$25)*Premissas!$C$34*Premissas!$C$14*(1+Premissas!$C$57)^C179</f>
        <v>0</v>
      </c>
      <c r="H179" s="16" t="n">
        <f aca="false">IF(AND($A179&gt;Premissas!$C$25,$A179&lt;Premissas!$C$27),Premissas!$C$35/MAX(1,Premissas!$C$26),0)</f>
        <v>0</v>
      </c>
      <c r="I179" s="35" t="n">
        <f aca="false">IF(AND($A179&gt;Premissas!$C$25,((YEAR($A179)-YEAR(Premissas!$C$25))*12+MONTH($A179)-MONTH(Premissas!$C$25))&lt;=Premissas!$C$32),((YEAR($A179)-YEAR(Premissas!$C$25))*12+MONTH($A179)-MONTH(Premissas!$C$25)),0)</f>
        <v>0</v>
      </c>
      <c r="J179" s="16" t="n">
        <f aca="false">IF(I179&gt;0,N178*(1+Premissas!$C$59),0)</f>
        <v>0</v>
      </c>
      <c r="K179" s="16" t="n">
        <f aca="false">J179*Premissas!$C$58</f>
        <v>0</v>
      </c>
      <c r="L179" s="16" t="n">
        <f aca="false">IF(I179&gt;0,J179/(Premissas!$C$32-I179+1),0)</f>
        <v>0</v>
      </c>
      <c r="M179" s="16" t="n">
        <f aca="false">K179+L179</f>
        <v>0</v>
      </c>
      <c r="N179" s="16" t="n">
        <f aca="false">IF($A179=Premissas!$C$25,Premissas!$C$13*E179,IF(I179&gt;0,J179-L179,0))</f>
        <v>0</v>
      </c>
      <c r="O179" s="37" t="n">
        <f aca="false">IF($A179&gt;=Premissas!$C$27,Premissas!$C$39*IF(((YEAR($A179)-YEAR(Premissas!$C$27))*12+MONTH($A179)-MONTH(Premissas!$C$27))&lt;Premissas!$C$41,Premissas!$C$42,1),0)</f>
        <v>0.62</v>
      </c>
      <c r="P179" s="16" t="n">
        <f aca="false">O179*Premissas!$C$38*Premissas!$C$40*(1+Premissas!$C$60)^((YEAR($A179)-YEAR(Premissas!$C$19))*12+MONTH($A179)-MONTH(Premissas!$C$19))</f>
        <v>7554.82136910875</v>
      </c>
      <c r="Q179" s="16" t="n">
        <f aca="false">P179*Premissas!$C$43</f>
        <v>1208.7714190574</v>
      </c>
      <c r="R179" s="16" t="n">
        <f aca="false">P179*Premissas!$C$44</f>
        <v>1510.96427382175</v>
      </c>
      <c r="S179" s="16" t="n">
        <f aca="false">IF($A179&gt;=Premissas!$C$25,Premissas!$C$45*(1+Premissas!$C$60)^((YEAR($A179)-YEAR(Premissas!$C$19))*12+MONTH($A179)-MONTH(Premissas!$C$19)),0)</f>
        <v>1324.47779963337</v>
      </c>
      <c r="T179" s="16" t="n">
        <f aca="false">IF($A179&gt;=Premissas!$C$27,Premissas!$C$46*(1+Premissas!$C$60)^((YEAR($A179)-YEAR(Premissas!$C$19))*12+MONTH($A179)-MONTH(Premissas!$C$19)),0)</f>
        <v>529.791119853348</v>
      </c>
      <c r="U179" s="16" t="n">
        <f aca="false">IF($A179&gt;=Premissas!$C$27,Premissas!$C$47*(1+Premissas!$C$60)^((YEAR($A179)-YEAR(Premissas!$C$19))*12+MONTH($A179)-MONTH(Premissas!$C$19)),0)</f>
        <v>264.895559926674</v>
      </c>
      <c r="V179" s="16" t="n">
        <f aca="false">IF($A179&gt;=Premissas!$C$27,MAX(0,P179-Q179-R179-S179)*Premissas!$C$49,0)</f>
        <v>965.417166063963</v>
      </c>
      <c r="W179" s="16" t="n">
        <f aca="false">P179-Q179-R179-S179-T179-U179-V179</f>
        <v>1750.50403075224</v>
      </c>
      <c r="X179" s="16" t="n">
        <f aca="false">W179-F179-G179-H179-M179</f>
        <v>1750.50403075224</v>
      </c>
      <c r="Y179" s="16" t="n">
        <f aca="false">Y178+X179</f>
        <v>-685089.979872395</v>
      </c>
      <c r="Z179" s="16" t="n">
        <f aca="false">Premissas!$C$14*(1+Premissas!$C$57)^((YEAR(Premissas!$C$19)-YEAR(Premissas!$C$18))*12+MONTH(Premissas!$C$19)-MONTH(Premissas!$C$18))*(1+Premissas!$C$61)^((YEAR($A179)-YEAR(Premissas!$C$19))*12+MONTH($A179)-MONTH(Premissas!$C$19))</f>
        <v>970223.278230707</v>
      </c>
      <c r="AA179" s="16" t="n">
        <f aca="false">IF($A179&gt;=Premissas!$C$25,Z179*(1-Premissas!$C$53)-N179-Premissas!$C$54*MAX(0,Z179*(1-Premissas!$C$53)-(Premissas!$C$14*(1+Premissas!$C$57)^((YEAR(Premissas!$C$25)-YEAR(Premissas!$C$18))*12+MONTH(Premissas!$C$25)-MONTH(Premissas!$C$18))*(1+Premissas!$C$34))),"")</f>
        <v>856410.608818</v>
      </c>
      <c r="AB179" s="16" t="n">
        <f aca="false">IF($A179&gt;=Premissas!$C$25,Y179+AA179,"")</f>
        <v>171320.628945605</v>
      </c>
      <c r="AC179" s="20" t="n">
        <f aca="false">IF(AND($A179&gt;=Premissas!$C$27,W179&gt;=M179),$A179,"")</f>
        <v>51683</v>
      </c>
      <c r="AD179" s="20" t="str">
        <f aca="false">IF(AND($A179&gt;=Premissas!$C$27,Y179&gt;=0),$A179,"")</f>
        <v/>
      </c>
      <c r="AE179" s="20" t="n">
        <f aca="false">IF(AND($A179&gt;=Premissas!$C$25,N(AB179)&gt;=0),$A179,"")</f>
        <v>51683</v>
      </c>
    </row>
    <row r="180" customFormat="false" ht="15" hidden="false" customHeight="false" outlineLevel="0" collapsed="false">
      <c r="A180" s="20" t="n">
        <f aca="false">DATE(YEAR(A179),MONTH(A179)+1,1)</f>
        <v>51714</v>
      </c>
      <c r="B180" s="5" t="str">
        <f aca="false">IF($A180&lt;Premissas!$C$25,"Obra",IF($A180=Premissas!$C$25,"Chaves",IF($A180&lt;Premissas!$C$27,"Mobiliando","Airbnb")))</f>
        <v>Airbnb</v>
      </c>
      <c r="C180" s="35" t="n">
        <f aca="false">(YEAR($A180)-YEAR(Premissas!$C$18))*12+MONTH($A180)-MONTH(Premissas!$C$18)</f>
        <v>179</v>
      </c>
      <c r="D180" s="16" t="n">
        <f aca="false">($A180=Premissas!$C$19)*Premissas!$C$8+(($A180=EDATE(Premissas!$C$19,1))+($A180=EDATE(Premissas!$C$19,2)))*Premissas!$C$9+AND($A180&gt;=Premissas!$C$20,$A180&lt;EDATE(Premissas!$C$20,Premissas!$C$21))*Premissas!$C$10+(($A180=Premissas!$C$22)+($A180=Premissas!$C$23)+($A180=Premissas!$C$24))*Premissas!$C$11+($A180=Premissas!$C$25)*Premissas!$C$12</f>
        <v>0</v>
      </c>
      <c r="E180" s="36" t="n">
        <f aca="false">(1+Premissas!$C$57)^C180</f>
        <v>2.22253797159728</v>
      </c>
      <c r="F180" s="16" t="n">
        <f aca="false">D180*E180</f>
        <v>0</v>
      </c>
      <c r="G180" s="16" t="n">
        <f aca="false">($A180=Premissas!$C$25)*Premissas!$C$34*Premissas!$C$14*(1+Premissas!$C$57)^C180</f>
        <v>0</v>
      </c>
      <c r="H180" s="16" t="n">
        <f aca="false">IF(AND($A180&gt;Premissas!$C$25,$A180&lt;Premissas!$C$27),Premissas!$C$35/MAX(1,Premissas!$C$26),0)</f>
        <v>0</v>
      </c>
      <c r="I180" s="35" t="n">
        <f aca="false">IF(AND($A180&gt;Premissas!$C$25,((YEAR($A180)-YEAR(Premissas!$C$25))*12+MONTH($A180)-MONTH(Premissas!$C$25))&lt;=Premissas!$C$32),((YEAR($A180)-YEAR(Premissas!$C$25))*12+MONTH($A180)-MONTH(Premissas!$C$25)),0)</f>
        <v>0</v>
      </c>
      <c r="J180" s="16" t="n">
        <f aca="false">IF(I180&gt;0,N179*(1+Premissas!$C$59),0)</f>
        <v>0</v>
      </c>
      <c r="K180" s="16" t="n">
        <f aca="false">J180*Premissas!$C$58</f>
        <v>0</v>
      </c>
      <c r="L180" s="16" t="n">
        <f aca="false">IF(I180&gt;0,J180/(Premissas!$C$32-I180+1),0)</f>
        <v>0</v>
      </c>
      <c r="M180" s="16" t="n">
        <f aca="false">K180+L180</f>
        <v>0</v>
      </c>
      <c r="N180" s="16" t="n">
        <f aca="false">IF($A180=Premissas!$C$25,Premissas!$C$13*E180,IF(I180&gt;0,J180-L180,0))</f>
        <v>0</v>
      </c>
      <c r="O180" s="37" t="n">
        <f aca="false">IF($A180&gt;=Premissas!$C$27,Premissas!$C$39*IF(((YEAR($A180)-YEAR(Premissas!$C$27))*12+MONTH($A180)-MONTH(Premissas!$C$27))&lt;Premissas!$C$41,Premissas!$C$42,1),0)</f>
        <v>0.62</v>
      </c>
      <c r="P180" s="16" t="n">
        <f aca="false">O180*Premissas!$C$38*Premissas!$C$40*(1+Premissas!$C$60)^((YEAR($A180)-YEAR(Premissas!$C$19))*12+MONTH($A180)-MONTH(Premissas!$C$19))</f>
        <v>7579.55388837221</v>
      </c>
      <c r="Q180" s="16" t="n">
        <f aca="false">P180*Premissas!$C$43</f>
        <v>1212.72862213955</v>
      </c>
      <c r="R180" s="16" t="n">
        <f aca="false">P180*Premissas!$C$44</f>
        <v>1515.91077767444</v>
      </c>
      <c r="S180" s="16" t="n">
        <f aca="false">IF($A180&gt;=Premissas!$C$25,Premissas!$C$45*(1+Premissas!$C$60)^((YEAR($A180)-YEAR(Premissas!$C$19))*12+MONTH($A180)-MONTH(Premissas!$C$19)),0)</f>
        <v>1328.81379529667</v>
      </c>
      <c r="T180" s="16" t="n">
        <f aca="false">IF($A180&gt;=Premissas!$C$27,Premissas!$C$46*(1+Premissas!$C$60)^((YEAR($A180)-YEAR(Premissas!$C$19))*12+MONTH($A180)-MONTH(Premissas!$C$19)),0)</f>
        <v>531.525518118668</v>
      </c>
      <c r="U180" s="16" t="n">
        <f aca="false">IF($A180&gt;=Premissas!$C$27,Premissas!$C$47*(1+Premissas!$C$60)^((YEAR($A180)-YEAR(Premissas!$C$19))*12+MONTH($A180)-MONTH(Premissas!$C$19)),0)</f>
        <v>265.762759059334</v>
      </c>
      <c r="V180" s="16" t="n">
        <f aca="false">IF($A180&gt;=Premissas!$C$27,MAX(0,P180-Q180-R180-S180)*Premissas!$C$49,0)</f>
        <v>968.577690646924</v>
      </c>
      <c r="W180" s="16" t="n">
        <f aca="false">P180-Q180-R180-S180-T180-U180-V180</f>
        <v>1756.23472543661</v>
      </c>
      <c r="X180" s="16" t="n">
        <f aca="false">W180-F180-G180-H180-M180</f>
        <v>1756.23472543661</v>
      </c>
      <c r="Y180" s="16" t="n">
        <f aca="false">Y179+X180</f>
        <v>-683333.745146959</v>
      </c>
      <c r="Z180" s="16" t="n">
        <f aca="false">Premissas!$C$14*(1+Premissas!$C$57)^((YEAR(Premissas!$C$19)-YEAR(Premissas!$C$18))*12+MONTH(Premissas!$C$19)-MONTH(Premissas!$C$18))*(1+Premissas!$C$61)^((YEAR($A180)-YEAR(Premissas!$C$19))*12+MONTH($A180)-MONTH(Premissas!$C$19))</f>
        <v>974176.087963996</v>
      </c>
      <c r="AA180" s="16" t="n">
        <f aca="false">IF($A180&gt;=Premissas!$C$25,Z180*(1-Premissas!$C$53)-N180-Premissas!$C$54*MAX(0,Z180*(1-Premissas!$C$53)-(Premissas!$C$14*(1+Premissas!$C$57)^((YEAR(Premissas!$C$25)-YEAR(Premissas!$C$18))*12+MONTH(Premissas!$C$25)-MONTH(Premissas!$C$18))*(1+Premissas!$C$34))),"")</f>
        <v>859568.903794898</v>
      </c>
      <c r="AB180" s="16" t="n">
        <f aca="false">IF($A180&gt;=Premissas!$C$25,Y180+AA180,"")</f>
        <v>176235.15864794</v>
      </c>
      <c r="AC180" s="20" t="n">
        <f aca="false">IF(AND($A180&gt;=Premissas!$C$27,W180&gt;=M180),$A180,"")</f>
        <v>51714</v>
      </c>
      <c r="AD180" s="20" t="str">
        <f aca="false">IF(AND($A180&gt;=Premissas!$C$27,Y180&gt;=0),$A180,"")</f>
        <v/>
      </c>
      <c r="AE180" s="20" t="n">
        <f aca="false">IF(AND($A180&gt;=Premissas!$C$25,N(AB180)&gt;=0),$A180,"")</f>
        <v>51714</v>
      </c>
    </row>
    <row r="181" customFormat="false" ht="15" hidden="false" customHeight="false" outlineLevel="0" collapsed="false">
      <c r="A181" s="20" t="n">
        <f aca="false">DATE(YEAR(A180),MONTH(A180)+1,1)</f>
        <v>51745</v>
      </c>
      <c r="B181" s="5" t="str">
        <f aca="false">IF($A181&lt;Premissas!$C$25,"Obra",IF($A181=Premissas!$C$25,"Chaves",IF($A181&lt;Premissas!$C$27,"Mobiliando","Airbnb")))</f>
        <v>Airbnb</v>
      </c>
      <c r="C181" s="35" t="n">
        <f aca="false">(YEAR($A181)-YEAR(Premissas!$C$18))*12+MONTH($A181)-MONTH(Premissas!$C$18)</f>
        <v>180</v>
      </c>
      <c r="D181" s="16" t="n">
        <f aca="false">($A181=Premissas!$C$19)*Premissas!$C$8+(($A181=EDATE(Premissas!$C$19,1))+($A181=EDATE(Premissas!$C$19,2)))*Premissas!$C$9+AND($A181&gt;=Premissas!$C$20,$A181&lt;EDATE(Premissas!$C$20,Premissas!$C$21))*Premissas!$C$10+(($A181=Premissas!$C$22)+($A181=Premissas!$C$23)+($A181=Premissas!$C$24))*Premissas!$C$11+($A181=Premissas!$C$25)*Premissas!$C$12</f>
        <v>0</v>
      </c>
      <c r="E181" s="36" t="n">
        <f aca="false">(1+Premissas!$C$57)^C181</f>
        <v>2.23247649223795</v>
      </c>
      <c r="F181" s="16" t="n">
        <f aca="false">D181*E181</f>
        <v>0</v>
      </c>
      <c r="G181" s="16" t="n">
        <f aca="false">($A181=Premissas!$C$25)*Premissas!$C$34*Premissas!$C$14*(1+Premissas!$C$57)^C181</f>
        <v>0</v>
      </c>
      <c r="H181" s="16" t="n">
        <f aca="false">IF(AND($A181&gt;Premissas!$C$25,$A181&lt;Premissas!$C$27),Premissas!$C$35/MAX(1,Premissas!$C$26),0)</f>
        <v>0</v>
      </c>
      <c r="I181" s="35" t="n">
        <f aca="false">IF(AND($A181&gt;Premissas!$C$25,((YEAR($A181)-YEAR(Premissas!$C$25))*12+MONTH($A181)-MONTH(Premissas!$C$25))&lt;=Premissas!$C$32),((YEAR($A181)-YEAR(Premissas!$C$25))*12+MONTH($A181)-MONTH(Premissas!$C$25)),0)</f>
        <v>0</v>
      </c>
      <c r="J181" s="16" t="n">
        <f aca="false">IF(I181&gt;0,N180*(1+Premissas!$C$59),0)</f>
        <v>0</v>
      </c>
      <c r="K181" s="16" t="n">
        <f aca="false">J181*Premissas!$C$58</f>
        <v>0</v>
      </c>
      <c r="L181" s="16" t="n">
        <f aca="false">IF(I181&gt;0,J181/(Premissas!$C$32-I181+1),0)</f>
        <v>0</v>
      </c>
      <c r="M181" s="16" t="n">
        <f aca="false">K181+L181</f>
        <v>0</v>
      </c>
      <c r="N181" s="16" t="n">
        <f aca="false">IF($A181=Premissas!$C$25,Premissas!$C$13*E181,IF(I181&gt;0,J181-L181,0))</f>
        <v>0</v>
      </c>
      <c r="O181" s="37" t="n">
        <f aca="false">IF($A181&gt;=Premissas!$C$27,Premissas!$C$39*IF(((YEAR($A181)-YEAR(Premissas!$C$27))*12+MONTH($A181)-MONTH(Premissas!$C$27))&lt;Premissas!$C$41,Premissas!$C$42,1),0)</f>
        <v>0.62</v>
      </c>
      <c r="P181" s="16" t="n">
        <f aca="false">O181*Premissas!$C$38*Premissas!$C$40*(1+Premissas!$C$60)^((YEAR($A181)-YEAR(Premissas!$C$19))*12+MONTH($A181)-MONTH(Premissas!$C$19))</f>
        <v>7604.36737546789</v>
      </c>
      <c r="Q181" s="16" t="n">
        <f aca="false">P181*Premissas!$C$43</f>
        <v>1216.69878007486</v>
      </c>
      <c r="R181" s="16" t="n">
        <f aca="false">P181*Premissas!$C$44</f>
        <v>1520.87347509358</v>
      </c>
      <c r="S181" s="16" t="n">
        <f aca="false">IF($A181&gt;=Premissas!$C$25,Premissas!$C$45*(1+Premissas!$C$60)^((YEAR($A181)-YEAR(Premissas!$C$19))*12+MONTH($A181)-MONTH(Premissas!$C$19)),0)</f>
        <v>1333.16398588147</v>
      </c>
      <c r="T181" s="16" t="n">
        <f aca="false">IF($A181&gt;=Premissas!$C$27,Premissas!$C$46*(1+Premissas!$C$60)^((YEAR($A181)-YEAR(Premissas!$C$19))*12+MONTH($A181)-MONTH(Premissas!$C$19)),0)</f>
        <v>533.265594352587</v>
      </c>
      <c r="U181" s="16" t="n">
        <f aca="false">IF($A181&gt;=Premissas!$C$27,Premissas!$C$47*(1+Premissas!$C$60)^((YEAR($A181)-YEAR(Premissas!$C$19))*12+MONTH($A181)-MONTH(Premissas!$C$19)),0)</f>
        <v>266.632797176294</v>
      </c>
      <c r="V181" s="16" t="n">
        <f aca="false">IF($A181&gt;=Premissas!$C$27,MAX(0,P181-Q181-R181-S181)*Premissas!$C$49,0)</f>
        <v>971.748561964945</v>
      </c>
      <c r="W181" s="16" t="n">
        <f aca="false">P181-Q181-R181-S181-T181-U181-V181</f>
        <v>1761.98418092416</v>
      </c>
      <c r="X181" s="16" t="n">
        <f aca="false">W181-F181-G181-H181-M181</f>
        <v>1761.98418092416</v>
      </c>
      <c r="Y181" s="16" t="n">
        <f aca="false">Y180+X181</f>
        <v>-681571.760966035</v>
      </c>
      <c r="Z181" s="16" t="n">
        <f aca="false">Premissas!$C$14*(1+Premissas!$C$57)^((YEAR(Premissas!$C$19)-YEAR(Premissas!$C$18))*12+MONTH(Premissas!$C$19)-MONTH(Premissas!$C$18))*(1+Premissas!$C$61)^((YEAR($A181)-YEAR(Premissas!$C$19))*12+MONTH($A181)-MONTH(Premissas!$C$19))</f>
        <v>978145.001933432</v>
      </c>
      <c r="AA181" s="16" t="n">
        <f aca="false">IF($A181&gt;=Premissas!$C$25,Z181*(1-Premissas!$C$53)-N181-Premissas!$C$54*MAX(0,Z181*(1-Premissas!$C$53)-(Premissas!$C$14*(1+Premissas!$C$57)^((YEAR(Premissas!$C$25)-YEAR(Premissas!$C$18))*12+MONTH(Premissas!$C$25)-MONTH(Premissas!$C$18))*(1+Premissas!$C$34))),"")</f>
        <v>862740.066056477</v>
      </c>
      <c r="AB181" s="16" t="n">
        <f aca="false">IF($A181&gt;=Premissas!$C$25,Y181+AA181,"")</f>
        <v>181168.305090443</v>
      </c>
      <c r="AC181" s="20" t="n">
        <f aca="false">IF(AND($A181&gt;=Premissas!$C$27,W181&gt;=M181),$A181,"")</f>
        <v>51745</v>
      </c>
      <c r="AD181" s="20" t="str">
        <f aca="false">IF(AND($A181&gt;=Premissas!$C$27,Y181&gt;=0),$A181,"")</f>
        <v/>
      </c>
      <c r="AE181" s="20" t="n">
        <f aca="false">IF(AND($A181&gt;=Premissas!$C$25,N(AB181)&gt;=0),$A181,"")</f>
        <v>51745</v>
      </c>
    </row>
    <row r="182" customFormat="false" ht="15" hidden="false" customHeight="false" outlineLevel="0" collapsed="false">
      <c r="A182" s="20" t="n">
        <f aca="false">DATE(YEAR(A181),MONTH(A181)+1,1)</f>
        <v>51775</v>
      </c>
      <c r="B182" s="5" t="str">
        <f aca="false">IF($A182&lt;Premissas!$C$25,"Obra",IF($A182=Premissas!$C$25,"Chaves",IF($A182&lt;Premissas!$C$27,"Mobiliando","Airbnb")))</f>
        <v>Airbnb</v>
      </c>
      <c r="C182" s="35" t="n">
        <f aca="false">(YEAR($A182)-YEAR(Premissas!$C$18))*12+MONTH($A182)-MONTH(Premissas!$C$18)</f>
        <v>181</v>
      </c>
      <c r="D182" s="16" t="n">
        <f aca="false">($A182=Premissas!$C$19)*Premissas!$C$8+(($A182=EDATE(Premissas!$C$19,1))+($A182=EDATE(Premissas!$C$19,2)))*Premissas!$C$9+AND($A182&gt;=Premissas!$C$20,$A182&lt;EDATE(Premissas!$C$20,Premissas!$C$21))*Premissas!$C$10+(($A182=Premissas!$C$22)+($A182=Premissas!$C$23)+($A182=Premissas!$C$24))*Premissas!$C$11+($A182=Premissas!$C$25)*Premissas!$C$12</f>
        <v>0</v>
      </c>
      <c r="E182" s="36" t="n">
        <f aca="false">(1+Premissas!$C$57)^C182</f>
        <v>2.24245945495062</v>
      </c>
      <c r="F182" s="16" t="n">
        <f aca="false">D182*E182</f>
        <v>0</v>
      </c>
      <c r="G182" s="16" t="n">
        <f aca="false">($A182=Premissas!$C$25)*Premissas!$C$34*Premissas!$C$14*(1+Premissas!$C$57)^C182</f>
        <v>0</v>
      </c>
      <c r="H182" s="16" t="n">
        <f aca="false">IF(AND($A182&gt;Premissas!$C$25,$A182&lt;Premissas!$C$27),Premissas!$C$35/MAX(1,Premissas!$C$26),0)</f>
        <v>0</v>
      </c>
      <c r="I182" s="35" t="n">
        <f aca="false">IF(AND($A182&gt;Premissas!$C$25,((YEAR($A182)-YEAR(Premissas!$C$25))*12+MONTH($A182)-MONTH(Premissas!$C$25))&lt;=Premissas!$C$32),((YEAR($A182)-YEAR(Premissas!$C$25))*12+MONTH($A182)-MONTH(Premissas!$C$25)),0)</f>
        <v>0</v>
      </c>
      <c r="J182" s="16" t="n">
        <f aca="false">IF(I182&gt;0,N181*(1+Premissas!$C$59),0)</f>
        <v>0</v>
      </c>
      <c r="K182" s="16" t="n">
        <f aca="false">J182*Premissas!$C$58</f>
        <v>0</v>
      </c>
      <c r="L182" s="16" t="n">
        <f aca="false">IF(I182&gt;0,J182/(Premissas!$C$32-I182+1),0)</f>
        <v>0</v>
      </c>
      <c r="M182" s="16" t="n">
        <f aca="false">K182+L182</f>
        <v>0</v>
      </c>
      <c r="N182" s="16" t="n">
        <f aca="false">IF($A182=Premissas!$C$25,Premissas!$C$13*E182,IF(I182&gt;0,J182-L182,0))</f>
        <v>0</v>
      </c>
      <c r="O182" s="37" t="n">
        <f aca="false">IF($A182&gt;=Premissas!$C$27,Premissas!$C$39*IF(((YEAR($A182)-YEAR(Premissas!$C$27))*12+MONTH($A182)-MONTH(Premissas!$C$27))&lt;Premissas!$C$41,Premissas!$C$42,1),0)</f>
        <v>0.62</v>
      </c>
      <c r="P182" s="16" t="n">
        <f aca="false">O182*Premissas!$C$38*Premissas!$C$40*(1+Premissas!$C$60)^((YEAR($A182)-YEAR(Premissas!$C$19))*12+MONTH($A182)-MONTH(Premissas!$C$19))</f>
        <v>7629.26209546342</v>
      </c>
      <c r="Q182" s="16" t="n">
        <f aca="false">P182*Premissas!$C$43</f>
        <v>1220.68193527415</v>
      </c>
      <c r="R182" s="16" t="n">
        <f aca="false">P182*Premissas!$C$44</f>
        <v>1525.85241909268</v>
      </c>
      <c r="S182" s="16" t="n">
        <f aca="false">IF($A182&gt;=Premissas!$C$25,Premissas!$C$45*(1+Premissas!$C$60)^((YEAR($A182)-YEAR(Premissas!$C$19))*12+MONTH($A182)-MONTH(Premissas!$C$19)),0)</f>
        <v>1337.52841785824</v>
      </c>
      <c r="T182" s="16" t="n">
        <f aca="false">IF($A182&gt;=Premissas!$C$27,Premissas!$C$46*(1+Premissas!$C$60)^((YEAR($A182)-YEAR(Premissas!$C$19))*12+MONTH($A182)-MONTH(Premissas!$C$19)),0)</f>
        <v>535.011367143297</v>
      </c>
      <c r="U182" s="16" t="n">
        <f aca="false">IF($A182&gt;=Premissas!$C$27,Premissas!$C$47*(1+Premissas!$C$60)^((YEAR($A182)-YEAR(Premissas!$C$19))*12+MONTH($A182)-MONTH(Premissas!$C$19)),0)</f>
        <v>267.505683571649</v>
      </c>
      <c r="V182" s="16" t="n">
        <f aca="false">IF($A182&gt;=Premissas!$C$27,MAX(0,P182-Q182-R182-S182)*Premissas!$C$49,0)</f>
        <v>974.929813890545</v>
      </c>
      <c r="W182" s="16" t="n">
        <f aca="false">P182-Q182-R182-S182-T182-U182-V182</f>
        <v>1767.75245863285</v>
      </c>
      <c r="X182" s="16" t="n">
        <f aca="false">W182-F182-G182-H182-M182</f>
        <v>1767.75245863285</v>
      </c>
      <c r="Y182" s="16" t="n">
        <f aca="false">Y181+X182</f>
        <v>-679804.008507402</v>
      </c>
      <c r="Z182" s="16" t="n">
        <f aca="false">Premissas!$C$14*(1+Premissas!$C$57)^((YEAR(Premissas!$C$19)-YEAR(Premissas!$C$18))*12+MONTH(Premissas!$C$19)-MONTH(Premissas!$C$18))*(1+Premissas!$C$61)^((YEAR($A182)-YEAR(Premissas!$C$19))*12+MONTH($A182)-MONTH(Premissas!$C$19))</f>
        <v>982130.085749666</v>
      </c>
      <c r="AA182" s="16" t="n">
        <f aca="false">IF($A182&gt;=Premissas!$C$25,Z182*(1-Premissas!$C$53)-N182-Premissas!$C$54*MAX(0,Z182*(1-Premissas!$C$53)-(Premissas!$C$14*(1+Premissas!$C$57)^((YEAR(Premissas!$C$25)-YEAR(Premissas!$C$18))*12+MONTH(Premissas!$C$25)-MONTH(Premissas!$C$18))*(1+Premissas!$C$34))),"")</f>
        <v>865924.148025648</v>
      </c>
      <c r="AB182" s="16" t="n">
        <f aca="false">IF($A182&gt;=Premissas!$C$25,Y182+AA182,"")</f>
        <v>186120.139518246</v>
      </c>
      <c r="AC182" s="20" t="n">
        <f aca="false">IF(AND($A182&gt;=Premissas!$C$27,W182&gt;=M182),$A182,"")</f>
        <v>51775</v>
      </c>
      <c r="AD182" s="20" t="str">
        <f aca="false">IF(AND($A182&gt;=Premissas!$C$27,Y182&gt;=0),$A182,"")</f>
        <v/>
      </c>
      <c r="AE182" s="20" t="n">
        <f aca="false">IF(AND($A182&gt;=Premissas!$C$25,N(AB182)&gt;=0),$A182,"")</f>
        <v>51775</v>
      </c>
    </row>
    <row r="183" customFormat="false" ht="15" hidden="false" customHeight="false" outlineLevel="0" collapsed="false">
      <c r="A183" s="20" t="n">
        <f aca="false">DATE(YEAR(A182),MONTH(A182)+1,1)</f>
        <v>51806</v>
      </c>
      <c r="B183" s="5" t="str">
        <f aca="false">IF($A183&lt;Premissas!$C$25,"Obra",IF($A183=Premissas!$C$25,"Chaves",IF($A183&lt;Premissas!$C$27,"Mobiliando","Airbnb")))</f>
        <v>Airbnb</v>
      </c>
      <c r="C183" s="35" t="n">
        <f aca="false">(YEAR($A183)-YEAR(Premissas!$C$18))*12+MONTH($A183)-MONTH(Premissas!$C$18)</f>
        <v>182</v>
      </c>
      <c r="D183" s="16" t="n">
        <f aca="false">($A183=Premissas!$C$19)*Premissas!$C$8+(($A183=EDATE(Premissas!$C$19,1))+($A183=EDATE(Premissas!$C$19,2)))*Premissas!$C$9+AND($A183&gt;=Premissas!$C$20,$A183&lt;EDATE(Premissas!$C$20,Premissas!$C$21))*Premissas!$C$10+(($A183=Premissas!$C$22)+($A183=Premissas!$C$23)+($A183=Premissas!$C$24))*Premissas!$C$11+($A183=Premissas!$C$25)*Premissas!$C$12</f>
        <v>0</v>
      </c>
      <c r="E183" s="36" t="n">
        <f aca="false">(1+Premissas!$C$57)^C183</f>
        <v>2.25248705846683</v>
      </c>
      <c r="F183" s="16" t="n">
        <f aca="false">D183*E183</f>
        <v>0</v>
      </c>
      <c r="G183" s="16" t="n">
        <f aca="false">($A183=Premissas!$C$25)*Premissas!$C$34*Premissas!$C$14*(1+Premissas!$C$57)^C183</f>
        <v>0</v>
      </c>
      <c r="H183" s="16" t="n">
        <f aca="false">IF(AND($A183&gt;Premissas!$C$25,$A183&lt;Premissas!$C$27),Premissas!$C$35/MAX(1,Premissas!$C$26),0)</f>
        <v>0</v>
      </c>
      <c r="I183" s="35" t="n">
        <f aca="false">IF(AND($A183&gt;Premissas!$C$25,((YEAR($A183)-YEAR(Premissas!$C$25))*12+MONTH($A183)-MONTH(Premissas!$C$25))&lt;=Premissas!$C$32),((YEAR($A183)-YEAR(Premissas!$C$25))*12+MONTH($A183)-MONTH(Premissas!$C$25)),0)</f>
        <v>0</v>
      </c>
      <c r="J183" s="16" t="n">
        <f aca="false">IF(I183&gt;0,N182*(1+Premissas!$C$59),0)</f>
        <v>0</v>
      </c>
      <c r="K183" s="16" t="n">
        <f aca="false">J183*Premissas!$C$58</f>
        <v>0</v>
      </c>
      <c r="L183" s="16" t="n">
        <f aca="false">IF(I183&gt;0,J183/(Premissas!$C$32-I183+1),0)</f>
        <v>0</v>
      </c>
      <c r="M183" s="16" t="n">
        <f aca="false">K183+L183</f>
        <v>0</v>
      </c>
      <c r="N183" s="16" t="n">
        <f aca="false">IF($A183=Premissas!$C$25,Premissas!$C$13*E183,IF(I183&gt;0,J183-L183,0))</f>
        <v>0</v>
      </c>
      <c r="O183" s="37" t="n">
        <f aca="false">IF($A183&gt;=Premissas!$C$27,Premissas!$C$39*IF(((YEAR($A183)-YEAR(Premissas!$C$27))*12+MONTH($A183)-MONTH(Premissas!$C$27))&lt;Premissas!$C$41,Premissas!$C$42,1),0)</f>
        <v>0.62</v>
      </c>
      <c r="P183" s="16" t="n">
        <f aca="false">O183*Premissas!$C$38*Premissas!$C$40*(1+Premissas!$C$60)^((YEAR($A183)-YEAR(Premissas!$C$19))*12+MONTH($A183)-MONTH(Premissas!$C$19))</f>
        <v>7654.23831429416</v>
      </c>
      <c r="Q183" s="16" t="n">
        <f aca="false">P183*Premissas!$C$43</f>
        <v>1224.67813028707</v>
      </c>
      <c r="R183" s="16" t="n">
        <f aca="false">P183*Premissas!$C$44</f>
        <v>1530.84766285883</v>
      </c>
      <c r="S183" s="16" t="n">
        <f aca="false">IF($A183&gt;=Premissas!$C$25,Premissas!$C$45*(1+Premissas!$C$60)^((YEAR($A183)-YEAR(Premissas!$C$19))*12+MONTH($A183)-MONTH(Premissas!$C$19)),0)</f>
        <v>1341.90713784961</v>
      </c>
      <c r="T183" s="16" t="n">
        <f aca="false">IF($A183&gt;=Premissas!$C$27,Premissas!$C$46*(1+Premissas!$C$60)^((YEAR($A183)-YEAR(Premissas!$C$19))*12+MONTH($A183)-MONTH(Premissas!$C$19)),0)</f>
        <v>536.762855139843</v>
      </c>
      <c r="U183" s="16" t="n">
        <f aca="false">IF($A183&gt;=Premissas!$C$27,Premissas!$C$47*(1+Premissas!$C$60)^((YEAR($A183)-YEAR(Premissas!$C$19))*12+MONTH($A183)-MONTH(Premissas!$C$19)),0)</f>
        <v>268.381427569921</v>
      </c>
      <c r="V183" s="16" t="n">
        <f aca="false">IF($A183&gt;=Premissas!$C$27,MAX(0,P183-Q183-R183-S183)*Premissas!$C$49,0)</f>
        <v>978.12148040713</v>
      </c>
      <c r="W183" s="16" t="n">
        <f aca="false">P183-Q183-R183-S183-T183-U183-V183</f>
        <v>1773.53962018176</v>
      </c>
      <c r="X183" s="16" t="n">
        <f aca="false">W183-F183-G183-H183-M183</f>
        <v>1773.53962018176</v>
      </c>
      <c r="Y183" s="16" t="n">
        <f aca="false">Y182+X183</f>
        <v>-678030.46888722</v>
      </c>
      <c r="Z183" s="16" t="n">
        <f aca="false">Premissas!$C$14*(1+Premissas!$C$57)^((YEAR(Premissas!$C$19)-YEAR(Premissas!$C$18))*12+MONTH(Premissas!$C$19)-MONTH(Premissas!$C$18))*(1+Premissas!$C$61)^((YEAR($A183)-YEAR(Premissas!$C$19))*12+MONTH($A183)-MONTH(Premissas!$C$19))</f>
        <v>986131.405290655</v>
      </c>
      <c r="AA183" s="16" t="n">
        <f aca="false">IF($A183&gt;=Premissas!$C$25,Z183*(1-Premissas!$C$53)-N183-Premissas!$C$54*MAX(0,Z183*(1-Premissas!$C$53)-(Premissas!$C$14*(1+Premissas!$C$57)^((YEAR(Premissas!$C$25)-YEAR(Premissas!$C$18))*12+MONTH(Premissas!$C$25)-MONTH(Premissas!$C$18))*(1+Premissas!$C$34))),"")</f>
        <v>869121.202338898</v>
      </c>
      <c r="AB183" s="16" t="n">
        <f aca="false">IF($A183&gt;=Premissas!$C$25,Y183+AA183,"")</f>
        <v>191090.733451678</v>
      </c>
      <c r="AC183" s="20" t="n">
        <f aca="false">IF(AND($A183&gt;=Premissas!$C$27,W183&gt;=M183),$A183,"")</f>
        <v>51806</v>
      </c>
      <c r="AD183" s="20" t="str">
        <f aca="false">IF(AND($A183&gt;=Premissas!$C$27,Y183&gt;=0),$A183,"")</f>
        <v/>
      </c>
      <c r="AE183" s="20" t="n">
        <f aca="false">IF(AND($A183&gt;=Premissas!$C$25,N(AB183)&gt;=0),$A183,"")</f>
        <v>51806</v>
      </c>
    </row>
    <row r="184" customFormat="false" ht="15" hidden="false" customHeight="false" outlineLevel="0" collapsed="false">
      <c r="A184" s="20" t="n">
        <f aca="false">DATE(YEAR(A183),MONTH(A183)+1,1)</f>
        <v>51836</v>
      </c>
      <c r="B184" s="5" t="str">
        <f aca="false">IF($A184&lt;Premissas!$C$25,"Obra",IF($A184=Premissas!$C$25,"Chaves",IF($A184&lt;Premissas!$C$27,"Mobiliando","Airbnb")))</f>
        <v>Airbnb</v>
      </c>
      <c r="C184" s="35" t="n">
        <f aca="false">(YEAR($A184)-YEAR(Premissas!$C$18))*12+MONTH($A184)-MONTH(Premissas!$C$18)</f>
        <v>183</v>
      </c>
      <c r="D184" s="16" t="n">
        <f aca="false">($A184=Premissas!$C$19)*Premissas!$C$8+(($A184=EDATE(Premissas!$C$19,1))+($A184=EDATE(Premissas!$C$19,2)))*Premissas!$C$9+AND($A184&gt;=Premissas!$C$20,$A184&lt;EDATE(Premissas!$C$20,Premissas!$C$21))*Premissas!$C$10+(($A184=Premissas!$C$22)+($A184=Premissas!$C$23)+($A184=Premissas!$C$24))*Premissas!$C$11+($A184=Premissas!$C$25)*Premissas!$C$12</f>
        <v>0</v>
      </c>
      <c r="E184" s="36" t="n">
        <f aca="false">(1+Premissas!$C$57)^C184</f>
        <v>2.26255950240683</v>
      </c>
      <c r="F184" s="16" t="n">
        <f aca="false">D184*E184</f>
        <v>0</v>
      </c>
      <c r="G184" s="16" t="n">
        <f aca="false">($A184=Premissas!$C$25)*Premissas!$C$34*Premissas!$C$14*(1+Premissas!$C$57)^C184</f>
        <v>0</v>
      </c>
      <c r="H184" s="16" t="n">
        <f aca="false">IF(AND($A184&gt;Premissas!$C$25,$A184&lt;Premissas!$C$27),Premissas!$C$35/MAX(1,Premissas!$C$26),0)</f>
        <v>0</v>
      </c>
      <c r="I184" s="35" t="n">
        <f aca="false">IF(AND($A184&gt;Premissas!$C$25,((YEAR($A184)-YEAR(Premissas!$C$25))*12+MONTH($A184)-MONTH(Premissas!$C$25))&lt;=Premissas!$C$32),((YEAR($A184)-YEAR(Premissas!$C$25))*12+MONTH($A184)-MONTH(Premissas!$C$25)),0)</f>
        <v>0</v>
      </c>
      <c r="J184" s="16" t="n">
        <f aca="false">IF(I184&gt;0,N183*(1+Premissas!$C$59),0)</f>
        <v>0</v>
      </c>
      <c r="K184" s="16" t="n">
        <f aca="false">J184*Premissas!$C$58</f>
        <v>0</v>
      </c>
      <c r="L184" s="16" t="n">
        <f aca="false">IF(I184&gt;0,J184/(Premissas!$C$32-I184+1),0)</f>
        <v>0</v>
      </c>
      <c r="M184" s="16" t="n">
        <f aca="false">K184+L184</f>
        <v>0</v>
      </c>
      <c r="N184" s="16" t="n">
        <f aca="false">IF($A184=Premissas!$C$25,Premissas!$C$13*E184,IF(I184&gt;0,J184-L184,0))</f>
        <v>0</v>
      </c>
      <c r="O184" s="37" t="n">
        <f aca="false">IF($A184&gt;=Premissas!$C$27,Premissas!$C$39*IF(((YEAR($A184)-YEAR(Premissas!$C$27))*12+MONTH($A184)-MONTH(Premissas!$C$27))&lt;Premissas!$C$41,Premissas!$C$42,1),0)</f>
        <v>0.62</v>
      </c>
      <c r="P184" s="16" t="n">
        <f aca="false">O184*Premissas!$C$38*Premissas!$C$40*(1+Premissas!$C$60)^((YEAR($A184)-YEAR(Premissas!$C$19))*12+MONTH($A184)-MONTH(Premissas!$C$19))</f>
        <v>7679.29629876609</v>
      </c>
      <c r="Q184" s="16" t="n">
        <f aca="false">P184*Premissas!$C$43</f>
        <v>1228.68740780257</v>
      </c>
      <c r="R184" s="16" t="n">
        <f aca="false">P184*Premissas!$C$44</f>
        <v>1535.85925975322</v>
      </c>
      <c r="S184" s="16" t="n">
        <f aca="false">IF($A184&gt;=Premissas!$C$25,Premissas!$C$45*(1+Premissas!$C$60)^((YEAR($A184)-YEAR(Premissas!$C$19))*12+MONTH($A184)-MONTH(Premissas!$C$19)),0)</f>
        <v>1346.3001926308</v>
      </c>
      <c r="T184" s="16" t="n">
        <f aca="false">IF($A184&gt;=Premissas!$C$27,Premissas!$C$46*(1+Premissas!$C$60)^((YEAR($A184)-YEAR(Premissas!$C$19))*12+MONTH($A184)-MONTH(Premissas!$C$19)),0)</f>
        <v>538.520077052321</v>
      </c>
      <c r="U184" s="16" t="n">
        <f aca="false">IF($A184&gt;=Premissas!$C$27,Premissas!$C$47*(1+Premissas!$C$60)^((YEAR($A184)-YEAR(Premissas!$C$19))*12+MONTH($A184)-MONTH(Premissas!$C$19)),0)</f>
        <v>269.26003852616</v>
      </c>
      <c r="V184" s="16" t="n">
        <f aca="false">IF($A184&gt;=Premissas!$C$27,MAX(0,P184-Q184-R184-S184)*Premissas!$C$49,0)</f>
        <v>981.323595609362</v>
      </c>
      <c r="W184" s="16" t="n">
        <f aca="false">P184-Q184-R184-S184-T184-U184-V184</f>
        <v>1779.34572739165</v>
      </c>
      <c r="X184" s="16" t="n">
        <f aca="false">W184-F184-G184-H184-M184</f>
        <v>1779.34572739165</v>
      </c>
      <c r="Y184" s="16" t="n">
        <f aca="false">Y183+X184</f>
        <v>-676251.123159828</v>
      </c>
      <c r="Z184" s="16" t="n">
        <f aca="false">Premissas!$C$14*(1+Premissas!$C$57)^((YEAR(Premissas!$C$19)-YEAR(Premissas!$C$18))*12+MONTH(Premissas!$C$19)-MONTH(Premissas!$C$18))*(1+Premissas!$C$61)^((YEAR($A184)-YEAR(Premissas!$C$19))*12+MONTH($A184)-MONTH(Premissas!$C$19))</f>
        <v>990149.026702752</v>
      </c>
      <c r="AA184" s="16" t="n">
        <f aca="false">IF($A184&gt;=Premissas!$C$25,Z184*(1-Premissas!$C$53)-N184-Premissas!$C$54*MAX(0,Z184*(1-Premissas!$C$53)-(Premissas!$C$14*(1+Premissas!$C$57)^((YEAR(Premissas!$C$25)-YEAR(Premissas!$C$18))*12+MONTH(Premissas!$C$25)-MONTH(Premissas!$C$18))*(1+Premissas!$C$34))),"")</f>
        <v>872331.281847164</v>
      </c>
      <c r="AB184" s="16" t="n">
        <f aca="false">IF($A184&gt;=Premissas!$C$25,Y184+AA184,"")</f>
        <v>196080.158687336</v>
      </c>
      <c r="AC184" s="20" t="n">
        <f aca="false">IF(AND($A184&gt;=Premissas!$C$27,W184&gt;=M184),$A184,"")</f>
        <v>51836</v>
      </c>
      <c r="AD184" s="20" t="str">
        <f aca="false">IF(AND($A184&gt;=Premissas!$C$27,Y184&gt;=0),$A184,"")</f>
        <v/>
      </c>
      <c r="AE184" s="20" t="n">
        <f aca="false">IF(AND($A184&gt;=Premissas!$C$25,N(AB184)&gt;=0),$A184,"")</f>
        <v>51836</v>
      </c>
    </row>
    <row r="185" customFormat="false" ht="15" hidden="false" customHeight="false" outlineLevel="0" collapsed="false">
      <c r="A185" s="29" t="n">
        <f aca="false">DATE(YEAR(A184),MONTH(A184)+1,1)</f>
        <v>51867</v>
      </c>
      <c r="B185" s="30" t="str">
        <f aca="false">IF($A185&lt;Premissas!$C$25,"Obra",IF($A185=Premissas!$C$25,"Chaves",IF($A185&lt;Premissas!$C$27,"Mobiliando","Airbnb")))</f>
        <v>Airbnb</v>
      </c>
      <c r="C185" s="31" t="n">
        <f aca="false">(YEAR($A185)-YEAR(Premissas!$C$18))*12+MONTH($A185)-MONTH(Premissas!$C$18)</f>
        <v>184</v>
      </c>
      <c r="D185" s="32" t="n">
        <f aca="false">($A185=Premissas!$C$19)*Premissas!$C$8+(($A185=EDATE(Premissas!$C$19,1))+($A185=EDATE(Premissas!$C$19,2)))*Premissas!$C$9+AND($A185&gt;=Premissas!$C$20,$A185&lt;EDATE(Premissas!$C$20,Premissas!$C$21))*Premissas!$C$10+(($A185=Premissas!$C$22)+($A185=Premissas!$C$23)+($A185=Premissas!$C$24))*Premissas!$C$11+($A185=Premissas!$C$25)*Premissas!$C$12</f>
        <v>0</v>
      </c>
      <c r="E185" s="33" t="n">
        <f aca="false">(1+Premissas!$C$57)^C185</f>
        <v>2.27267698728349</v>
      </c>
      <c r="F185" s="32" t="n">
        <f aca="false">D185*E185</f>
        <v>0</v>
      </c>
      <c r="G185" s="32" t="n">
        <f aca="false">($A185=Premissas!$C$25)*Premissas!$C$34*Premissas!$C$14*(1+Premissas!$C$57)^C185</f>
        <v>0</v>
      </c>
      <c r="H185" s="32" t="n">
        <f aca="false">IF(AND($A185&gt;Premissas!$C$25,$A185&lt;Premissas!$C$27),Premissas!$C$35/MAX(1,Premissas!$C$26),0)</f>
        <v>0</v>
      </c>
      <c r="I185" s="31" t="n">
        <f aca="false">IF(AND($A185&gt;Premissas!$C$25,((YEAR($A185)-YEAR(Premissas!$C$25))*12+MONTH($A185)-MONTH(Premissas!$C$25))&lt;=Premissas!$C$32),((YEAR($A185)-YEAR(Premissas!$C$25))*12+MONTH($A185)-MONTH(Premissas!$C$25)),0)</f>
        <v>0</v>
      </c>
      <c r="J185" s="32" t="n">
        <f aca="false">IF(I185&gt;0,N184*(1+Premissas!$C$59),0)</f>
        <v>0</v>
      </c>
      <c r="K185" s="32" t="n">
        <f aca="false">J185*Premissas!$C$58</f>
        <v>0</v>
      </c>
      <c r="L185" s="32" t="n">
        <f aca="false">IF(I185&gt;0,J185/(Premissas!$C$32-I185+1),0)</f>
        <v>0</v>
      </c>
      <c r="M185" s="32" t="n">
        <f aca="false">K185+L185</f>
        <v>0</v>
      </c>
      <c r="N185" s="32" t="n">
        <f aca="false">IF($A185=Premissas!$C$25,Premissas!$C$13*E185,IF(I185&gt;0,J185-L185,0))</f>
        <v>0</v>
      </c>
      <c r="O185" s="34" t="n">
        <f aca="false">IF($A185&gt;=Premissas!$C$27,Premissas!$C$39*IF(((YEAR($A185)-YEAR(Premissas!$C$27))*12+MONTH($A185)-MONTH(Premissas!$C$27))&lt;Premissas!$C$41,Premissas!$C$42,1),0)</f>
        <v>0.62</v>
      </c>
      <c r="P185" s="32" t="n">
        <f aca="false">O185*Premissas!$C$38*Premissas!$C$40*(1+Premissas!$C$60)^((YEAR($A185)-YEAR(Premissas!$C$19))*12+MONTH($A185)-MONTH(Premissas!$C$19))</f>
        <v>7704.43631655866</v>
      </c>
      <c r="Q185" s="32" t="n">
        <f aca="false">P185*Premissas!$C$43</f>
        <v>1232.70981064939</v>
      </c>
      <c r="R185" s="32" t="n">
        <f aca="false">P185*Premissas!$C$44</f>
        <v>1540.88726331173</v>
      </c>
      <c r="S185" s="32" t="n">
        <f aca="false">IF($A185&gt;=Premissas!$C$25,Premissas!$C$45*(1+Premissas!$C$60)^((YEAR($A185)-YEAR(Premissas!$C$19))*12+MONTH($A185)-MONTH(Premissas!$C$19)),0)</f>
        <v>1350.7076291302</v>
      </c>
      <c r="T185" s="32" t="n">
        <f aca="false">IF($A185&gt;=Premissas!$C$27,Premissas!$C$46*(1+Premissas!$C$60)^((YEAR($A185)-YEAR(Premissas!$C$19))*12+MONTH($A185)-MONTH(Premissas!$C$19)),0)</f>
        <v>540.28305165208</v>
      </c>
      <c r="U185" s="32" t="n">
        <f aca="false">IF($A185&gt;=Premissas!$C$27,Premissas!$C$47*(1+Premissas!$C$60)^((YEAR($A185)-YEAR(Premissas!$C$19))*12+MONTH($A185)-MONTH(Premissas!$C$19)),0)</f>
        <v>270.14152582604</v>
      </c>
      <c r="V185" s="32" t="n">
        <f aca="false">IF($A185&gt;=Premissas!$C$27,MAX(0,P185-Q185-R185-S185)*Premissas!$C$49,0)</f>
        <v>984.536193703519</v>
      </c>
      <c r="W185" s="32" t="n">
        <f aca="false">P185-Q185-R185-S185-T185-U185-V185</f>
        <v>1785.1708422857</v>
      </c>
      <c r="X185" s="32" t="n">
        <f aca="false">W185-F185-G185-H185-M185</f>
        <v>1785.1708422857</v>
      </c>
      <c r="Y185" s="32" t="n">
        <f aca="false">Y184+X185</f>
        <v>-674465.952317543</v>
      </c>
      <c r="Z185" s="32" t="n">
        <f aca="false">Premissas!$C$14*(1+Premissas!$C$57)^((YEAR(Premissas!$C$19)-YEAR(Premissas!$C$18))*12+MONTH(Premissas!$C$19)-MONTH(Premissas!$C$18))*(1+Premissas!$C$61)^((YEAR($A185)-YEAR(Premissas!$C$19))*12+MONTH($A185)-MONTH(Premissas!$C$19))</f>
        <v>994183.016401798</v>
      </c>
      <c r="AA185" s="32" t="n">
        <f aca="false">IF($A185&gt;=Premissas!$C$25,Z185*(1-Premissas!$C$53)-N185-Premissas!$C$54*MAX(0,Z185*(1-Premissas!$C$53)-(Premissas!$C$14*(1+Premissas!$C$57)^((YEAR(Premissas!$C$25)-YEAR(Premissas!$C$18))*12+MONTH(Premissas!$C$25)-MONTH(Premissas!$C$18))*(1+Premissas!$C$34))),"")</f>
        <v>875554.439616702</v>
      </c>
      <c r="AB185" s="32" t="n">
        <f aca="false">IF($A185&gt;=Premissas!$C$25,Y185+AA185,"")</f>
        <v>201088.487299159</v>
      </c>
      <c r="AC185" s="29" t="n">
        <f aca="false">IF(AND($A185&gt;=Premissas!$C$27,W185&gt;=M185),$A185,"")</f>
        <v>51867</v>
      </c>
      <c r="AD185" s="29" t="str">
        <f aca="false">IF(AND($A185&gt;=Premissas!$C$27,Y185&gt;=0),$A185,"")</f>
        <v/>
      </c>
      <c r="AE185" s="29" t="n">
        <f aca="false">IF(AND($A185&gt;=Premissas!$C$25,N(AB185)&gt;=0),$A185,"")</f>
        <v>51867</v>
      </c>
    </row>
    <row r="186" customFormat="false" ht="15" hidden="false" customHeight="false" outlineLevel="0" collapsed="false">
      <c r="A186" s="20" t="n">
        <f aca="false">DATE(YEAR(A185),MONTH(A185)+1,1)</f>
        <v>51898</v>
      </c>
      <c r="B186" s="5" t="str">
        <f aca="false">IF($A186&lt;Premissas!$C$25,"Obra",IF($A186=Premissas!$C$25,"Chaves",IF($A186&lt;Premissas!$C$27,"Mobiliando","Airbnb")))</f>
        <v>Airbnb</v>
      </c>
      <c r="C186" s="35" t="n">
        <f aca="false">(YEAR($A186)-YEAR(Premissas!$C$18))*12+MONTH($A186)-MONTH(Premissas!$C$18)</f>
        <v>185</v>
      </c>
      <c r="D186" s="16" t="n">
        <f aca="false">($A186=Premissas!$C$19)*Premissas!$C$8+(($A186=EDATE(Premissas!$C$19,1))+($A186=EDATE(Premissas!$C$19,2)))*Premissas!$C$9+AND($A186&gt;=Premissas!$C$20,$A186&lt;EDATE(Premissas!$C$20,Premissas!$C$21))*Premissas!$C$10+(($A186=Premissas!$C$22)+($A186=Premissas!$C$23)+($A186=Premissas!$C$24))*Premissas!$C$11+($A186=Premissas!$C$25)*Premissas!$C$12</f>
        <v>0</v>
      </c>
      <c r="E186" s="36" t="n">
        <f aca="false">(1+Premissas!$C$57)^C186</f>
        <v>2.28283971450632</v>
      </c>
      <c r="F186" s="16" t="n">
        <f aca="false">D186*E186</f>
        <v>0</v>
      </c>
      <c r="G186" s="16" t="n">
        <f aca="false">($A186=Premissas!$C$25)*Premissas!$C$34*Premissas!$C$14*(1+Premissas!$C$57)^C186</f>
        <v>0</v>
      </c>
      <c r="H186" s="16" t="n">
        <f aca="false">IF(AND($A186&gt;Premissas!$C$25,$A186&lt;Premissas!$C$27),Premissas!$C$35/MAX(1,Premissas!$C$26),0)</f>
        <v>0</v>
      </c>
      <c r="I186" s="35" t="n">
        <f aca="false">IF(AND($A186&gt;Premissas!$C$25,((YEAR($A186)-YEAR(Premissas!$C$25))*12+MONTH($A186)-MONTH(Premissas!$C$25))&lt;=Premissas!$C$32),((YEAR($A186)-YEAR(Premissas!$C$25))*12+MONTH($A186)-MONTH(Premissas!$C$25)),0)</f>
        <v>0</v>
      </c>
      <c r="J186" s="16" t="n">
        <f aca="false">IF(I186&gt;0,N185*(1+Premissas!$C$59),0)</f>
        <v>0</v>
      </c>
      <c r="K186" s="16" t="n">
        <f aca="false">J186*Premissas!$C$58</f>
        <v>0</v>
      </c>
      <c r="L186" s="16" t="n">
        <f aca="false">IF(I186&gt;0,J186/(Premissas!$C$32-I186+1),0)</f>
        <v>0</v>
      </c>
      <c r="M186" s="16" t="n">
        <f aca="false">K186+L186</f>
        <v>0</v>
      </c>
      <c r="N186" s="16" t="n">
        <f aca="false">IF($A186=Premissas!$C$25,Premissas!$C$13*E186,IF(I186&gt;0,J186-L186,0))</f>
        <v>0</v>
      </c>
      <c r="O186" s="37" t="n">
        <f aca="false">IF($A186&gt;=Premissas!$C$27,Premissas!$C$39*IF(((YEAR($A186)-YEAR(Premissas!$C$27))*12+MONTH($A186)-MONTH(Premissas!$C$27))&lt;Premissas!$C$41,Premissas!$C$42,1),0)</f>
        <v>0.62</v>
      </c>
      <c r="P186" s="16" t="n">
        <f aca="false">O186*Premissas!$C$38*Premissas!$C$40*(1+Premissas!$C$60)^((YEAR($A186)-YEAR(Premissas!$C$19))*12+MONTH($A186)-MONTH(Premissas!$C$19))</f>
        <v>7729.65863622759</v>
      </c>
      <c r="Q186" s="16" t="n">
        <f aca="false">P186*Premissas!$C$43</f>
        <v>1236.74538179641</v>
      </c>
      <c r="R186" s="16" t="n">
        <f aca="false">P186*Premissas!$C$44</f>
        <v>1545.93172724552</v>
      </c>
      <c r="S186" s="16" t="n">
        <f aca="false">IF($A186&gt;=Premissas!$C$25,Premissas!$C$45*(1+Premissas!$C$60)^((YEAR($A186)-YEAR(Premissas!$C$19))*12+MONTH($A186)-MONTH(Premissas!$C$19)),0)</f>
        <v>1355.1294944298</v>
      </c>
      <c r="T186" s="16" t="n">
        <f aca="false">IF($A186&gt;=Premissas!$C$27,Premissas!$C$46*(1+Premissas!$C$60)^((YEAR($A186)-YEAR(Premissas!$C$19))*12+MONTH($A186)-MONTH(Premissas!$C$19)),0)</f>
        <v>542.051797771921</v>
      </c>
      <c r="U186" s="16" t="n">
        <f aca="false">IF($A186&gt;=Premissas!$C$27,Premissas!$C$47*(1+Premissas!$C$60)^((YEAR($A186)-YEAR(Premissas!$C$19))*12+MONTH($A186)-MONTH(Premissas!$C$19)),0)</f>
        <v>271.02589888596</v>
      </c>
      <c r="V186" s="16" t="n">
        <f aca="false">IF($A186&gt;=Premissas!$C$27,MAX(0,P186-Q186-R186-S186)*Premissas!$C$49,0)</f>
        <v>987.75930900786</v>
      </c>
      <c r="W186" s="16" t="n">
        <f aca="false">P186-Q186-R186-S186-T186-U186-V186</f>
        <v>1791.01502709011</v>
      </c>
      <c r="X186" s="16" t="n">
        <f aca="false">W186-F186-G186-H186-M186</f>
        <v>1791.01502709011</v>
      </c>
      <c r="Y186" s="16" t="n">
        <f aca="false">Y185+X186</f>
        <v>-672674.937290452</v>
      </c>
      <c r="Z186" s="16" t="n">
        <f aca="false">Premissas!$C$14*(1+Premissas!$C$57)^((YEAR(Premissas!$C$19)-YEAR(Premissas!$C$18))*12+MONTH(Premissas!$C$19)-MONTH(Premissas!$C$18))*(1+Premissas!$C$61)^((YEAR($A186)-YEAR(Premissas!$C$19))*12+MONTH($A186)-MONTH(Premissas!$C$19))</f>
        <v>998233.44107422</v>
      </c>
      <c r="AA186" s="16" t="n">
        <f aca="false">IF($A186&gt;=Premissas!$C$25,Z186*(1-Premissas!$C$53)-N186-Premissas!$C$54*MAX(0,Z186*(1-Premissas!$C$53)-(Premissas!$C$14*(1+Premissas!$C$57)^((YEAR(Premissas!$C$25)-YEAR(Premissas!$C$18))*12+MONTH(Premissas!$C$25)-MONTH(Premissas!$C$18))*(1+Premissas!$C$34))),"")</f>
        <v>878790.728929967</v>
      </c>
      <c r="AB186" s="16" t="n">
        <f aca="false">IF($A186&gt;=Premissas!$C$25,Y186+AA186,"")</f>
        <v>206115.791639514</v>
      </c>
      <c r="AC186" s="20" t="n">
        <f aca="false">IF(AND($A186&gt;=Premissas!$C$27,W186&gt;=M186),$A186,"")</f>
        <v>51898</v>
      </c>
      <c r="AD186" s="20" t="str">
        <f aca="false">IF(AND($A186&gt;=Premissas!$C$27,Y186&gt;=0),$A186,"")</f>
        <v/>
      </c>
      <c r="AE186" s="20" t="n">
        <f aca="false">IF(AND($A186&gt;=Premissas!$C$25,N(AB186)&gt;=0),$A186,"")</f>
        <v>51898</v>
      </c>
    </row>
    <row r="187" customFormat="false" ht="15" hidden="false" customHeight="false" outlineLevel="0" collapsed="false">
      <c r="A187" s="20" t="n">
        <f aca="false">DATE(YEAR(A186),MONTH(A186)+1,1)</f>
        <v>51926</v>
      </c>
      <c r="B187" s="5" t="str">
        <f aca="false">IF($A187&lt;Premissas!$C$25,"Obra",IF($A187=Premissas!$C$25,"Chaves",IF($A187&lt;Premissas!$C$27,"Mobiliando","Airbnb")))</f>
        <v>Airbnb</v>
      </c>
      <c r="C187" s="35" t="n">
        <f aca="false">(YEAR($A187)-YEAR(Premissas!$C$18))*12+MONTH($A187)-MONTH(Premissas!$C$18)</f>
        <v>186</v>
      </c>
      <c r="D187" s="16" t="n">
        <f aca="false">($A187=Premissas!$C$19)*Premissas!$C$8+(($A187=EDATE(Premissas!$C$19,1))+($A187=EDATE(Premissas!$C$19,2)))*Premissas!$C$9+AND($A187&gt;=Premissas!$C$20,$A187&lt;EDATE(Premissas!$C$20,Premissas!$C$21))*Premissas!$C$10+(($A187=Premissas!$C$22)+($A187=Premissas!$C$23)+($A187=Premissas!$C$24))*Premissas!$C$11+($A187=Premissas!$C$25)*Premissas!$C$12</f>
        <v>0</v>
      </c>
      <c r="E187" s="36" t="n">
        <f aca="false">(1+Premissas!$C$57)^C187</f>
        <v>2.29304788638546</v>
      </c>
      <c r="F187" s="16" t="n">
        <f aca="false">D187*E187</f>
        <v>0</v>
      </c>
      <c r="G187" s="16" t="n">
        <f aca="false">($A187=Premissas!$C$25)*Premissas!$C$34*Premissas!$C$14*(1+Premissas!$C$57)^C187</f>
        <v>0</v>
      </c>
      <c r="H187" s="16" t="n">
        <f aca="false">IF(AND($A187&gt;Premissas!$C$25,$A187&lt;Premissas!$C$27),Premissas!$C$35/MAX(1,Premissas!$C$26),0)</f>
        <v>0</v>
      </c>
      <c r="I187" s="35" t="n">
        <f aca="false">IF(AND($A187&gt;Premissas!$C$25,((YEAR($A187)-YEAR(Premissas!$C$25))*12+MONTH($A187)-MONTH(Premissas!$C$25))&lt;=Premissas!$C$32),((YEAR($A187)-YEAR(Premissas!$C$25))*12+MONTH($A187)-MONTH(Premissas!$C$25)),0)</f>
        <v>0</v>
      </c>
      <c r="J187" s="16" t="n">
        <f aca="false">IF(I187&gt;0,N186*(1+Premissas!$C$59),0)</f>
        <v>0</v>
      </c>
      <c r="K187" s="16" t="n">
        <f aca="false">J187*Premissas!$C$58</f>
        <v>0</v>
      </c>
      <c r="L187" s="16" t="n">
        <f aca="false">IF(I187&gt;0,J187/(Premissas!$C$32-I187+1),0)</f>
        <v>0</v>
      </c>
      <c r="M187" s="16" t="n">
        <f aca="false">K187+L187</f>
        <v>0</v>
      </c>
      <c r="N187" s="16" t="n">
        <f aca="false">IF($A187=Premissas!$C$25,Premissas!$C$13*E187,IF(I187&gt;0,J187-L187,0))</f>
        <v>0</v>
      </c>
      <c r="O187" s="37" t="n">
        <f aca="false">IF($A187&gt;=Premissas!$C$27,Premissas!$C$39*IF(((YEAR($A187)-YEAR(Premissas!$C$27))*12+MONTH($A187)-MONTH(Premissas!$C$27))&lt;Premissas!$C$41,Premissas!$C$42,1),0)</f>
        <v>0.62</v>
      </c>
      <c r="P187" s="16" t="n">
        <f aca="false">O187*Premissas!$C$38*Premissas!$C$40*(1+Premissas!$C$60)^((YEAR($A187)-YEAR(Premissas!$C$19))*12+MONTH($A187)-MONTH(Premissas!$C$19))</f>
        <v>7754.96352720783</v>
      </c>
      <c r="Q187" s="16" t="n">
        <f aca="false">P187*Premissas!$C$43</f>
        <v>1240.79416435325</v>
      </c>
      <c r="R187" s="16" t="n">
        <f aca="false">P187*Premissas!$C$44</f>
        <v>1550.99270544157</v>
      </c>
      <c r="S187" s="16" t="n">
        <f aca="false">IF($A187&gt;=Premissas!$C$25,Premissas!$C$45*(1+Premissas!$C$60)^((YEAR($A187)-YEAR(Premissas!$C$19))*12+MONTH($A187)-MONTH(Premissas!$C$19)),0)</f>
        <v>1359.56583576575</v>
      </c>
      <c r="T187" s="16" t="n">
        <f aca="false">IF($A187&gt;=Premissas!$C$27,Premissas!$C$46*(1+Premissas!$C$60)^((YEAR($A187)-YEAR(Premissas!$C$19))*12+MONTH($A187)-MONTH(Premissas!$C$19)),0)</f>
        <v>543.826334306299</v>
      </c>
      <c r="U187" s="16" t="n">
        <f aca="false">IF($A187&gt;=Premissas!$C$27,Premissas!$C$47*(1+Premissas!$C$60)^((YEAR($A187)-YEAR(Premissas!$C$19))*12+MONTH($A187)-MONTH(Premissas!$C$19)),0)</f>
        <v>271.91316715315</v>
      </c>
      <c r="V187" s="16" t="n">
        <f aca="false">IF($A187&gt;=Premissas!$C$27,MAX(0,P187-Q187-R187-S187)*Premissas!$C$49,0)</f>
        <v>990.992975952997</v>
      </c>
      <c r="W187" s="16" t="n">
        <f aca="false">P187-Q187-R187-S187-T187-U187-V187</f>
        <v>1796.87834423482</v>
      </c>
      <c r="X187" s="16" t="n">
        <f aca="false">W187-F187-G187-H187-M187</f>
        <v>1796.87834423482</v>
      </c>
      <c r="Y187" s="16" t="n">
        <f aca="false">Y186+X187</f>
        <v>-670878.058946218</v>
      </c>
      <c r="Z187" s="16" t="n">
        <f aca="false">Premissas!$C$14*(1+Premissas!$C$57)^((YEAR(Premissas!$C$19)-YEAR(Premissas!$C$18))*12+MONTH(Premissas!$C$19)-MONTH(Premissas!$C$18))*(1+Premissas!$C$61)^((YEAR($A187)-YEAR(Premissas!$C$19))*12+MONTH($A187)-MONTH(Premissas!$C$19))</f>
        <v>1002300.36767813</v>
      </c>
      <c r="AA187" s="16" t="n">
        <f aca="false">IF($A187&gt;=Premissas!$C$25,Z187*(1-Premissas!$C$53)-N187-Premissas!$C$54*MAX(0,Z187*(1-Premissas!$C$53)-(Premissas!$C$14*(1+Premissas!$C$57)^((YEAR(Premissas!$C$25)-YEAR(Premissas!$C$18))*12+MONTH(Premissas!$C$25)-MONTH(Premissas!$C$18))*(1+Premissas!$C$34))),"")</f>
        <v>882040.203286494</v>
      </c>
      <c r="AB187" s="16" t="n">
        <f aca="false">IF($A187&gt;=Premissas!$C$25,Y187+AA187,"")</f>
        <v>211162.144340276</v>
      </c>
      <c r="AC187" s="20" t="n">
        <f aca="false">IF(AND($A187&gt;=Premissas!$C$27,W187&gt;=M187),$A187,"")</f>
        <v>51926</v>
      </c>
      <c r="AD187" s="20" t="str">
        <f aca="false">IF(AND($A187&gt;=Premissas!$C$27,Y187&gt;=0),$A187,"")</f>
        <v/>
      </c>
      <c r="AE187" s="20" t="n">
        <f aca="false">IF(AND($A187&gt;=Premissas!$C$25,N(AB187)&gt;=0),$A187,"")</f>
        <v>51926</v>
      </c>
    </row>
    <row r="188" customFormat="false" ht="15" hidden="false" customHeight="false" outlineLevel="0" collapsed="false">
      <c r="A188" s="20" t="n">
        <f aca="false">DATE(YEAR(A187),MONTH(A187)+1,1)</f>
        <v>51957</v>
      </c>
      <c r="B188" s="5" t="str">
        <f aca="false">IF($A188&lt;Premissas!$C$25,"Obra",IF($A188=Premissas!$C$25,"Chaves",IF($A188&lt;Premissas!$C$27,"Mobiliando","Airbnb")))</f>
        <v>Airbnb</v>
      </c>
      <c r="C188" s="35" t="n">
        <f aca="false">(YEAR($A188)-YEAR(Premissas!$C$18))*12+MONTH($A188)-MONTH(Premissas!$C$18)</f>
        <v>187</v>
      </c>
      <c r="D188" s="16" t="n">
        <f aca="false">($A188=Premissas!$C$19)*Premissas!$C$8+(($A188=EDATE(Premissas!$C$19,1))+($A188=EDATE(Premissas!$C$19,2)))*Premissas!$C$9+AND($A188&gt;=Premissas!$C$20,$A188&lt;EDATE(Premissas!$C$20,Premissas!$C$21))*Premissas!$C$10+(($A188=Premissas!$C$22)+($A188=Premissas!$C$23)+($A188=Premissas!$C$24))*Premissas!$C$11+($A188=Premissas!$C$25)*Premissas!$C$12</f>
        <v>0</v>
      </c>
      <c r="E188" s="36" t="n">
        <f aca="false">(1+Premissas!$C$57)^C188</f>
        <v>2.30330170613573</v>
      </c>
      <c r="F188" s="16" t="n">
        <f aca="false">D188*E188</f>
        <v>0</v>
      </c>
      <c r="G188" s="16" t="n">
        <f aca="false">($A188=Premissas!$C$25)*Premissas!$C$34*Premissas!$C$14*(1+Premissas!$C$57)^C188</f>
        <v>0</v>
      </c>
      <c r="H188" s="16" t="n">
        <f aca="false">IF(AND($A188&gt;Premissas!$C$25,$A188&lt;Premissas!$C$27),Premissas!$C$35/MAX(1,Premissas!$C$26),0)</f>
        <v>0</v>
      </c>
      <c r="I188" s="35" t="n">
        <f aca="false">IF(AND($A188&gt;Premissas!$C$25,((YEAR($A188)-YEAR(Premissas!$C$25))*12+MONTH($A188)-MONTH(Premissas!$C$25))&lt;=Premissas!$C$32),((YEAR($A188)-YEAR(Premissas!$C$25))*12+MONTH($A188)-MONTH(Premissas!$C$25)),0)</f>
        <v>0</v>
      </c>
      <c r="J188" s="16" t="n">
        <f aca="false">IF(I188&gt;0,N187*(1+Premissas!$C$59),0)</f>
        <v>0</v>
      </c>
      <c r="K188" s="16" t="n">
        <f aca="false">J188*Premissas!$C$58</f>
        <v>0</v>
      </c>
      <c r="L188" s="16" t="n">
        <f aca="false">IF(I188&gt;0,J188/(Premissas!$C$32-I188+1),0)</f>
        <v>0</v>
      </c>
      <c r="M188" s="16" t="n">
        <f aca="false">K188+L188</f>
        <v>0</v>
      </c>
      <c r="N188" s="16" t="n">
        <f aca="false">IF($A188=Premissas!$C$25,Premissas!$C$13*E188,IF(I188&gt;0,J188-L188,0))</f>
        <v>0</v>
      </c>
      <c r="O188" s="37" t="n">
        <f aca="false">IF($A188&gt;=Premissas!$C$27,Premissas!$C$39*IF(((YEAR($A188)-YEAR(Premissas!$C$27))*12+MONTH($A188)-MONTH(Premissas!$C$27))&lt;Premissas!$C$41,Premissas!$C$42,1),0)</f>
        <v>0.62</v>
      </c>
      <c r="P188" s="16" t="n">
        <f aca="false">O188*Premissas!$C$38*Premissas!$C$40*(1+Premissas!$C$60)^((YEAR($A188)-YEAR(Premissas!$C$19))*12+MONTH($A188)-MONTH(Premissas!$C$19))</f>
        <v>7780.35125981635</v>
      </c>
      <c r="Q188" s="16" t="n">
        <f aca="false">P188*Premissas!$C$43</f>
        <v>1244.85620157062</v>
      </c>
      <c r="R188" s="16" t="n">
        <f aca="false">P188*Premissas!$C$44</f>
        <v>1556.07025196327</v>
      </c>
      <c r="S188" s="16" t="n">
        <f aca="false">IF($A188&gt;=Premissas!$C$25,Premissas!$C$45*(1+Premissas!$C$60)^((YEAR($A188)-YEAR(Premissas!$C$19))*12+MONTH($A188)-MONTH(Premissas!$C$19)),0)</f>
        <v>1364.01670052881</v>
      </c>
      <c r="T188" s="16" t="n">
        <f aca="false">IF($A188&gt;=Premissas!$C$27,Premissas!$C$46*(1+Premissas!$C$60)^((YEAR($A188)-YEAR(Premissas!$C$19))*12+MONTH($A188)-MONTH(Premissas!$C$19)),0)</f>
        <v>545.606680211525</v>
      </c>
      <c r="U188" s="16" t="n">
        <f aca="false">IF($A188&gt;=Premissas!$C$27,Premissas!$C$47*(1+Premissas!$C$60)^((YEAR($A188)-YEAR(Premissas!$C$19))*12+MONTH($A188)-MONTH(Premissas!$C$19)),0)</f>
        <v>272.803340105763</v>
      </c>
      <c r="V188" s="16" t="n">
        <f aca="false">IF($A188&gt;=Premissas!$C$27,MAX(0,P188-Q188-R188-S188)*Premissas!$C$49,0)</f>
        <v>994.237229082254</v>
      </c>
      <c r="W188" s="16" t="n">
        <f aca="false">P188-Q188-R188-S188-T188-U188-V188</f>
        <v>1802.76085635411</v>
      </c>
      <c r="X188" s="16" t="n">
        <f aca="false">W188-F188-G188-H188-M188</f>
        <v>1802.76085635411</v>
      </c>
      <c r="Y188" s="16" t="n">
        <f aca="false">Y187+X188</f>
        <v>-669075.298089864</v>
      </c>
      <c r="Z188" s="16" t="n">
        <f aca="false">Premissas!$C$14*(1+Premissas!$C$57)^((YEAR(Premissas!$C$19)-YEAR(Premissas!$C$18))*12+MONTH(Premissas!$C$19)-MONTH(Premissas!$C$18))*(1+Premissas!$C$61)^((YEAR($A188)-YEAR(Premissas!$C$19))*12+MONTH($A188)-MONTH(Premissas!$C$19))</f>
        <v>1006383.86344445</v>
      </c>
      <c r="AA188" s="16" t="n">
        <f aca="false">IF($A188&gt;=Premissas!$C$25,Z188*(1-Premissas!$C$53)-N188-Premissas!$C$54*MAX(0,Z188*(1-Premissas!$C$53)-(Premissas!$C$14*(1+Premissas!$C$57)^((YEAR(Premissas!$C$25)-YEAR(Premissas!$C$18))*12+MONTH(Premissas!$C$25)-MONTH(Premissas!$C$18))*(1+Premissas!$C$34))),"")</f>
        <v>885302.916403781</v>
      </c>
      <c r="AB188" s="16" t="n">
        <f aca="false">IF($A188&gt;=Premissas!$C$25,Y188+AA188,"")</f>
        <v>216227.618313918</v>
      </c>
      <c r="AC188" s="20" t="n">
        <f aca="false">IF(AND($A188&gt;=Premissas!$C$27,W188&gt;=M188),$A188,"")</f>
        <v>51957</v>
      </c>
      <c r="AD188" s="20" t="str">
        <f aca="false">IF(AND($A188&gt;=Premissas!$C$27,Y188&gt;=0),$A188,"")</f>
        <v/>
      </c>
      <c r="AE188" s="20" t="n">
        <f aca="false">IF(AND($A188&gt;=Premissas!$C$25,N(AB188)&gt;=0),$A188,"")</f>
        <v>51957</v>
      </c>
    </row>
    <row r="189" customFormat="false" ht="15" hidden="false" customHeight="false" outlineLevel="0" collapsed="false">
      <c r="A189" s="20" t="n">
        <f aca="false">DATE(YEAR(A188),MONTH(A188)+1,1)</f>
        <v>51987</v>
      </c>
      <c r="B189" s="5" t="str">
        <f aca="false">IF($A189&lt;Premissas!$C$25,"Obra",IF($A189=Premissas!$C$25,"Chaves",IF($A189&lt;Premissas!$C$27,"Mobiliando","Airbnb")))</f>
        <v>Airbnb</v>
      </c>
      <c r="C189" s="35" t="n">
        <f aca="false">(YEAR($A189)-YEAR(Premissas!$C$18))*12+MONTH($A189)-MONTH(Premissas!$C$18)</f>
        <v>188</v>
      </c>
      <c r="D189" s="16" t="n">
        <f aca="false">($A189=Premissas!$C$19)*Premissas!$C$8+(($A189=EDATE(Premissas!$C$19,1))+($A189=EDATE(Premissas!$C$19,2)))*Premissas!$C$9+AND($A189&gt;=Premissas!$C$20,$A189&lt;EDATE(Premissas!$C$20,Premissas!$C$21))*Premissas!$C$10+(($A189=Premissas!$C$22)+($A189=Premissas!$C$23)+($A189=Premissas!$C$24))*Premissas!$C$11+($A189=Premissas!$C$25)*Premissas!$C$12</f>
        <v>0</v>
      </c>
      <c r="E189" s="36" t="n">
        <f aca="false">(1+Premissas!$C$57)^C189</f>
        <v>2.31360137788069</v>
      </c>
      <c r="F189" s="16" t="n">
        <f aca="false">D189*E189</f>
        <v>0</v>
      </c>
      <c r="G189" s="16" t="n">
        <f aca="false">($A189=Premissas!$C$25)*Premissas!$C$34*Premissas!$C$14*(1+Premissas!$C$57)^C189</f>
        <v>0</v>
      </c>
      <c r="H189" s="16" t="n">
        <f aca="false">IF(AND($A189&gt;Premissas!$C$25,$A189&lt;Premissas!$C$27),Premissas!$C$35/MAX(1,Premissas!$C$26),0)</f>
        <v>0</v>
      </c>
      <c r="I189" s="35" t="n">
        <f aca="false">IF(AND($A189&gt;Premissas!$C$25,((YEAR($A189)-YEAR(Premissas!$C$25))*12+MONTH($A189)-MONTH(Premissas!$C$25))&lt;=Premissas!$C$32),((YEAR($A189)-YEAR(Premissas!$C$25))*12+MONTH($A189)-MONTH(Premissas!$C$25)),0)</f>
        <v>0</v>
      </c>
      <c r="J189" s="16" t="n">
        <f aca="false">IF(I189&gt;0,N188*(1+Premissas!$C$59),0)</f>
        <v>0</v>
      </c>
      <c r="K189" s="16" t="n">
        <f aca="false">J189*Premissas!$C$58</f>
        <v>0</v>
      </c>
      <c r="L189" s="16" t="n">
        <f aca="false">IF(I189&gt;0,J189/(Premissas!$C$32-I189+1),0)</f>
        <v>0</v>
      </c>
      <c r="M189" s="16" t="n">
        <f aca="false">K189+L189</f>
        <v>0</v>
      </c>
      <c r="N189" s="16" t="n">
        <f aca="false">IF($A189=Premissas!$C$25,Premissas!$C$13*E189,IF(I189&gt;0,J189-L189,0))</f>
        <v>0</v>
      </c>
      <c r="O189" s="37" t="n">
        <f aca="false">IF($A189&gt;=Premissas!$C$27,Premissas!$C$39*IF(((YEAR($A189)-YEAR(Premissas!$C$27))*12+MONTH($A189)-MONTH(Premissas!$C$27))&lt;Premissas!$C$41,Premissas!$C$42,1),0)</f>
        <v>0.62</v>
      </c>
      <c r="P189" s="16" t="n">
        <f aca="false">O189*Premissas!$C$38*Premissas!$C$40*(1+Premissas!$C$60)^((YEAR($A189)-YEAR(Premissas!$C$19))*12+MONTH($A189)-MONTH(Premissas!$C$19))</f>
        <v>7805.82210525509</v>
      </c>
      <c r="Q189" s="16" t="n">
        <f aca="false">P189*Premissas!$C$43</f>
        <v>1248.93153684081</v>
      </c>
      <c r="R189" s="16" t="n">
        <f aca="false">P189*Premissas!$C$44</f>
        <v>1561.16442105102</v>
      </c>
      <c r="S189" s="16" t="n">
        <f aca="false">IF($A189&gt;=Premissas!$C$25,Premissas!$C$45*(1+Premissas!$C$60)^((YEAR($A189)-YEAR(Premissas!$C$19))*12+MONTH($A189)-MONTH(Premissas!$C$19)),0)</f>
        <v>1368.48213626492</v>
      </c>
      <c r="T189" s="16" t="n">
        <f aca="false">IF($A189&gt;=Premissas!$C$27,Premissas!$C$46*(1+Premissas!$C$60)^((YEAR($A189)-YEAR(Premissas!$C$19))*12+MONTH($A189)-MONTH(Premissas!$C$19)),0)</f>
        <v>547.392854505967</v>
      </c>
      <c r="U189" s="16" t="n">
        <f aca="false">IF($A189&gt;=Premissas!$C$27,Premissas!$C$47*(1+Premissas!$C$60)^((YEAR($A189)-YEAR(Premissas!$C$19))*12+MONTH($A189)-MONTH(Premissas!$C$19)),0)</f>
        <v>273.696427252984</v>
      </c>
      <c r="V189" s="16" t="n">
        <f aca="false">IF($A189&gt;=Premissas!$C$27,MAX(0,P189-Q189-R189-S189)*Premissas!$C$49,0)</f>
        <v>997.492103052044</v>
      </c>
      <c r="W189" s="16" t="n">
        <f aca="false">P189-Q189-R189-S189-T189-U189-V189</f>
        <v>1808.66262628735</v>
      </c>
      <c r="X189" s="16" t="n">
        <f aca="false">W189-F189-G189-H189-M189</f>
        <v>1808.66262628735</v>
      </c>
      <c r="Y189" s="16" t="n">
        <f aca="false">Y188+X189</f>
        <v>-667266.635463576</v>
      </c>
      <c r="Z189" s="16" t="n">
        <f aca="false">Premissas!$C$14*(1+Premissas!$C$57)^((YEAR(Premissas!$C$19)-YEAR(Premissas!$C$18))*12+MONTH(Premissas!$C$19)-MONTH(Premissas!$C$18))*(1+Premissas!$C$61)^((YEAR($A189)-YEAR(Premissas!$C$19))*12+MONTH($A189)-MONTH(Premissas!$C$19))</f>
        <v>1010483.99587799</v>
      </c>
      <c r="AA189" s="16" t="n">
        <f aca="false">IF($A189&gt;=Premissas!$C$25,Z189*(1-Premissas!$C$53)-N189-Premissas!$C$54*MAX(0,Z189*(1-Premissas!$C$53)-(Premissas!$C$14*(1+Premissas!$C$57)^((YEAR(Premissas!$C$25)-YEAR(Premissas!$C$18))*12+MONTH(Premissas!$C$25)-MONTH(Premissas!$C$18))*(1+Premissas!$C$34))),"")</f>
        <v>888578.922218179</v>
      </c>
      <c r="AB189" s="16" t="n">
        <f aca="false">IF($A189&gt;=Premissas!$C$25,Y189+AA189,"")</f>
        <v>221312.286754602</v>
      </c>
      <c r="AC189" s="20" t="n">
        <f aca="false">IF(AND($A189&gt;=Premissas!$C$27,W189&gt;=M189),$A189,"")</f>
        <v>51987</v>
      </c>
      <c r="AD189" s="20" t="str">
        <f aca="false">IF(AND($A189&gt;=Premissas!$C$27,Y189&gt;=0),$A189,"")</f>
        <v/>
      </c>
      <c r="AE189" s="20" t="n">
        <f aca="false">IF(AND($A189&gt;=Premissas!$C$25,N(AB189)&gt;=0),$A189,"")</f>
        <v>51987</v>
      </c>
    </row>
    <row r="190" customFormat="false" ht="15" hidden="false" customHeight="false" outlineLevel="0" collapsed="false">
      <c r="A190" s="20" t="n">
        <f aca="false">DATE(YEAR(A189),MONTH(A189)+1,1)</f>
        <v>52018</v>
      </c>
      <c r="B190" s="5" t="str">
        <f aca="false">IF($A190&lt;Premissas!$C$25,"Obra",IF($A190=Premissas!$C$25,"Chaves",IF($A190&lt;Premissas!$C$27,"Mobiliando","Airbnb")))</f>
        <v>Airbnb</v>
      </c>
      <c r="C190" s="35" t="n">
        <f aca="false">(YEAR($A190)-YEAR(Premissas!$C$18))*12+MONTH($A190)-MONTH(Premissas!$C$18)</f>
        <v>189</v>
      </c>
      <c r="D190" s="16" t="n">
        <f aca="false">($A190=Premissas!$C$19)*Premissas!$C$8+(($A190=EDATE(Premissas!$C$19,1))+($A190=EDATE(Premissas!$C$19,2)))*Premissas!$C$9+AND($A190&gt;=Premissas!$C$20,$A190&lt;EDATE(Premissas!$C$20,Premissas!$C$21))*Premissas!$C$10+(($A190=Premissas!$C$22)+($A190=Premissas!$C$23)+($A190=Premissas!$C$24))*Premissas!$C$11+($A190=Premissas!$C$25)*Premissas!$C$12</f>
        <v>0</v>
      </c>
      <c r="E190" s="36" t="n">
        <f aca="false">(1+Premissas!$C$57)^C190</f>
        <v>2.32394710665662</v>
      </c>
      <c r="F190" s="16" t="n">
        <f aca="false">D190*E190</f>
        <v>0</v>
      </c>
      <c r="G190" s="16" t="n">
        <f aca="false">($A190=Premissas!$C$25)*Premissas!$C$34*Premissas!$C$14*(1+Premissas!$C$57)^C190</f>
        <v>0</v>
      </c>
      <c r="H190" s="16" t="n">
        <f aca="false">IF(AND($A190&gt;Premissas!$C$25,$A190&lt;Premissas!$C$27),Premissas!$C$35/MAX(1,Premissas!$C$26),0)</f>
        <v>0</v>
      </c>
      <c r="I190" s="35" t="n">
        <f aca="false">IF(AND($A190&gt;Premissas!$C$25,((YEAR($A190)-YEAR(Premissas!$C$25))*12+MONTH($A190)-MONTH(Premissas!$C$25))&lt;=Premissas!$C$32),((YEAR($A190)-YEAR(Premissas!$C$25))*12+MONTH($A190)-MONTH(Premissas!$C$25)),0)</f>
        <v>0</v>
      </c>
      <c r="J190" s="16" t="n">
        <f aca="false">IF(I190&gt;0,N189*(1+Premissas!$C$59),0)</f>
        <v>0</v>
      </c>
      <c r="K190" s="16" t="n">
        <f aca="false">J190*Premissas!$C$58</f>
        <v>0</v>
      </c>
      <c r="L190" s="16" t="n">
        <f aca="false">IF(I190&gt;0,J190/(Premissas!$C$32-I190+1),0)</f>
        <v>0</v>
      </c>
      <c r="M190" s="16" t="n">
        <f aca="false">K190+L190</f>
        <v>0</v>
      </c>
      <c r="N190" s="16" t="n">
        <f aca="false">IF($A190=Premissas!$C$25,Premissas!$C$13*E190,IF(I190&gt;0,J190-L190,0))</f>
        <v>0</v>
      </c>
      <c r="O190" s="37" t="n">
        <f aca="false">IF($A190&gt;=Premissas!$C$27,Premissas!$C$39*IF(((YEAR($A190)-YEAR(Premissas!$C$27))*12+MONTH($A190)-MONTH(Premissas!$C$27))&lt;Premissas!$C$41,Premissas!$C$42,1),0)</f>
        <v>0.62</v>
      </c>
      <c r="P190" s="16" t="n">
        <f aca="false">O190*Premissas!$C$38*Premissas!$C$40*(1+Premissas!$C$60)^((YEAR($A190)-YEAR(Premissas!$C$19))*12+MONTH($A190)-MONTH(Premissas!$C$19))</f>
        <v>7831.37633561383</v>
      </c>
      <c r="Q190" s="16" t="n">
        <f aca="false">P190*Premissas!$C$43</f>
        <v>1253.02021369821</v>
      </c>
      <c r="R190" s="16" t="n">
        <f aca="false">P190*Premissas!$C$44</f>
        <v>1566.27526712277</v>
      </c>
      <c r="S190" s="16" t="n">
        <f aca="false">IF($A190&gt;=Premissas!$C$25,Premissas!$C$45*(1+Premissas!$C$60)^((YEAR($A190)-YEAR(Premissas!$C$19))*12+MONTH($A190)-MONTH(Premissas!$C$19)),0)</f>
        <v>1372.96219067564</v>
      </c>
      <c r="T190" s="16" t="n">
        <f aca="false">IF($A190&gt;=Premissas!$C$27,Premissas!$C$46*(1+Premissas!$C$60)^((YEAR($A190)-YEAR(Premissas!$C$19))*12+MONTH($A190)-MONTH(Premissas!$C$19)),0)</f>
        <v>549.184876270255</v>
      </c>
      <c r="U190" s="16" t="n">
        <f aca="false">IF($A190&gt;=Premissas!$C$27,Premissas!$C$47*(1+Premissas!$C$60)^((YEAR($A190)-YEAR(Premissas!$C$19))*12+MONTH($A190)-MONTH(Premissas!$C$19)),0)</f>
        <v>274.592438135127</v>
      </c>
      <c r="V190" s="16" t="n">
        <f aca="false">IF($A190&gt;=Premissas!$C$27,MAX(0,P190-Q190-R190-S190)*Premissas!$C$49,0)</f>
        <v>1000.75763263223</v>
      </c>
      <c r="W190" s="16" t="n">
        <f aca="false">P190-Q190-R190-S190-T190-U190-V190</f>
        <v>1814.5837170796</v>
      </c>
      <c r="X190" s="16" t="n">
        <f aca="false">W190-F190-G190-H190-M190</f>
        <v>1814.5837170796</v>
      </c>
      <c r="Y190" s="16" t="n">
        <f aca="false">Y189+X190</f>
        <v>-665452.051746497</v>
      </c>
      <c r="Z190" s="16" t="n">
        <f aca="false">Premissas!$C$14*(1+Premissas!$C$57)^((YEAR(Premissas!$C$19)-YEAR(Premissas!$C$18))*12+MONTH(Premissas!$C$19)-MONTH(Premissas!$C$18))*(1+Premissas!$C$61)^((YEAR($A190)-YEAR(Premissas!$C$19))*12+MONTH($A190)-MONTH(Premissas!$C$19))</f>
        <v>1014600.83275859</v>
      </c>
      <c r="AA190" s="16" t="n">
        <f aca="false">IF($A190&gt;=Premissas!$C$25,Z190*(1-Premissas!$C$53)-N190-Premissas!$C$54*MAX(0,Z190*(1-Premissas!$C$53)-(Premissas!$C$14*(1+Premissas!$C$57)^((YEAR(Premissas!$C$25)-YEAR(Premissas!$C$18))*12+MONTH(Premissas!$C$25)-MONTH(Premissas!$C$18))*(1+Premissas!$C$34))),"")</f>
        <v>891868.27488578</v>
      </c>
      <c r="AB190" s="16" t="n">
        <f aca="false">IF($A190&gt;=Premissas!$C$25,Y190+AA190,"")</f>
        <v>226416.223139283</v>
      </c>
      <c r="AC190" s="20" t="n">
        <f aca="false">IF(AND($A190&gt;=Premissas!$C$27,W190&gt;=M190),$A190,"")</f>
        <v>52018</v>
      </c>
      <c r="AD190" s="20" t="str">
        <f aca="false">IF(AND($A190&gt;=Premissas!$C$27,Y190&gt;=0),$A190,"")</f>
        <v/>
      </c>
      <c r="AE190" s="20" t="n">
        <f aca="false">IF(AND($A190&gt;=Premissas!$C$25,N(AB190)&gt;=0),$A190,"")</f>
        <v>52018</v>
      </c>
    </row>
    <row r="191" customFormat="false" ht="15" hidden="false" customHeight="false" outlineLevel="0" collapsed="false">
      <c r="A191" s="20" t="n">
        <f aca="false">DATE(YEAR(A190),MONTH(A190)+1,1)</f>
        <v>52048</v>
      </c>
      <c r="B191" s="5" t="str">
        <f aca="false">IF($A191&lt;Premissas!$C$25,"Obra",IF($A191=Premissas!$C$25,"Chaves",IF($A191&lt;Premissas!$C$27,"Mobiliando","Airbnb")))</f>
        <v>Airbnb</v>
      </c>
      <c r="C191" s="35" t="n">
        <f aca="false">(YEAR($A191)-YEAR(Premissas!$C$18))*12+MONTH($A191)-MONTH(Premissas!$C$18)</f>
        <v>190</v>
      </c>
      <c r="D191" s="16" t="n">
        <f aca="false">($A191=Premissas!$C$19)*Premissas!$C$8+(($A191=EDATE(Premissas!$C$19,1))+($A191=EDATE(Premissas!$C$19,2)))*Premissas!$C$9+AND($A191&gt;=Premissas!$C$20,$A191&lt;EDATE(Premissas!$C$20,Premissas!$C$21))*Premissas!$C$10+(($A191=Premissas!$C$22)+($A191=Premissas!$C$23)+($A191=Premissas!$C$24))*Premissas!$C$11+($A191=Premissas!$C$25)*Premissas!$C$12</f>
        <v>0</v>
      </c>
      <c r="E191" s="36" t="n">
        <f aca="false">(1+Premissas!$C$57)^C191</f>
        <v>2.33433909841673</v>
      </c>
      <c r="F191" s="16" t="n">
        <f aca="false">D191*E191</f>
        <v>0</v>
      </c>
      <c r="G191" s="16" t="n">
        <f aca="false">($A191=Premissas!$C$25)*Premissas!$C$34*Premissas!$C$14*(1+Premissas!$C$57)^C191</f>
        <v>0</v>
      </c>
      <c r="H191" s="16" t="n">
        <f aca="false">IF(AND($A191&gt;Premissas!$C$25,$A191&lt;Premissas!$C$27),Premissas!$C$35/MAX(1,Premissas!$C$26),0)</f>
        <v>0</v>
      </c>
      <c r="I191" s="35" t="n">
        <f aca="false">IF(AND($A191&gt;Premissas!$C$25,((YEAR($A191)-YEAR(Premissas!$C$25))*12+MONTH($A191)-MONTH(Premissas!$C$25))&lt;=Premissas!$C$32),((YEAR($A191)-YEAR(Premissas!$C$25))*12+MONTH($A191)-MONTH(Premissas!$C$25)),0)</f>
        <v>0</v>
      </c>
      <c r="J191" s="16" t="n">
        <f aca="false">IF(I191&gt;0,N190*(1+Premissas!$C$59),0)</f>
        <v>0</v>
      </c>
      <c r="K191" s="16" t="n">
        <f aca="false">J191*Premissas!$C$58</f>
        <v>0</v>
      </c>
      <c r="L191" s="16" t="n">
        <f aca="false">IF(I191&gt;0,J191/(Premissas!$C$32-I191+1),0)</f>
        <v>0</v>
      </c>
      <c r="M191" s="16" t="n">
        <f aca="false">K191+L191</f>
        <v>0</v>
      </c>
      <c r="N191" s="16" t="n">
        <f aca="false">IF($A191=Premissas!$C$25,Premissas!$C$13*E191,IF(I191&gt;0,J191-L191,0))</f>
        <v>0</v>
      </c>
      <c r="O191" s="37" t="n">
        <f aca="false">IF($A191&gt;=Premissas!$C$27,Premissas!$C$39*IF(((YEAR($A191)-YEAR(Premissas!$C$27))*12+MONTH($A191)-MONTH(Premissas!$C$27))&lt;Premissas!$C$41,Premissas!$C$42,1),0)</f>
        <v>0.62</v>
      </c>
      <c r="P191" s="16" t="n">
        <f aca="false">O191*Premissas!$C$38*Premissas!$C$40*(1+Premissas!$C$60)^((YEAR($A191)-YEAR(Premissas!$C$19))*12+MONTH($A191)-MONTH(Premissas!$C$19))</f>
        <v>7857.0142238731</v>
      </c>
      <c r="Q191" s="16" t="n">
        <f aca="false">P191*Premissas!$C$43</f>
        <v>1257.1222758197</v>
      </c>
      <c r="R191" s="16" t="n">
        <f aca="false">P191*Premissas!$C$44</f>
        <v>1571.40284477462</v>
      </c>
      <c r="S191" s="16" t="n">
        <f aca="false">IF($A191&gt;=Premissas!$C$25,Premissas!$C$45*(1+Premissas!$C$60)^((YEAR($A191)-YEAR(Premissas!$C$19))*12+MONTH($A191)-MONTH(Premissas!$C$19)),0)</f>
        <v>1377.45691161871</v>
      </c>
      <c r="T191" s="16" t="n">
        <f aca="false">IF($A191&gt;=Premissas!$C$27,Premissas!$C$46*(1+Premissas!$C$60)^((YEAR($A191)-YEAR(Premissas!$C$19))*12+MONTH($A191)-MONTH(Premissas!$C$19)),0)</f>
        <v>550.982764647483</v>
      </c>
      <c r="U191" s="16" t="n">
        <f aca="false">IF($A191&gt;=Premissas!$C$27,Premissas!$C$47*(1+Premissas!$C$60)^((YEAR($A191)-YEAR(Premissas!$C$19))*12+MONTH($A191)-MONTH(Premissas!$C$19)),0)</f>
        <v>275.491382323741</v>
      </c>
      <c r="V191" s="16" t="n">
        <f aca="false">IF($A191&gt;=Premissas!$C$27,MAX(0,P191-Q191-R191-S191)*Premissas!$C$49,0)</f>
        <v>1004.03385270652</v>
      </c>
      <c r="W191" s="16" t="n">
        <f aca="false">P191-Q191-R191-S191-T191-U191-V191</f>
        <v>1820.52419198233</v>
      </c>
      <c r="X191" s="16" t="n">
        <f aca="false">W191-F191-G191-H191-M191</f>
        <v>1820.52419198233</v>
      </c>
      <c r="Y191" s="16" t="n">
        <f aca="false">Y190+X191</f>
        <v>-663631.527554514</v>
      </c>
      <c r="Z191" s="16" t="n">
        <f aca="false">Premissas!$C$14*(1+Premissas!$C$57)^((YEAR(Premissas!$C$19)-YEAR(Premissas!$C$18))*12+MONTH(Premissas!$C$19)-MONTH(Premissas!$C$18))*(1+Premissas!$C$61)^((YEAR($A191)-YEAR(Premissas!$C$19))*12+MONTH($A191)-MONTH(Premissas!$C$19))</f>
        <v>1018734.44214224</v>
      </c>
      <c r="AA191" s="16" t="n">
        <f aca="false">IF($A191&gt;=Premissas!$C$25,Z191*(1-Premissas!$C$53)-N191-Premissas!$C$54*MAX(0,Z191*(1-Premissas!$C$53)-(Premissas!$C$14*(1+Premissas!$C$57)^((YEAR(Premissas!$C$25)-YEAR(Premissas!$C$18))*12+MONTH(Premissas!$C$25)-MONTH(Premissas!$C$18))*(1+Premissas!$C$34))),"")</f>
        <v>895171.028783317</v>
      </c>
      <c r="AB191" s="16" t="n">
        <f aca="false">IF($A191&gt;=Premissas!$C$25,Y191+AA191,"")</f>
        <v>231539.501228803</v>
      </c>
      <c r="AC191" s="20" t="n">
        <f aca="false">IF(AND($A191&gt;=Premissas!$C$27,W191&gt;=M191),$A191,"")</f>
        <v>52048</v>
      </c>
      <c r="AD191" s="20" t="str">
        <f aca="false">IF(AND($A191&gt;=Premissas!$C$27,Y191&gt;=0),$A191,"")</f>
        <v/>
      </c>
      <c r="AE191" s="20" t="n">
        <f aca="false">IF(AND($A191&gt;=Premissas!$C$25,N(AB191)&gt;=0),$A191,"")</f>
        <v>52048</v>
      </c>
    </row>
    <row r="192" customFormat="false" ht="15" hidden="false" customHeight="false" outlineLevel="0" collapsed="false">
      <c r="A192" s="20" t="n">
        <f aca="false">DATE(YEAR(A191),MONTH(A191)+1,1)</f>
        <v>52079</v>
      </c>
      <c r="B192" s="5" t="str">
        <f aca="false">IF($A192&lt;Premissas!$C$25,"Obra",IF($A192=Premissas!$C$25,"Chaves",IF($A192&lt;Premissas!$C$27,"Mobiliando","Airbnb")))</f>
        <v>Airbnb</v>
      </c>
      <c r="C192" s="35" t="n">
        <f aca="false">(YEAR($A192)-YEAR(Premissas!$C$18))*12+MONTH($A192)-MONTH(Premissas!$C$18)</f>
        <v>191</v>
      </c>
      <c r="D192" s="16" t="n">
        <f aca="false">($A192=Premissas!$C$19)*Premissas!$C$8+(($A192=EDATE(Premissas!$C$19,1))+($A192=EDATE(Premissas!$C$19,2)))*Premissas!$C$9+AND($A192&gt;=Premissas!$C$20,$A192&lt;EDATE(Premissas!$C$20,Premissas!$C$21))*Premissas!$C$10+(($A192=Premissas!$C$22)+($A192=Premissas!$C$23)+($A192=Premissas!$C$24))*Premissas!$C$11+($A192=Premissas!$C$25)*Premissas!$C$12</f>
        <v>0</v>
      </c>
      <c r="E192" s="36" t="n">
        <f aca="false">(1+Premissas!$C$57)^C192</f>
        <v>2.34477756003513</v>
      </c>
      <c r="F192" s="16" t="n">
        <f aca="false">D192*E192</f>
        <v>0</v>
      </c>
      <c r="G192" s="16" t="n">
        <f aca="false">($A192=Premissas!$C$25)*Premissas!$C$34*Premissas!$C$14*(1+Premissas!$C$57)^C192</f>
        <v>0</v>
      </c>
      <c r="H192" s="16" t="n">
        <f aca="false">IF(AND($A192&gt;Premissas!$C$25,$A192&lt;Premissas!$C$27),Premissas!$C$35/MAX(1,Premissas!$C$26),0)</f>
        <v>0</v>
      </c>
      <c r="I192" s="35" t="n">
        <f aca="false">IF(AND($A192&gt;Premissas!$C$25,((YEAR($A192)-YEAR(Premissas!$C$25))*12+MONTH($A192)-MONTH(Premissas!$C$25))&lt;=Premissas!$C$32),((YEAR($A192)-YEAR(Premissas!$C$25))*12+MONTH($A192)-MONTH(Premissas!$C$25)),0)</f>
        <v>0</v>
      </c>
      <c r="J192" s="16" t="n">
        <f aca="false">IF(I192&gt;0,N191*(1+Premissas!$C$59),0)</f>
        <v>0</v>
      </c>
      <c r="K192" s="16" t="n">
        <f aca="false">J192*Premissas!$C$58</f>
        <v>0</v>
      </c>
      <c r="L192" s="16" t="n">
        <f aca="false">IF(I192&gt;0,J192/(Premissas!$C$32-I192+1),0)</f>
        <v>0</v>
      </c>
      <c r="M192" s="16" t="n">
        <f aca="false">K192+L192</f>
        <v>0</v>
      </c>
      <c r="N192" s="16" t="n">
        <f aca="false">IF($A192=Premissas!$C$25,Premissas!$C$13*E192,IF(I192&gt;0,J192-L192,0))</f>
        <v>0</v>
      </c>
      <c r="O192" s="37" t="n">
        <f aca="false">IF($A192&gt;=Premissas!$C$27,Premissas!$C$39*IF(((YEAR($A192)-YEAR(Premissas!$C$27))*12+MONTH($A192)-MONTH(Premissas!$C$27))&lt;Premissas!$C$41,Premissas!$C$42,1),0)</f>
        <v>0.62</v>
      </c>
      <c r="P192" s="16" t="n">
        <f aca="false">O192*Premissas!$C$38*Premissas!$C$40*(1+Premissas!$C$60)^((YEAR($A192)-YEAR(Premissas!$C$19))*12+MONTH($A192)-MONTH(Premissas!$C$19))</f>
        <v>7882.7360439071</v>
      </c>
      <c r="Q192" s="16" t="n">
        <f aca="false">P192*Premissas!$C$43</f>
        <v>1261.23776702514</v>
      </c>
      <c r="R192" s="16" t="n">
        <f aca="false">P192*Premissas!$C$44</f>
        <v>1576.54720878142</v>
      </c>
      <c r="S192" s="16" t="n">
        <f aca="false">IF($A192&gt;=Premissas!$C$25,Premissas!$C$45*(1+Premissas!$C$60)^((YEAR($A192)-YEAR(Premissas!$C$19))*12+MONTH($A192)-MONTH(Premissas!$C$19)),0)</f>
        <v>1381.96634710854</v>
      </c>
      <c r="T192" s="16" t="n">
        <f aca="false">IF($A192&gt;=Premissas!$C$27,Premissas!$C$46*(1+Premissas!$C$60)^((YEAR($A192)-YEAR(Premissas!$C$19))*12+MONTH($A192)-MONTH(Premissas!$C$19)),0)</f>
        <v>552.786538843415</v>
      </c>
      <c r="U192" s="16" t="n">
        <f aca="false">IF($A192&gt;=Premissas!$C$27,Premissas!$C$47*(1+Premissas!$C$60)^((YEAR($A192)-YEAR(Premissas!$C$19))*12+MONTH($A192)-MONTH(Premissas!$C$19)),0)</f>
        <v>276.393269421708</v>
      </c>
      <c r="V192" s="16" t="n">
        <f aca="false">IF($A192&gt;=Premissas!$C$27,MAX(0,P192-Q192-R192-S192)*Premissas!$C$49,0)</f>
        <v>1007.3207982728</v>
      </c>
      <c r="W192" s="16" t="n">
        <f aca="false">P192-Q192-R192-S192-T192-U192-V192</f>
        <v>1826.48411445408</v>
      </c>
      <c r="X192" s="16" t="n">
        <f aca="false">W192-F192-G192-H192-M192</f>
        <v>1826.48411445408</v>
      </c>
      <c r="Y192" s="16" t="n">
        <f aca="false">Y191+X192</f>
        <v>-661805.04344006</v>
      </c>
      <c r="Z192" s="16" t="n">
        <f aca="false">Premissas!$C$14*(1+Premissas!$C$57)^((YEAR(Premissas!$C$19)-YEAR(Premissas!$C$18))*12+MONTH(Premissas!$C$19)-MONTH(Premissas!$C$18))*(1+Premissas!$C$61)^((YEAR($A192)-YEAR(Premissas!$C$19))*12+MONTH($A192)-MONTH(Premissas!$C$19))</f>
        <v>1022884.8923622</v>
      </c>
      <c r="AA192" s="16" t="n">
        <f aca="false">IF($A192&gt;=Premissas!$C$25,Z192*(1-Premissas!$C$53)-N192-Premissas!$C$54*MAX(0,Z192*(1-Premissas!$C$53)-(Premissas!$C$14*(1+Premissas!$C$57)^((YEAR(Premissas!$C$25)-YEAR(Premissas!$C$18))*12+MONTH(Premissas!$C$25)-MONTH(Premissas!$C$18))*(1+Premissas!$C$34))),"")</f>
        <v>898487.23850906</v>
      </c>
      <c r="AB192" s="16" t="n">
        <f aca="false">IF($A192&gt;=Premissas!$C$25,Y192+AA192,"")</f>
        <v>236682.195069</v>
      </c>
      <c r="AC192" s="20" t="n">
        <f aca="false">IF(AND($A192&gt;=Premissas!$C$27,W192&gt;=M192),$A192,"")</f>
        <v>52079</v>
      </c>
      <c r="AD192" s="20" t="str">
        <f aca="false">IF(AND($A192&gt;=Premissas!$C$27,Y192&gt;=0),$A192,"")</f>
        <v/>
      </c>
      <c r="AE192" s="20" t="n">
        <f aca="false">IF(AND($A192&gt;=Premissas!$C$25,N(AB192)&gt;=0),$A192,"")</f>
        <v>52079</v>
      </c>
    </row>
    <row r="193" customFormat="false" ht="15" hidden="false" customHeight="false" outlineLevel="0" collapsed="false">
      <c r="A193" s="20" t="n">
        <f aca="false">DATE(YEAR(A192),MONTH(A192)+1,1)</f>
        <v>52110</v>
      </c>
      <c r="B193" s="5" t="str">
        <f aca="false">IF($A193&lt;Premissas!$C$25,"Obra",IF($A193=Premissas!$C$25,"Chaves",IF($A193&lt;Premissas!$C$27,"Mobiliando","Airbnb")))</f>
        <v>Airbnb</v>
      </c>
      <c r="C193" s="35" t="n">
        <f aca="false">(YEAR($A193)-YEAR(Premissas!$C$18))*12+MONTH($A193)-MONTH(Premissas!$C$18)</f>
        <v>192</v>
      </c>
      <c r="D193" s="16" t="n">
        <f aca="false">($A193=Premissas!$C$19)*Premissas!$C$8+(($A193=EDATE(Premissas!$C$19,1))+($A193=EDATE(Premissas!$C$19,2)))*Premissas!$C$9+AND($A193&gt;=Premissas!$C$20,$A193&lt;EDATE(Premissas!$C$20,Premissas!$C$21))*Premissas!$C$10+(($A193=Premissas!$C$22)+($A193=Premissas!$C$23)+($A193=Premissas!$C$24))*Premissas!$C$11+($A193=Premissas!$C$25)*Premissas!$C$12</f>
        <v>0</v>
      </c>
      <c r="E193" s="36" t="n">
        <f aca="false">(1+Premissas!$C$57)^C193</f>
        <v>2.35526269931104</v>
      </c>
      <c r="F193" s="16" t="n">
        <f aca="false">D193*E193</f>
        <v>0</v>
      </c>
      <c r="G193" s="16" t="n">
        <f aca="false">($A193=Premissas!$C$25)*Premissas!$C$34*Premissas!$C$14*(1+Premissas!$C$57)^C193</f>
        <v>0</v>
      </c>
      <c r="H193" s="16" t="n">
        <f aca="false">IF(AND($A193&gt;Premissas!$C$25,$A193&lt;Premissas!$C$27),Premissas!$C$35/MAX(1,Premissas!$C$26),0)</f>
        <v>0</v>
      </c>
      <c r="I193" s="35" t="n">
        <f aca="false">IF(AND($A193&gt;Premissas!$C$25,((YEAR($A193)-YEAR(Premissas!$C$25))*12+MONTH($A193)-MONTH(Premissas!$C$25))&lt;=Premissas!$C$32),((YEAR($A193)-YEAR(Premissas!$C$25))*12+MONTH($A193)-MONTH(Premissas!$C$25)),0)</f>
        <v>0</v>
      </c>
      <c r="J193" s="16" t="n">
        <f aca="false">IF(I193&gt;0,N192*(1+Premissas!$C$59),0)</f>
        <v>0</v>
      </c>
      <c r="K193" s="16" t="n">
        <f aca="false">J193*Premissas!$C$58</f>
        <v>0</v>
      </c>
      <c r="L193" s="16" t="n">
        <f aca="false">IF(I193&gt;0,J193/(Premissas!$C$32-I193+1),0)</f>
        <v>0</v>
      </c>
      <c r="M193" s="16" t="n">
        <f aca="false">K193+L193</f>
        <v>0</v>
      </c>
      <c r="N193" s="16" t="n">
        <f aca="false">IF($A193=Premissas!$C$25,Premissas!$C$13*E193,IF(I193&gt;0,J193-L193,0))</f>
        <v>0</v>
      </c>
      <c r="O193" s="37" t="n">
        <f aca="false">IF($A193&gt;=Premissas!$C$27,Premissas!$C$39*IF(((YEAR($A193)-YEAR(Premissas!$C$27))*12+MONTH($A193)-MONTH(Premissas!$C$27))&lt;Premissas!$C$41,Premissas!$C$42,1),0)</f>
        <v>0.62</v>
      </c>
      <c r="P193" s="16" t="n">
        <f aca="false">O193*Premissas!$C$38*Premissas!$C$40*(1+Premissas!$C$60)^((YEAR($A193)-YEAR(Premissas!$C$19))*12+MONTH($A193)-MONTH(Premissas!$C$19))</f>
        <v>7908.54207048661</v>
      </c>
      <c r="Q193" s="16" t="n">
        <f aca="false">P193*Premissas!$C$43</f>
        <v>1265.36673127786</v>
      </c>
      <c r="R193" s="16" t="n">
        <f aca="false">P193*Premissas!$C$44</f>
        <v>1581.70841409732</v>
      </c>
      <c r="S193" s="16" t="n">
        <f aca="false">IF($A193&gt;=Premissas!$C$25,Premissas!$C$45*(1+Premissas!$C$60)^((YEAR($A193)-YEAR(Premissas!$C$19))*12+MONTH($A193)-MONTH(Premissas!$C$19)),0)</f>
        <v>1386.49054531673</v>
      </c>
      <c r="T193" s="16" t="n">
        <f aca="false">IF($A193&gt;=Premissas!$C$27,Premissas!$C$46*(1+Premissas!$C$60)^((YEAR($A193)-YEAR(Premissas!$C$19))*12+MONTH($A193)-MONTH(Premissas!$C$19)),0)</f>
        <v>554.596218126691</v>
      </c>
      <c r="U193" s="16" t="n">
        <f aca="false">IF($A193&gt;=Premissas!$C$27,Premissas!$C$47*(1+Premissas!$C$60)^((YEAR($A193)-YEAR(Premissas!$C$19))*12+MONTH($A193)-MONTH(Premissas!$C$19)),0)</f>
        <v>277.298109063345</v>
      </c>
      <c r="V193" s="16" t="n">
        <f aca="false">IF($A193&gt;=Premissas!$C$27,MAX(0,P193-Q193-R193-S193)*Premissas!$C$49,0)</f>
        <v>1010.61850444354</v>
      </c>
      <c r="W193" s="16" t="n">
        <f aca="false">P193-Q193-R193-S193-T193-U193-V193</f>
        <v>1832.46354816112</v>
      </c>
      <c r="X193" s="16" t="n">
        <f aca="false">W193-F193-G193-H193-M193</f>
        <v>1832.46354816112</v>
      </c>
      <c r="Y193" s="16" t="n">
        <f aca="false">Y192+X193</f>
        <v>-659972.579891899</v>
      </c>
      <c r="Z193" s="16" t="n">
        <f aca="false">Premissas!$C$14*(1+Premissas!$C$57)^((YEAR(Premissas!$C$19)-YEAR(Premissas!$C$18))*12+MONTH(Premissas!$C$19)-MONTH(Premissas!$C$18))*(1+Premissas!$C$61)^((YEAR($A193)-YEAR(Premissas!$C$19))*12+MONTH($A193)-MONTH(Premissas!$C$19))</f>
        <v>1027052.2520301</v>
      </c>
      <c r="AA193" s="16" t="n">
        <f aca="false">IF($A193&gt;=Premissas!$C$25,Z193*(1-Premissas!$C$53)-N193-Premissas!$C$54*MAX(0,Z193*(1-Premissas!$C$53)-(Premissas!$C$14*(1+Premissas!$C$57)^((YEAR(Premissas!$C$25)-YEAR(Premissas!$C$18))*12+MONTH(Premissas!$C$25)-MONTH(Premissas!$C$18))*(1+Premissas!$C$34))),"")</f>
        <v>901816.958883718</v>
      </c>
      <c r="AB193" s="16" t="n">
        <f aca="false">IF($A193&gt;=Premissas!$C$25,Y193+AA193,"")</f>
        <v>241844.378991819</v>
      </c>
      <c r="AC193" s="20" t="n">
        <f aca="false">IF(AND($A193&gt;=Premissas!$C$27,W193&gt;=M193),$A193,"")</f>
        <v>52110</v>
      </c>
      <c r="AD193" s="20" t="str">
        <f aca="false">IF(AND($A193&gt;=Premissas!$C$27,Y193&gt;=0),$A193,"")</f>
        <v/>
      </c>
      <c r="AE193" s="20" t="n">
        <f aca="false">IF(AND($A193&gt;=Premissas!$C$25,N(AB193)&gt;=0),$A193,"")</f>
        <v>52110</v>
      </c>
    </row>
    <row r="194" customFormat="false" ht="15" hidden="false" customHeight="false" outlineLevel="0" collapsed="false">
      <c r="A194" s="20" t="n">
        <f aca="false">DATE(YEAR(A193),MONTH(A193)+1,1)</f>
        <v>52140</v>
      </c>
      <c r="B194" s="5" t="str">
        <f aca="false">IF($A194&lt;Premissas!$C$25,"Obra",IF($A194=Premissas!$C$25,"Chaves",IF($A194&lt;Premissas!$C$27,"Mobiliando","Airbnb")))</f>
        <v>Airbnb</v>
      </c>
      <c r="C194" s="35" t="n">
        <f aca="false">(YEAR($A194)-YEAR(Premissas!$C$18))*12+MONTH($A194)-MONTH(Premissas!$C$18)</f>
        <v>193</v>
      </c>
      <c r="D194" s="16" t="n">
        <f aca="false">($A194=Premissas!$C$19)*Premissas!$C$8+(($A194=EDATE(Premissas!$C$19,1))+($A194=EDATE(Premissas!$C$19,2)))*Premissas!$C$9+AND($A194&gt;=Premissas!$C$20,$A194&lt;EDATE(Premissas!$C$20,Premissas!$C$21))*Premissas!$C$10+(($A194=Premissas!$C$22)+($A194=Premissas!$C$23)+($A194=Premissas!$C$24))*Premissas!$C$11+($A194=Premissas!$C$25)*Premissas!$C$12</f>
        <v>0</v>
      </c>
      <c r="E194" s="36" t="n">
        <f aca="false">(1+Premissas!$C$57)^C194</f>
        <v>2.3657947249729</v>
      </c>
      <c r="F194" s="16" t="n">
        <f aca="false">D194*E194</f>
        <v>0</v>
      </c>
      <c r="G194" s="16" t="n">
        <f aca="false">($A194=Premissas!$C$25)*Premissas!$C$34*Premissas!$C$14*(1+Premissas!$C$57)^C194</f>
        <v>0</v>
      </c>
      <c r="H194" s="16" t="n">
        <f aca="false">IF(AND($A194&gt;Premissas!$C$25,$A194&lt;Premissas!$C$27),Premissas!$C$35/MAX(1,Premissas!$C$26),0)</f>
        <v>0</v>
      </c>
      <c r="I194" s="35" t="n">
        <f aca="false">IF(AND($A194&gt;Premissas!$C$25,((YEAR($A194)-YEAR(Premissas!$C$25))*12+MONTH($A194)-MONTH(Premissas!$C$25))&lt;=Premissas!$C$32),((YEAR($A194)-YEAR(Premissas!$C$25))*12+MONTH($A194)-MONTH(Premissas!$C$25)),0)</f>
        <v>0</v>
      </c>
      <c r="J194" s="16" t="n">
        <f aca="false">IF(I194&gt;0,N193*(1+Premissas!$C$59),0)</f>
        <v>0</v>
      </c>
      <c r="K194" s="16" t="n">
        <f aca="false">J194*Premissas!$C$58</f>
        <v>0</v>
      </c>
      <c r="L194" s="16" t="n">
        <f aca="false">IF(I194&gt;0,J194/(Premissas!$C$32-I194+1),0)</f>
        <v>0</v>
      </c>
      <c r="M194" s="16" t="n">
        <f aca="false">K194+L194</f>
        <v>0</v>
      </c>
      <c r="N194" s="16" t="n">
        <f aca="false">IF($A194=Premissas!$C$25,Premissas!$C$13*E194,IF(I194&gt;0,J194-L194,0))</f>
        <v>0</v>
      </c>
      <c r="O194" s="37" t="n">
        <f aca="false">IF($A194&gt;=Premissas!$C$27,Premissas!$C$39*IF(((YEAR($A194)-YEAR(Premissas!$C$27))*12+MONTH($A194)-MONTH(Premissas!$C$27))&lt;Premissas!$C$41,Premissas!$C$42,1),0)</f>
        <v>0.62</v>
      </c>
      <c r="P194" s="16" t="n">
        <f aca="false">O194*Premissas!$C$38*Premissas!$C$40*(1+Premissas!$C$60)^((YEAR($A194)-YEAR(Premissas!$C$19))*12+MONTH($A194)-MONTH(Premissas!$C$19))</f>
        <v>7934.43257928196</v>
      </c>
      <c r="Q194" s="16" t="n">
        <f aca="false">P194*Premissas!$C$43</f>
        <v>1269.50921268511</v>
      </c>
      <c r="R194" s="16" t="n">
        <f aca="false">P194*Premissas!$C$44</f>
        <v>1586.88651585639</v>
      </c>
      <c r="S194" s="16" t="n">
        <f aca="false">IF($A194&gt;=Premissas!$C$25,Premissas!$C$45*(1+Premissas!$C$60)^((YEAR($A194)-YEAR(Premissas!$C$19))*12+MONTH($A194)-MONTH(Premissas!$C$19)),0)</f>
        <v>1391.02955457257</v>
      </c>
      <c r="T194" s="16" t="n">
        <f aca="false">IF($A194&gt;=Premissas!$C$27,Premissas!$C$46*(1+Premissas!$C$60)^((YEAR($A194)-YEAR(Premissas!$C$19))*12+MONTH($A194)-MONTH(Premissas!$C$19)),0)</f>
        <v>556.411821829029</v>
      </c>
      <c r="U194" s="16" t="n">
        <f aca="false">IF($A194&gt;=Premissas!$C$27,Premissas!$C$47*(1+Premissas!$C$60)^((YEAR($A194)-YEAR(Premissas!$C$19))*12+MONTH($A194)-MONTH(Premissas!$C$19)),0)</f>
        <v>278.205910914515</v>
      </c>
      <c r="V194" s="16" t="n">
        <f aca="false">IF($A194&gt;=Premissas!$C$27,MAX(0,P194-Q194-R194-S194)*Premissas!$C$49,0)</f>
        <v>1013.92700644617</v>
      </c>
      <c r="W194" s="16" t="n">
        <f aca="false">P194-Q194-R194-S194-T194-U194-V194</f>
        <v>1838.46255697817</v>
      </c>
      <c r="X194" s="16" t="n">
        <f aca="false">W194-F194-G194-H194-M194</f>
        <v>1838.46255697817</v>
      </c>
      <c r="Y194" s="16" t="n">
        <f aca="false">Y193+X194</f>
        <v>-658134.117334921</v>
      </c>
      <c r="Z194" s="16" t="n">
        <f aca="false">Premissas!$C$14*(1+Premissas!$C$57)^((YEAR(Premissas!$C$19)-YEAR(Premissas!$C$18))*12+MONTH(Premissas!$C$19)-MONTH(Premissas!$C$18))*(1+Premissas!$C$61)^((YEAR($A194)-YEAR(Premissas!$C$19))*12+MONTH($A194)-MONTH(Premissas!$C$19))</f>
        <v>1031236.59003715</v>
      </c>
      <c r="AA194" s="16" t="n">
        <f aca="false">IF($A194&gt;=Premissas!$C$25,Z194*(1-Premissas!$C$53)-N194-Premissas!$C$54*MAX(0,Z194*(1-Premissas!$C$53)-(Premissas!$C$14*(1+Premissas!$C$57)^((YEAR(Premissas!$C$25)-YEAR(Premissas!$C$18))*12+MONTH(Premissas!$C$25)-MONTH(Premissas!$C$18))*(1+Premissas!$C$34))),"")</f>
        <v>905160.244951348</v>
      </c>
      <c r="AB194" s="16" t="n">
        <f aca="false">IF($A194&gt;=Premissas!$C$25,Y194+AA194,"")</f>
        <v>247026.127616427</v>
      </c>
      <c r="AC194" s="20" t="n">
        <f aca="false">IF(AND($A194&gt;=Premissas!$C$27,W194&gt;=M194),$A194,"")</f>
        <v>52140</v>
      </c>
      <c r="AD194" s="20" t="str">
        <f aca="false">IF(AND($A194&gt;=Premissas!$C$27,Y194&gt;=0),$A194,"")</f>
        <v/>
      </c>
      <c r="AE194" s="20" t="n">
        <f aca="false">IF(AND($A194&gt;=Premissas!$C$25,N(AB194)&gt;=0),$A194,"")</f>
        <v>52140</v>
      </c>
    </row>
    <row r="195" customFormat="false" ht="15" hidden="false" customHeight="false" outlineLevel="0" collapsed="false">
      <c r="A195" s="20" t="n">
        <f aca="false">DATE(YEAR(A194),MONTH(A194)+1,1)</f>
        <v>52171</v>
      </c>
      <c r="B195" s="5" t="str">
        <f aca="false">IF($A195&lt;Premissas!$C$25,"Obra",IF($A195=Premissas!$C$25,"Chaves",IF($A195&lt;Premissas!$C$27,"Mobiliando","Airbnb")))</f>
        <v>Airbnb</v>
      </c>
      <c r="C195" s="35" t="n">
        <f aca="false">(YEAR($A195)-YEAR(Premissas!$C$18))*12+MONTH($A195)-MONTH(Premissas!$C$18)</f>
        <v>194</v>
      </c>
      <c r="D195" s="16" t="n">
        <f aca="false">($A195=Premissas!$C$19)*Premissas!$C$8+(($A195=EDATE(Premissas!$C$19,1))+($A195=EDATE(Premissas!$C$19,2)))*Premissas!$C$9+AND($A195&gt;=Premissas!$C$20,$A195&lt;EDATE(Premissas!$C$20,Premissas!$C$21))*Premissas!$C$10+(($A195=Premissas!$C$22)+($A195=Premissas!$C$23)+($A195=Premissas!$C$24))*Premissas!$C$11+($A195=Premissas!$C$25)*Premissas!$C$12</f>
        <v>0</v>
      </c>
      <c r="E195" s="36" t="n">
        <f aca="false">(1+Premissas!$C$57)^C195</f>
        <v>2.37637384668251</v>
      </c>
      <c r="F195" s="16" t="n">
        <f aca="false">D195*E195</f>
        <v>0</v>
      </c>
      <c r="G195" s="16" t="n">
        <f aca="false">($A195=Premissas!$C$25)*Premissas!$C$34*Premissas!$C$14*(1+Premissas!$C$57)^C195</f>
        <v>0</v>
      </c>
      <c r="H195" s="16" t="n">
        <f aca="false">IF(AND($A195&gt;Premissas!$C$25,$A195&lt;Premissas!$C$27),Premissas!$C$35/MAX(1,Premissas!$C$26),0)</f>
        <v>0</v>
      </c>
      <c r="I195" s="35" t="n">
        <f aca="false">IF(AND($A195&gt;Premissas!$C$25,((YEAR($A195)-YEAR(Premissas!$C$25))*12+MONTH($A195)-MONTH(Premissas!$C$25))&lt;=Premissas!$C$32),((YEAR($A195)-YEAR(Premissas!$C$25))*12+MONTH($A195)-MONTH(Premissas!$C$25)),0)</f>
        <v>0</v>
      </c>
      <c r="J195" s="16" t="n">
        <f aca="false">IF(I195&gt;0,N194*(1+Premissas!$C$59),0)</f>
        <v>0</v>
      </c>
      <c r="K195" s="16" t="n">
        <f aca="false">J195*Premissas!$C$58</f>
        <v>0</v>
      </c>
      <c r="L195" s="16" t="n">
        <f aca="false">IF(I195&gt;0,J195/(Premissas!$C$32-I195+1),0)</f>
        <v>0</v>
      </c>
      <c r="M195" s="16" t="n">
        <f aca="false">K195+L195</f>
        <v>0</v>
      </c>
      <c r="N195" s="16" t="n">
        <f aca="false">IF($A195=Premissas!$C$25,Premissas!$C$13*E195,IF(I195&gt;0,J195-L195,0))</f>
        <v>0</v>
      </c>
      <c r="O195" s="37" t="n">
        <f aca="false">IF($A195&gt;=Premissas!$C$27,Premissas!$C$39*IF(((YEAR($A195)-YEAR(Premissas!$C$27))*12+MONTH($A195)-MONTH(Premissas!$C$27))&lt;Premissas!$C$41,Premissas!$C$42,1),0)</f>
        <v>0.62</v>
      </c>
      <c r="P195" s="16" t="n">
        <f aca="false">O195*Premissas!$C$38*Premissas!$C$40*(1+Premissas!$C$60)^((YEAR($A195)-YEAR(Premissas!$C$19))*12+MONTH($A195)-MONTH(Premissas!$C$19))</f>
        <v>7960.40784686593</v>
      </c>
      <c r="Q195" s="16" t="n">
        <f aca="false">P195*Premissas!$C$43</f>
        <v>1273.66525549855</v>
      </c>
      <c r="R195" s="16" t="n">
        <f aca="false">P195*Premissas!$C$44</f>
        <v>1592.08156937319</v>
      </c>
      <c r="S195" s="16" t="n">
        <f aca="false">IF($A195&gt;=Premissas!$C$25,Premissas!$C$45*(1+Premissas!$C$60)^((YEAR($A195)-YEAR(Premissas!$C$19))*12+MONTH($A195)-MONTH(Premissas!$C$19)),0)</f>
        <v>1395.58342336359</v>
      </c>
      <c r="T195" s="16" t="n">
        <f aca="false">IF($A195&gt;=Premissas!$C$27,Premissas!$C$46*(1+Premissas!$C$60)^((YEAR($A195)-YEAR(Premissas!$C$19))*12+MONTH($A195)-MONTH(Premissas!$C$19)),0)</f>
        <v>558.233369345437</v>
      </c>
      <c r="U195" s="16" t="n">
        <f aca="false">IF($A195&gt;=Premissas!$C$27,Premissas!$C$47*(1+Premissas!$C$60)^((YEAR($A195)-YEAR(Premissas!$C$19))*12+MONTH($A195)-MONTH(Premissas!$C$19)),0)</f>
        <v>279.116684672718</v>
      </c>
      <c r="V195" s="16" t="n">
        <f aca="false">IF($A195&gt;=Premissas!$C$27,MAX(0,P195-Q195-R195-S195)*Premissas!$C$49,0)</f>
        <v>1017.24633962342</v>
      </c>
      <c r="W195" s="16" t="n">
        <f aca="false">P195-Q195-R195-S195-T195-U195-V195</f>
        <v>1844.48120498903</v>
      </c>
      <c r="X195" s="16" t="n">
        <f aca="false">W195-F195-G195-H195-M195</f>
        <v>1844.48120498903</v>
      </c>
      <c r="Y195" s="16" t="n">
        <f aca="false">Y194+X195</f>
        <v>-656289.636129932</v>
      </c>
      <c r="Z195" s="16" t="n">
        <f aca="false">Premissas!$C$14*(1+Premissas!$C$57)^((YEAR(Premissas!$C$19)-YEAR(Premissas!$C$18))*12+MONTH(Premissas!$C$19)-MONTH(Premissas!$C$18))*(1+Premissas!$C$61)^((YEAR($A195)-YEAR(Premissas!$C$19))*12+MONTH($A195)-MONTH(Premissas!$C$19))</f>
        <v>1035437.97555519</v>
      </c>
      <c r="AA195" s="16" t="n">
        <f aca="false">IF($A195&gt;=Premissas!$C$25,Z195*(1-Premissas!$C$53)-N195-Premissas!$C$54*MAX(0,Z195*(1-Premissas!$C$53)-(Premissas!$C$14*(1+Premissas!$C$57)^((YEAR(Premissas!$C$25)-YEAR(Premissas!$C$18))*12+MONTH(Premissas!$C$25)-MONTH(Premissas!$C$18))*(1+Premissas!$C$34))),"")</f>
        <v>908517.151980261</v>
      </c>
      <c r="AB195" s="16" t="n">
        <f aca="false">IF($A195&gt;=Premissas!$C$25,Y195+AA195,"")</f>
        <v>252227.515850329</v>
      </c>
      <c r="AC195" s="20" t="n">
        <f aca="false">IF(AND($A195&gt;=Premissas!$C$27,W195&gt;=M195),$A195,"")</f>
        <v>52171</v>
      </c>
      <c r="AD195" s="20" t="str">
        <f aca="false">IF(AND($A195&gt;=Premissas!$C$27,Y195&gt;=0),$A195,"")</f>
        <v/>
      </c>
      <c r="AE195" s="20" t="n">
        <f aca="false">IF(AND($A195&gt;=Premissas!$C$25,N(AB195)&gt;=0),$A195,"")</f>
        <v>52171</v>
      </c>
    </row>
    <row r="196" customFormat="false" ht="15" hidden="false" customHeight="false" outlineLevel="0" collapsed="false">
      <c r="A196" s="20" t="n">
        <f aca="false">DATE(YEAR(A195),MONTH(A195)+1,1)</f>
        <v>52201</v>
      </c>
      <c r="B196" s="5" t="str">
        <f aca="false">IF($A196&lt;Premissas!$C$25,"Obra",IF($A196=Premissas!$C$25,"Chaves",IF($A196&lt;Premissas!$C$27,"Mobiliando","Airbnb")))</f>
        <v>Airbnb</v>
      </c>
      <c r="C196" s="35" t="n">
        <f aca="false">(YEAR($A196)-YEAR(Premissas!$C$18))*12+MONTH($A196)-MONTH(Premissas!$C$18)</f>
        <v>195</v>
      </c>
      <c r="D196" s="16" t="n">
        <f aca="false">($A196=Premissas!$C$19)*Premissas!$C$8+(($A196=EDATE(Premissas!$C$19,1))+($A196=EDATE(Premissas!$C$19,2)))*Premissas!$C$9+AND($A196&gt;=Premissas!$C$20,$A196&lt;EDATE(Premissas!$C$20,Premissas!$C$21))*Premissas!$C$10+(($A196=Premissas!$C$22)+($A196=Premissas!$C$23)+($A196=Premissas!$C$24))*Premissas!$C$11+($A196=Premissas!$C$25)*Premissas!$C$12</f>
        <v>0</v>
      </c>
      <c r="E196" s="36" t="n">
        <f aca="false">(1+Premissas!$C$57)^C196</f>
        <v>2.38700027503921</v>
      </c>
      <c r="F196" s="16" t="n">
        <f aca="false">D196*E196</f>
        <v>0</v>
      </c>
      <c r="G196" s="16" t="n">
        <f aca="false">($A196=Premissas!$C$25)*Premissas!$C$34*Premissas!$C$14*(1+Premissas!$C$57)^C196</f>
        <v>0</v>
      </c>
      <c r="H196" s="16" t="n">
        <f aca="false">IF(AND($A196&gt;Premissas!$C$25,$A196&lt;Premissas!$C$27),Premissas!$C$35/MAX(1,Premissas!$C$26),0)</f>
        <v>0</v>
      </c>
      <c r="I196" s="35" t="n">
        <f aca="false">IF(AND($A196&gt;Premissas!$C$25,((YEAR($A196)-YEAR(Premissas!$C$25))*12+MONTH($A196)-MONTH(Premissas!$C$25))&lt;=Premissas!$C$32),((YEAR($A196)-YEAR(Premissas!$C$25))*12+MONTH($A196)-MONTH(Premissas!$C$25)),0)</f>
        <v>0</v>
      </c>
      <c r="J196" s="16" t="n">
        <f aca="false">IF(I196&gt;0,N195*(1+Premissas!$C$59),0)</f>
        <v>0</v>
      </c>
      <c r="K196" s="16" t="n">
        <f aca="false">J196*Premissas!$C$58</f>
        <v>0</v>
      </c>
      <c r="L196" s="16" t="n">
        <f aca="false">IF(I196&gt;0,J196/(Premissas!$C$32-I196+1),0)</f>
        <v>0</v>
      </c>
      <c r="M196" s="16" t="n">
        <f aca="false">K196+L196</f>
        <v>0</v>
      </c>
      <c r="N196" s="16" t="n">
        <f aca="false">IF($A196=Premissas!$C$25,Premissas!$C$13*E196,IF(I196&gt;0,J196-L196,0))</f>
        <v>0</v>
      </c>
      <c r="O196" s="37" t="n">
        <f aca="false">IF($A196&gt;=Premissas!$C$27,Premissas!$C$39*IF(((YEAR($A196)-YEAR(Premissas!$C$27))*12+MONTH($A196)-MONTH(Premissas!$C$27))&lt;Premissas!$C$41,Premissas!$C$42,1),0)</f>
        <v>0.62</v>
      </c>
      <c r="P196" s="16" t="n">
        <f aca="false">O196*Premissas!$C$38*Premissas!$C$40*(1+Premissas!$C$60)^((YEAR($A196)-YEAR(Premissas!$C$19))*12+MONTH($A196)-MONTH(Premissas!$C$19))</f>
        <v>7986.46815071674</v>
      </c>
      <c r="Q196" s="16" t="n">
        <f aca="false">P196*Premissas!$C$43</f>
        <v>1277.83490411468</v>
      </c>
      <c r="R196" s="16" t="n">
        <f aca="false">P196*Premissas!$C$44</f>
        <v>1597.29363014335</v>
      </c>
      <c r="S196" s="16" t="n">
        <f aca="false">IF($A196&gt;=Premissas!$C$25,Premissas!$C$45*(1+Premissas!$C$60)^((YEAR($A196)-YEAR(Premissas!$C$19))*12+MONTH($A196)-MONTH(Premissas!$C$19)),0)</f>
        <v>1400.15220033603</v>
      </c>
      <c r="T196" s="16" t="n">
        <f aca="false">IF($A196&gt;=Premissas!$C$27,Premissas!$C$46*(1+Premissas!$C$60)^((YEAR($A196)-YEAR(Premissas!$C$19))*12+MONTH($A196)-MONTH(Premissas!$C$19)),0)</f>
        <v>560.060880134414</v>
      </c>
      <c r="U196" s="16" t="n">
        <f aca="false">IF($A196&gt;=Premissas!$C$27,Premissas!$C$47*(1+Premissas!$C$60)^((YEAR($A196)-YEAR(Premissas!$C$19))*12+MONTH($A196)-MONTH(Premissas!$C$19)),0)</f>
        <v>280.030440067207</v>
      </c>
      <c r="V196" s="16" t="n">
        <f aca="false">IF($A196&gt;=Premissas!$C$27,MAX(0,P196-Q196-R196-S196)*Premissas!$C$49,0)</f>
        <v>1020.57653943374</v>
      </c>
      <c r="W196" s="16" t="n">
        <f aca="false">P196-Q196-R196-S196-T196-U196-V196</f>
        <v>1850.51955648732</v>
      </c>
      <c r="X196" s="16" t="n">
        <f aca="false">W196-F196-G196-H196-M196</f>
        <v>1850.51955648732</v>
      </c>
      <c r="Y196" s="16" t="n">
        <f aca="false">Y195+X196</f>
        <v>-654439.116573445</v>
      </c>
      <c r="Z196" s="16" t="n">
        <f aca="false">Premissas!$C$14*(1+Premissas!$C$57)^((YEAR(Premissas!$C$19)-YEAR(Premissas!$C$18))*12+MONTH(Premissas!$C$19)-MONTH(Premissas!$C$18))*(1+Premissas!$C$61)^((YEAR($A196)-YEAR(Premissas!$C$19))*12+MONTH($A196)-MONTH(Premissas!$C$19))</f>
        <v>1039656.47803789</v>
      </c>
      <c r="AA196" s="16" t="n">
        <f aca="false">IF($A196&gt;=Premissas!$C$25,Z196*(1-Premissas!$C$53)-N196-Premissas!$C$54*MAX(0,Z196*(1-Premissas!$C$53)-(Premissas!$C$14*(1+Premissas!$C$57)^((YEAR(Premissas!$C$25)-YEAR(Premissas!$C$18))*12+MONTH(Premissas!$C$25)-MONTH(Premissas!$C$18))*(1+Premissas!$C$34))),"")</f>
        <v>911887.73546394</v>
      </c>
      <c r="AB196" s="16" t="n">
        <f aca="false">IF($A196&gt;=Premissas!$C$25,Y196+AA196,"")</f>
        <v>257448.618890495</v>
      </c>
      <c r="AC196" s="20" t="n">
        <f aca="false">IF(AND($A196&gt;=Premissas!$C$27,W196&gt;=M196),$A196,"")</f>
        <v>52201</v>
      </c>
      <c r="AD196" s="20" t="str">
        <f aca="false">IF(AND($A196&gt;=Premissas!$C$27,Y196&gt;=0),$A196,"")</f>
        <v/>
      </c>
      <c r="AE196" s="20" t="n">
        <f aca="false">IF(AND($A196&gt;=Premissas!$C$25,N(AB196)&gt;=0),$A196,"")</f>
        <v>52201</v>
      </c>
    </row>
    <row r="197" customFormat="false" ht="15" hidden="false" customHeight="false" outlineLevel="0" collapsed="false">
      <c r="A197" s="29" t="n">
        <f aca="false">DATE(YEAR(A196),MONTH(A196)+1,1)</f>
        <v>52232</v>
      </c>
      <c r="B197" s="30" t="str">
        <f aca="false">IF($A197&lt;Premissas!$C$25,"Obra",IF($A197=Premissas!$C$25,"Chaves",IF($A197&lt;Premissas!$C$27,"Mobiliando","Airbnb")))</f>
        <v>Airbnb</v>
      </c>
      <c r="C197" s="31" t="n">
        <f aca="false">(YEAR($A197)-YEAR(Premissas!$C$18))*12+MONTH($A197)-MONTH(Premissas!$C$18)</f>
        <v>196</v>
      </c>
      <c r="D197" s="32" t="n">
        <f aca="false">($A197=Premissas!$C$19)*Premissas!$C$8+(($A197=EDATE(Premissas!$C$19,1))+($A197=EDATE(Premissas!$C$19,2)))*Premissas!$C$9+AND($A197&gt;=Premissas!$C$20,$A197&lt;EDATE(Premissas!$C$20,Premissas!$C$21))*Premissas!$C$10+(($A197=Premissas!$C$22)+($A197=Premissas!$C$23)+($A197=Premissas!$C$24))*Premissas!$C$11+($A197=Premissas!$C$25)*Premissas!$C$12</f>
        <v>0</v>
      </c>
      <c r="E197" s="33" t="n">
        <f aca="false">(1+Premissas!$C$57)^C197</f>
        <v>2.39767422158408</v>
      </c>
      <c r="F197" s="32" t="n">
        <f aca="false">D197*E197</f>
        <v>0</v>
      </c>
      <c r="G197" s="32" t="n">
        <f aca="false">($A197=Premissas!$C$25)*Premissas!$C$34*Premissas!$C$14*(1+Premissas!$C$57)^C197</f>
        <v>0</v>
      </c>
      <c r="H197" s="32" t="n">
        <f aca="false">IF(AND($A197&gt;Premissas!$C$25,$A197&lt;Premissas!$C$27),Premissas!$C$35/MAX(1,Premissas!$C$26),0)</f>
        <v>0</v>
      </c>
      <c r="I197" s="31" t="n">
        <f aca="false">IF(AND($A197&gt;Premissas!$C$25,((YEAR($A197)-YEAR(Premissas!$C$25))*12+MONTH($A197)-MONTH(Premissas!$C$25))&lt;=Premissas!$C$32),((YEAR($A197)-YEAR(Premissas!$C$25))*12+MONTH($A197)-MONTH(Premissas!$C$25)),0)</f>
        <v>0</v>
      </c>
      <c r="J197" s="32" t="n">
        <f aca="false">IF(I197&gt;0,N196*(1+Premissas!$C$59),0)</f>
        <v>0</v>
      </c>
      <c r="K197" s="32" t="n">
        <f aca="false">J197*Premissas!$C$58</f>
        <v>0</v>
      </c>
      <c r="L197" s="32" t="n">
        <f aca="false">IF(I197&gt;0,J197/(Premissas!$C$32-I197+1),0)</f>
        <v>0</v>
      </c>
      <c r="M197" s="32" t="n">
        <f aca="false">K197+L197</f>
        <v>0</v>
      </c>
      <c r="N197" s="32" t="n">
        <f aca="false">IF($A197=Premissas!$C$25,Premissas!$C$13*E197,IF(I197&gt;0,J197-L197,0))</f>
        <v>0</v>
      </c>
      <c r="O197" s="34" t="n">
        <f aca="false">IF($A197&gt;=Premissas!$C$27,Premissas!$C$39*IF(((YEAR($A197)-YEAR(Premissas!$C$27))*12+MONTH($A197)-MONTH(Premissas!$C$27))&lt;Premissas!$C$41,Premissas!$C$42,1),0)</f>
        <v>0.62</v>
      </c>
      <c r="P197" s="32" t="n">
        <f aca="false">O197*Premissas!$C$38*Premissas!$C$40*(1+Premissas!$C$60)^((YEAR($A197)-YEAR(Premissas!$C$19))*12+MONTH($A197)-MONTH(Premissas!$C$19))</f>
        <v>8012.61376922101</v>
      </c>
      <c r="Q197" s="32" t="n">
        <f aca="false">P197*Premissas!$C$43</f>
        <v>1282.01820307536</v>
      </c>
      <c r="R197" s="32" t="n">
        <f aca="false">P197*Premissas!$C$44</f>
        <v>1602.5227538442</v>
      </c>
      <c r="S197" s="32" t="n">
        <f aca="false">IF($A197&gt;=Premissas!$C$25,Premissas!$C$45*(1+Premissas!$C$60)^((YEAR($A197)-YEAR(Premissas!$C$19))*12+MONTH($A197)-MONTH(Premissas!$C$19)),0)</f>
        <v>1404.73593429541</v>
      </c>
      <c r="T197" s="32" t="n">
        <f aca="false">IF($A197&gt;=Premissas!$C$27,Premissas!$C$46*(1+Premissas!$C$60)^((YEAR($A197)-YEAR(Premissas!$C$19))*12+MONTH($A197)-MONTH(Premissas!$C$19)),0)</f>
        <v>561.894373718163</v>
      </c>
      <c r="U197" s="32" t="n">
        <f aca="false">IF($A197&gt;=Premissas!$C$27,Premissas!$C$47*(1+Premissas!$C$60)^((YEAR($A197)-YEAR(Premissas!$C$19))*12+MONTH($A197)-MONTH(Premissas!$C$19)),0)</f>
        <v>280.947186859082</v>
      </c>
      <c r="V197" s="32" t="n">
        <f aca="false">IF($A197&gt;=Premissas!$C$27,MAX(0,P197-Q197-R197-S197)*Premissas!$C$49,0)</f>
        <v>1023.91764145166</v>
      </c>
      <c r="W197" s="32" t="n">
        <f aca="false">P197-Q197-R197-S197-T197-U197-V197</f>
        <v>1856.57767597713</v>
      </c>
      <c r="X197" s="32" t="n">
        <f aca="false">W197-F197-G197-H197-M197</f>
        <v>1856.57767597713</v>
      </c>
      <c r="Y197" s="32" t="n">
        <f aca="false">Y196+X197</f>
        <v>-652582.538897467</v>
      </c>
      <c r="Z197" s="32" t="n">
        <f aca="false">Premissas!$C$14*(1+Premissas!$C$57)^((YEAR(Premissas!$C$19)-YEAR(Premissas!$C$18))*12+MONTH(Premissas!$C$19)-MONTH(Premissas!$C$18))*(1+Premissas!$C$61)^((YEAR($A197)-YEAR(Premissas!$C$19))*12+MONTH($A197)-MONTH(Premissas!$C$19))</f>
        <v>1043892.16722189</v>
      </c>
      <c r="AA197" s="32" t="n">
        <f aca="false">IF($A197&gt;=Premissas!$C$25,Z197*(1-Premissas!$C$53)-N197-Premissas!$C$54*MAX(0,Z197*(1-Premissas!$C$53)-(Premissas!$C$14*(1+Premissas!$C$57)^((YEAR(Premissas!$C$25)-YEAR(Premissas!$C$18))*12+MONTH(Premissas!$C$25)-MONTH(Premissas!$C$18))*(1+Premissas!$C$34))),"")</f>
        <v>915272.051121954</v>
      </c>
      <c r="AB197" s="32" t="n">
        <f aca="false">IF($A197&gt;=Premissas!$C$25,Y197+AA197,"")</f>
        <v>262689.512224487</v>
      </c>
      <c r="AC197" s="29" t="n">
        <f aca="false">IF(AND($A197&gt;=Premissas!$C$27,W197&gt;=M197),$A197,"")</f>
        <v>52232</v>
      </c>
      <c r="AD197" s="29" t="str">
        <f aca="false">IF(AND($A197&gt;=Premissas!$C$27,Y197&gt;=0),$A197,"")</f>
        <v/>
      </c>
      <c r="AE197" s="29" t="n">
        <f aca="false">IF(AND($A197&gt;=Premissas!$C$25,N(AB197)&gt;=0),$A197,"")</f>
        <v>52232</v>
      </c>
    </row>
    <row r="198" customFormat="false" ht="15" hidden="false" customHeight="false" outlineLevel="0" collapsed="false">
      <c r="A198" s="20" t="n">
        <f aca="false">DATE(YEAR(A197),MONTH(A197)+1,1)</f>
        <v>52263</v>
      </c>
      <c r="B198" s="5" t="str">
        <f aca="false">IF($A198&lt;Premissas!$C$25,"Obra",IF($A198=Premissas!$C$25,"Chaves",IF($A198&lt;Premissas!$C$27,"Mobiliando","Airbnb")))</f>
        <v>Airbnb</v>
      </c>
      <c r="C198" s="35" t="n">
        <f aca="false">(YEAR($A198)-YEAR(Premissas!$C$18))*12+MONTH($A198)-MONTH(Premissas!$C$18)</f>
        <v>197</v>
      </c>
      <c r="D198" s="16" t="n">
        <f aca="false">($A198=Premissas!$C$19)*Premissas!$C$8+(($A198=EDATE(Premissas!$C$19,1))+($A198=EDATE(Premissas!$C$19,2)))*Premissas!$C$9+AND($A198&gt;=Premissas!$C$20,$A198&lt;EDATE(Premissas!$C$20,Premissas!$C$21))*Premissas!$C$10+(($A198=Premissas!$C$22)+($A198=Premissas!$C$23)+($A198=Premissas!$C$24))*Premissas!$C$11+($A198=Premissas!$C$25)*Premissas!$C$12</f>
        <v>0</v>
      </c>
      <c r="E198" s="36" t="n">
        <f aca="false">(1+Premissas!$C$57)^C198</f>
        <v>2.40839589880416</v>
      </c>
      <c r="F198" s="16" t="n">
        <f aca="false">D198*E198</f>
        <v>0</v>
      </c>
      <c r="G198" s="16" t="n">
        <f aca="false">($A198=Premissas!$C$25)*Premissas!$C$34*Premissas!$C$14*(1+Premissas!$C$57)^C198</f>
        <v>0</v>
      </c>
      <c r="H198" s="16" t="n">
        <f aca="false">IF(AND($A198&gt;Premissas!$C$25,$A198&lt;Premissas!$C$27),Premissas!$C$35/MAX(1,Premissas!$C$26),0)</f>
        <v>0</v>
      </c>
      <c r="I198" s="35" t="n">
        <f aca="false">IF(AND($A198&gt;Premissas!$C$25,((YEAR($A198)-YEAR(Premissas!$C$25))*12+MONTH($A198)-MONTH(Premissas!$C$25))&lt;=Premissas!$C$32),((YEAR($A198)-YEAR(Premissas!$C$25))*12+MONTH($A198)-MONTH(Premissas!$C$25)),0)</f>
        <v>0</v>
      </c>
      <c r="J198" s="16" t="n">
        <f aca="false">IF(I198&gt;0,N197*(1+Premissas!$C$59),0)</f>
        <v>0</v>
      </c>
      <c r="K198" s="16" t="n">
        <f aca="false">J198*Premissas!$C$58</f>
        <v>0</v>
      </c>
      <c r="L198" s="16" t="n">
        <f aca="false">IF(I198&gt;0,J198/(Premissas!$C$32-I198+1),0)</f>
        <v>0</v>
      </c>
      <c r="M198" s="16" t="n">
        <f aca="false">K198+L198</f>
        <v>0</v>
      </c>
      <c r="N198" s="16" t="n">
        <f aca="false">IF($A198=Premissas!$C$25,Premissas!$C$13*E198,IF(I198&gt;0,J198-L198,0))</f>
        <v>0</v>
      </c>
      <c r="O198" s="37" t="n">
        <f aca="false">IF($A198&gt;=Premissas!$C$27,Premissas!$C$39*IF(((YEAR($A198)-YEAR(Premissas!$C$27))*12+MONTH($A198)-MONTH(Premissas!$C$27))&lt;Premissas!$C$41,Premissas!$C$42,1),0)</f>
        <v>0.62</v>
      </c>
      <c r="P198" s="16" t="n">
        <f aca="false">O198*Premissas!$C$38*Premissas!$C$40*(1+Premissas!$C$60)^((YEAR($A198)-YEAR(Premissas!$C$19))*12+MONTH($A198)-MONTH(Premissas!$C$19))</f>
        <v>8038.8449816767</v>
      </c>
      <c r="Q198" s="16" t="n">
        <f aca="false">P198*Premissas!$C$43</f>
        <v>1286.21519706827</v>
      </c>
      <c r="R198" s="16" t="n">
        <f aca="false">P198*Premissas!$C$44</f>
        <v>1607.76899633534</v>
      </c>
      <c r="S198" s="16" t="n">
        <f aca="false">IF($A198&gt;=Premissas!$C$25,Premissas!$C$45*(1+Premissas!$C$60)^((YEAR($A198)-YEAR(Premissas!$C$19))*12+MONTH($A198)-MONTH(Premissas!$C$19)),0)</f>
        <v>1409.334674207</v>
      </c>
      <c r="T198" s="16" t="n">
        <f aca="false">IF($A198&gt;=Premissas!$C$27,Premissas!$C$46*(1+Premissas!$C$60)^((YEAR($A198)-YEAR(Premissas!$C$19))*12+MONTH($A198)-MONTH(Premissas!$C$19)),0)</f>
        <v>563.733869682798</v>
      </c>
      <c r="U198" s="16" t="n">
        <f aca="false">IF($A198&gt;=Premissas!$C$27,Premissas!$C$47*(1+Premissas!$C$60)^((YEAR($A198)-YEAR(Premissas!$C$19))*12+MONTH($A198)-MONTH(Premissas!$C$19)),0)</f>
        <v>281.866934841399</v>
      </c>
      <c r="V198" s="16" t="n">
        <f aca="false">IF($A198&gt;=Premissas!$C$27,MAX(0,P198-Q198-R198-S198)*Premissas!$C$49,0)</f>
        <v>1027.26968136818</v>
      </c>
      <c r="W198" s="16" t="n">
        <f aca="false">P198-Q198-R198-S198-T198-U198-V198</f>
        <v>1862.65562817372</v>
      </c>
      <c r="X198" s="16" t="n">
        <f aca="false">W198-F198-G198-H198-M198</f>
        <v>1862.65562817372</v>
      </c>
      <c r="Y198" s="16" t="n">
        <f aca="false">Y197+X198</f>
        <v>-650719.883269294</v>
      </c>
      <c r="Z198" s="16" t="n">
        <f aca="false">Premissas!$C$14*(1+Premissas!$C$57)^((YEAR(Premissas!$C$19)-YEAR(Premissas!$C$18))*12+MONTH(Premissas!$C$19)-MONTH(Premissas!$C$18))*(1+Premissas!$C$61)^((YEAR($A198)-YEAR(Premissas!$C$19))*12+MONTH($A198)-MONTH(Premissas!$C$19))</f>
        <v>1048145.11312793</v>
      </c>
      <c r="AA198" s="16" t="n">
        <f aca="false">IF($A198&gt;=Premissas!$C$25,Z198*(1-Premissas!$C$53)-N198-Premissas!$C$54*MAX(0,Z198*(1-Premissas!$C$53)-(Premissas!$C$14*(1+Premissas!$C$57)^((YEAR(Premissas!$C$25)-YEAR(Premissas!$C$18))*12+MONTH(Premissas!$C$25)-MONTH(Premissas!$C$18))*(1+Premissas!$C$34))),"")</f>
        <v>918670.154900882</v>
      </c>
      <c r="AB198" s="16" t="n">
        <f aca="false">IF($A198&gt;=Premissas!$C$25,Y198+AA198,"")</f>
        <v>267950.271631589</v>
      </c>
      <c r="AC198" s="20" t="n">
        <f aca="false">IF(AND($A198&gt;=Premissas!$C$27,W198&gt;=M198),$A198,"")</f>
        <v>52263</v>
      </c>
      <c r="AD198" s="20" t="str">
        <f aca="false">IF(AND($A198&gt;=Premissas!$C$27,Y198&gt;=0),$A198,"")</f>
        <v/>
      </c>
      <c r="AE198" s="20" t="n">
        <f aca="false">IF(AND($A198&gt;=Premissas!$C$25,N(AB198)&gt;=0),$A198,"")</f>
        <v>52263</v>
      </c>
    </row>
    <row r="199" customFormat="false" ht="15" hidden="false" customHeight="false" outlineLevel="0" collapsed="false">
      <c r="A199" s="20" t="n">
        <f aca="false">DATE(YEAR(A198),MONTH(A198)+1,1)</f>
        <v>52291</v>
      </c>
      <c r="B199" s="5" t="str">
        <f aca="false">IF($A199&lt;Premissas!$C$25,"Obra",IF($A199=Premissas!$C$25,"Chaves",IF($A199&lt;Premissas!$C$27,"Mobiliando","Airbnb")))</f>
        <v>Airbnb</v>
      </c>
      <c r="C199" s="35" t="n">
        <f aca="false">(YEAR($A199)-YEAR(Premissas!$C$18))*12+MONTH($A199)-MONTH(Premissas!$C$18)</f>
        <v>198</v>
      </c>
      <c r="D199" s="16" t="n">
        <f aca="false">($A199=Premissas!$C$19)*Premissas!$C$8+(($A199=EDATE(Premissas!$C$19,1))+($A199=EDATE(Premissas!$C$19,2)))*Premissas!$C$9+AND($A199&gt;=Premissas!$C$20,$A199&lt;EDATE(Premissas!$C$20,Premissas!$C$21))*Premissas!$C$10+(($A199=Premissas!$C$22)+($A199=Premissas!$C$23)+($A199=Premissas!$C$24))*Premissas!$C$11+($A199=Premissas!$C$25)*Premissas!$C$12</f>
        <v>0</v>
      </c>
      <c r="E199" s="36" t="n">
        <f aca="false">(1+Premissas!$C$57)^C199</f>
        <v>2.41916552013666</v>
      </c>
      <c r="F199" s="16" t="n">
        <f aca="false">D199*E199</f>
        <v>0</v>
      </c>
      <c r="G199" s="16" t="n">
        <f aca="false">($A199=Premissas!$C$25)*Premissas!$C$34*Premissas!$C$14*(1+Premissas!$C$57)^C199</f>
        <v>0</v>
      </c>
      <c r="H199" s="16" t="n">
        <f aca="false">IF(AND($A199&gt;Premissas!$C$25,$A199&lt;Premissas!$C$27),Premissas!$C$35/MAX(1,Premissas!$C$26),0)</f>
        <v>0</v>
      </c>
      <c r="I199" s="35" t="n">
        <f aca="false">IF(AND($A199&gt;Premissas!$C$25,((YEAR($A199)-YEAR(Premissas!$C$25))*12+MONTH($A199)-MONTH(Premissas!$C$25))&lt;=Premissas!$C$32),((YEAR($A199)-YEAR(Premissas!$C$25))*12+MONTH($A199)-MONTH(Premissas!$C$25)),0)</f>
        <v>0</v>
      </c>
      <c r="J199" s="16" t="n">
        <f aca="false">IF(I199&gt;0,N198*(1+Premissas!$C$59),0)</f>
        <v>0</v>
      </c>
      <c r="K199" s="16" t="n">
        <f aca="false">J199*Premissas!$C$58</f>
        <v>0</v>
      </c>
      <c r="L199" s="16" t="n">
        <f aca="false">IF(I199&gt;0,J199/(Premissas!$C$32-I199+1),0)</f>
        <v>0</v>
      </c>
      <c r="M199" s="16" t="n">
        <f aca="false">K199+L199</f>
        <v>0</v>
      </c>
      <c r="N199" s="16" t="n">
        <f aca="false">IF($A199=Premissas!$C$25,Premissas!$C$13*E199,IF(I199&gt;0,J199-L199,0))</f>
        <v>0</v>
      </c>
      <c r="O199" s="37" t="n">
        <f aca="false">IF($A199&gt;=Premissas!$C$27,Premissas!$C$39*IF(((YEAR($A199)-YEAR(Premissas!$C$27))*12+MONTH($A199)-MONTH(Premissas!$C$27))&lt;Premissas!$C$41,Premissas!$C$42,1),0)</f>
        <v>0.62</v>
      </c>
      <c r="P199" s="16" t="n">
        <f aca="false">O199*Premissas!$C$38*Premissas!$C$40*(1+Premissas!$C$60)^((YEAR($A199)-YEAR(Premissas!$C$19))*12+MONTH($A199)-MONTH(Premissas!$C$19))</f>
        <v>8065.16206829615</v>
      </c>
      <c r="Q199" s="16" t="n">
        <f aca="false">P199*Premissas!$C$43</f>
        <v>1290.42593092738</v>
      </c>
      <c r="R199" s="16" t="n">
        <f aca="false">P199*Premissas!$C$44</f>
        <v>1613.03241365923</v>
      </c>
      <c r="S199" s="16" t="n">
        <f aca="false">IF($A199&gt;=Premissas!$C$25,Premissas!$C$45*(1+Premissas!$C$60)^((YEAR($A199)-YEAR(Premissas!$C$19))*12+MONTH($A199)-MONTH(Premissas!$C$19)),0)</f>
        <v>1413.94846919638</v>
      </c>
      <c r="T199" s="16" t="n">
        <f aca="false">IF($A199&gt;=Premissas!$C$27,Premissas!$C$46*(1+Premissas!$C$60)^((YEAR($A199)-YEAR(Premissas!$C$19))*12+MONTH($A199)-MONTH(Premissas!$C$19)),0)</f>
        <v>565.579387678552</v>
      </c>
      <c r="U199" s="16" t="n">
        <f aca="false">IF($A199&gt;=Premissas!$C$27,Premissas!$C$47*(1+Premissas!$C$60)^((YEAR($A199)-YEAR(Premissas!$C$19))*12+MONTH($A199)-MONTH(Premissas!$C$19)),0)</f>
        <v>282.789693839276</v>
      </c>
      <c r="V199" s="16" t="n">
        <f aca="false">IF($A199&gt;=Premissas!$C$27,MAX(0,P199-Q199-R199-S199)*Premissas!$C$49,0)</f>
        <v>1030.63269499112</v>
      </c>
      <c r="W199" s="16" t="n">
        <f aca="false">P199-Q199-R199-S199-T199-U199-V199</f>
        <v>1868.75347800421</v>
      </c>
      <c r="X199" s="16" t="n">
        <f aca="false">W199-F199-G199-H199-M199</f>
        <v>1868.75347800421</v>
      </c>
      <c r="Y199" s="16" t="n">
        <f aca="false">Y198+X199</f>
        <v>-648851.129791289</v>
      </c>
      <c r="Z199" s="16" t="n">
        <f aca="false">Premissas!$C$14*(1+Premissas!$C$57)^((YEAR(Premissas!$C$19)-YEAR(Premissas!$C$18))*12+MONTH(Premissas!$C$19)-MONTH(Premissas!$C$18))*(1+Premissas!$C$61)^((YEAR($A199)-YEAR(Premissas!$C$19))*12+MONTH($A199)-MONTH(Premissas!$C$19))</f>
        <v>1052415.38606204</v>
      </c>
      <c r="AA199" s="16" t="n">
        <f aca="false">IF($A199&gt;=Premissas!$C$25,Z199*(1-Premissas!$C$53)-N199-Premissas!$C$54*MAX(0,Z199*(1-Premissas!$C$53)-(Premissas!$C$14*(1+Premissas!$C$57)^((YEAR(Premissas!$C$25)-YEAR(Premissas!$C$18))*12+MONTH(Premissas!$C$25)-MONTH(Premissas!$C$18))*(1+Premissas!$C$34))),"")</f>
        <v>922082.102975236</v>
      </c>
      <c r="AB199" s="16" t="n">
        <f aca="false">IF($A199&gt;=Premissas!$C$25,Y199+AA199,"")</f>
        <v>273230.973183946</v>
      </c>
      <c r="AC199" s="20" t="n">
        <f aca="false">IF(AND($A199&gt;=Premissas!$C$27,W199&gt;=M199),$A199,"")</f>
        <v>52291</v>
      </c>
      <c r="AD199" s="20" t="str">
        <f aca="false">IF(AND($A199&gt;=Premissas!$C$27,Y199&gt;=0),$A199,"")</f>
        <v/>
      </c>
      <c r="AE199" s="20" t="n">
        <f aca="false">IF(AND($A199&gt;=Premissas!$C$25,N(AB199)&gt;=0),$A199,"")</f>
        <v>52291</v>
      </c>
    </row>
    <row r="200" customFormat="false" ht="15" hidden="false" customHeight="false" outlineLevel="0" collapsed="false">
      <c r="A200" s="20" t="n">
        <f aca="false">DATE(YEAR(A199),MONTH(A199)+1,1)</f>
        <v>52322</v>
      </c>
      <c r="B200" s="5" t="str">
        <f aca="false">IF($A200&lt;Premissas!$C$25,"Obra",IF($A200=Premissas!$C$25,"Chaves",IF($A200&lt;Premissas!$C$27,"Mobiliando","Airbnb")))</f>
        <v>Airbnb</v>
      </c>
      <c r="C200" s="35" t="n">
        <f aca="false">(YEAR($A200)-YEAR(Premissas!$C$18))*12+MONTH($A200)-MONTH(Premissas!$C$18)</f>
        <v>199</v>
      </c>
      <c r="D200" s="16" t="n">
        <f aca="false">($A200=Premissas!$C$19)*Premissas!$C$8+(($A200=EDATE(Premissas!$C$19,1))+($A200=EDATE(Premissas!$C$19,2)))*Premissas!$C$9+AND($A200&gt;=Premissas!$C$20,$A200&lt;EDATE(Premissas!$C$20,Premissas!$C$21))*Premissas!$C$10+(($A200=Premissas!$C$22)+($A200=Premissas!$C$23)+($A200=Premissas!$C$24))*Premissas!$C$11+($A200=Premissas!$C$25)*Premissas!$C$12</f>
        <v>0</v>
      </c>
      <c r="E200" s="36" t="n">
        <f aca="false">(1+Premissas!$C$57)^C200</f>
        <v>2.4299832999732</v>
      </c>
      <c r="F200" s="16" t="n">
        <f aca="false">D200*E200</f>
        <v>0</v>
      </c>
      <c r="G200" s="16" t="n">
        <f aca="false">($A200=Premissas!$C$25)*Premissas!$C$34*Premissas!$C$14*(1+Premissas!$C$57)^C200</f>
        <v>0</v>
      </c>
      <c r="H200" s="16" t="n">
        <f aca="false">IF(AND($A200&gt;Premissas!$C$25,$A200&lt;Premissas!$C$27),Premissas!$C$35/MAX(1,Premissas!$C$26),0)</f>
        <v>0</v>
      </c>
      <c r="I200" s="35" t="n">
        <f aca="false">IF(AND($A200&gt;Premissas!$C$25,((YEAR($A200)-YEAR(Premissas!$C$25))*12+MONTH($A200)-MONTH(Premissas!$C$25))&lt;=Premissas!$C$32),((YEAR($A200)-YEAR(Premissas!$C$25))*12+MONTH($A200)-MONTH(Premissas!$C$25)),0)</f>
        <v>0</v>
      </c>
      <c r="J200" s="16" t="n">
        <f aca="false">IF(I200&gt;0,N199*(1+Premissas!$C$59),0)</f>
        <v>0</v>
      </c>
      <c r="K200" s="16" t="n">
        <f aca="false">J200*Premissas!$C$58</f>
        <v>0</v>
      </c>
      <c r="L200" s="16" t="n">
        <f aca="false">IF(I200&gt;0,J200/(Premissas!$C$32-I200+1),0)</f>
        <v>0</v>
      </c>
      <c r="M200" s="16" t="n">
        <f aca="false">K200+L200</f>
        <v>0</v>
      </c>
      <c r="N200" s="16" t="n">
        <f aca="false">IF($A200=Premissas!$C$25,Premissas!$C$13*E200,IF(I200&gt;0,J200-L200,0))</f>
        <v>0</v>
      </c>
      <c r="O200" s="37" t="n">
        <f aca="false">IF($A200&gt;=Premissas!$C$27,Premissas!$C$39*IF(((YEAR($A200)-YEAR(Premissas!$C$27))*12+MONTH($A200)-MONTH(Premissas!$C$27))&lt;Premissas!$C$41,Premissas!$C$42,1),0)</f>
        <v>0.62</v>
      </c>
      <c r="P200" s="16" t="n">
        <f aca="false">O200*Premissas!$C$38*Premissas!$C$40*(1+Premissas!$C$60)^((YEAR($A200)-YEAR(Premissas!$C$19))*12+MONTH($A200)-MONTH(Premissas!$C$19))</f>
        <v>8091.56531020901</v>
      </c>
      <c r="Q200" s="16" t="n">
        <f aca="false">P200*Premissas!$C$43</f>
        <v>1294.65044963344</v>
      </c>
      <c r="R200" s="16" t="n">
        <f aca="false">P200*Premissas!$C$44</f>
        <v>1618.3130620418</v>
      </c>
      <c r="S200" s="16" t="n">
        <f aca="false">IF($A200&gt;=Premissas!$C$25,Premissas!$C$45*(1+Premissas!$C$60)^((YEAR($A200)-YEAR(Premissas!$C$19))*12+MONTH($A200)-MONTH(Premissas!$C$19)),0)</f>
        <v>1418.57736854997</v>
      </c>
      <c r="T200" s="16" t="n">
        <f aca="false">IF($A200&gt;=Premissas!$C$27,Premissas!$C$46*(1+Premissas!$C$60)^((YEAR($A200)-YEAR(Premissas!$C$19))*12+MONTH($A200)-MONTH(Premissas!$C$19)),0)</f>
        <v>567.430947419987</v>
      </c>
      <c r="U200" s="16" t="n">
        <f aca="false">IF($A200&gt;=Premissas!$C$27,Premissas!$C$47*(1+Premissas!$C$60)^((YEAR($A200)-YEAR(Premissas!$C$19))*12+MONTH($A200)-MONTH(Premissas!$C$19)),0)</f>
        <v>283.715473709993</v>
      </c>
      <c r="V200" s="16" t="n">
        <f aca="false">IF($A200&gt;=Premissas!$C$27,MAX(0,P200-Q200-R200-S200)*Premissas!$C$49,0)</f>
        <v>1034.00671824555</v>
      </c>
      <c r="W200" s="16" t="n">
        <f aca="false">P200-Q200-R200-S200-T200-U200-V200</f>
        <v>1874.87129060828</v>
      </c>
      <c r="X200" s="16" t="n">
        <f aca="false">W200-F200-G200-H200-M200</f>
        <v>1874.87129060828</v>
      </c>
      <c r="Y200" s="16" t="n">
        <f aca="false">Y199+X200</f>
        <v>-646976.258500681</v>
      </c>
      <c r="Z200" s="16" t="n">
        <f aca="false">Premissas!$C$14*(1+Premissas!$C$57)^((YEAR(Premissas!$C$19)-YEAR(Premissas!$C$18))*12+MONTH(Premissas!$C$19)-MONTH(Premissas!$C$18))*(1+Premissas!$C$61)^((YEAR($A200)-YEAR(Premissas!$C$19))*12+MONTH($A200)-MONTH(Premissas!$C$19))</f>
        <v>1056703.05661667</v>
      </c>
      <c r="AA200" s="16" t="n">
        <f aca="false">IF($A200&gt;=Premissas!$C$25,Z200*(1-Premissas!$C$53)-N200-Premissas!$C$54*MAX(0,Z200*(1-Premissas!$C$53)-(Premissas!$C$14*(1+Premissas!$C$57)^((YEAR(Premissas!$C$25)-YEAR(Premissas!$C$18))*12+MONTH(Premissas!$C$25)-MONTH(Premissas!$C$18))*(1+Premissas!$C$34))),"")</f>
        <v>925507.951748388</v>
      </c>
      <c r="AB200" s="16" t="n">
        <f aca="false">IF($A200&gt;=Premissas!$C$25,Y200+AA200,"")</f>
        <v>278531.693247707</v>
      </c>
      <c r="AC200" s="20" t="n">
        <f aca="false">IF(AND($A200&gt;=Premissas!$C$27,W200&gt;=M200),$A200,"")</f>
        <v>52322</v>
      </c>
      <c r="AD200" s="20" t="str">
        <f aca="false">IF(AND($A200&gt;=Premissas!$C$27,Y200&gt;=0),$A200,"")</f>
        <v/>
      </c>
      <c r="AE200" s="20" t="n">
        <f aca="false">IF(AND($A200&gt;=Premissas!$C$25,N(AB200)&gt;=0),$A200,"")</f>
        <v>52322</v>
      </c>
    </row>
    <row r="201" customFormat="false" ht="15" hidden="false" customHeight="false" outlineLevel="0" collapsed="false">
      <c r="A201" s="20" t="n">
        <f aca="false">DATE(YEAR(A200),MONTH(A200)+1,1)</f>
        <v>52352</v>
      </c>
      <c r="B201" s="5" t="str">
        <f aca="false">IF($A201&lt;Premissas!$C$25,"Obra",IF($A201=Premissas!$C$25,"Chaves",IF($A201&lt;Premissas!$C$27,"Mobiliando","Airbnb")))</f>
        <v>Airbnb</v>
      </c>
      <c r="C201" s="35" t="n">
        <f aca="false">(YEAR($A201)-YEAR(Premissas!$C$18))*12+MONTH($A201)-MONTH(Premissas!$C$18)</f>
        <v>200</v>
      </c>
      <c r="D201" s="16" t="n">
        <f aca="false">($A201=Premissas!$C$19)*Premissas!$C$8+(($A201=EDATE(Premissas!$C$19,1))+($A201=EDATE(Premissas!$C$19,2)))*Premissas!$C$9+AND($A201&gt;=Premissas!$C$20,$A201&lt;EDATE(Premissas!$C$20,Premissas!$C$21))*Premissas!$C$10+(($A201=Premissas!$C$22)+($A201=Premissas!$C$23)+($A201=Premissas!$C$24))*Premissas!$C$11+($A201=Premissas!$C$25)*Premissas!$C$12</f>
        <v>0</v>
      </c>
      <c r="E201" s="36" t="n">
        <f aca="false">(1+Premissas!$C$57)^C201</f>
        <v>2.44084945366412</v>
      </c>
      <c r="F201" s="16" t="n">
        <f aca="false">D201*E201</f>
        <v>0</v>
      </c>
      <c r="G201" s="16" t="n">
        <f aca="false">($A201=Premissas!$C$25)*Premissas!$C$34*Premissas!$C$14*(1+Premissas!$C$57)^C201</f>
        <v>0</v>
      </c>
      <c r="H201" s="16" t="n">
        <f aca="false">IF(AND($A201&gt;Premissas!$C$25,$A201&lt;Premissas!$C$27),Premissas!$C$35/MAX(1,Premissas!$C$26),0)</f>
        <v>0</v>
      </c>
      <c r="I201" s="35" t="n">
        <f aca="false">IF(AND($A201&gt;Premissas!$C$25,((YEAR($A201)-YEAR(Premissas!$C$25))*12+MONTH($A201)-MONTH(Premissas!$C$25))&lt;=Premissas!$C$32),((YEAR($A201)-YEAR(Premissas!$C$25))*12+MONTH($A201)-MONTH(Premissas!$C$25)),0)</f>
        <v>0</v>
      </c>
      <c r="J201" s="16" t="n">
        <f aca="false">IF(I201&gt;0,N200*(1+Premissas!$C$59),0)</f>
        <v>0</v>
      </c>
      <c r="K201" s="16" t="n">
        <f aca="false">J201*Premissas!$C$58</f>
        <v>0</v>
      </c>
      <c r="L201" s="16" t="n">
        <f aca="false">IF(I201&gt;0,J201/(Premissas!$C$32-I201+1),0)</f>
        <v>0</v>
      </c>
      <c r="M201" s="16" t="n">
        <f aca="false">K201+L201</f>
        <v>0</v>
      </c>
      <c r="N201" s="16" t="n">
        <f aca="false">IF($A201=Premissas!$C$25,Premissas!$C$13*E201,IF(I201&gt;0,J201-L201,0))</f>
        <v>0</v>
      </c>
      <c r="O201" s="37" t="n">
        <f aca="false">IF($A201&gt;=Premissas!$C$27,Premissas!$C$39*IF(((YEAR($A201)-YEAR(Premissas!$C$27))*12+MONTH($A201)-MONTH(Premissas!$C$27))&lt;Premissas!$C$41,Premissas!$C$42,1),0)</f>
        <v>0.62</v>
      </c>
      <c r="P201" s="16" t="n">
        <f aca="false">O201*Premissas!$C$38*Premissas!$C$40*(1+Premissas!$C$60)^((YEAR($A201)-YEAR(Premissas!$C$19))*12+MONTH($A201)-MONTH(Premissas!$C$19))</f>
        <v>8118.0549894653</v>
      </c>
      <c r="Q201" s="16" t="n">
        <f aca="false">P201*Premissas!$C$43</f>
        <v>1298.88879831445</v>
      </c>
      <c r="R201" s="16" t="n">
        <f aca="false">P201*Premissas!$C$44</f>
        <v>1623.61099789306</v>
      </c>
      <c r="S201" s="16" t="n">
        <f aca="false">IF($A201&gt;=Premissas!$C$25,Premissas!$C$45*(1+Premissas!$C$60)^((YEAR($A201)-YEAR(Premissas!$C$19))*12+MONTH($A201)-MONTH(Premissas!$C$19)),0)</f>
        <v>1423.22142171552</v>
      </c>
      <c r="T201" s="16" t="n">
        <f aca="false">IF($A201&gt;=Premissas!$C$27,Premissas!$C$46*(1+Premissas!$C$60)^((YEAR($A201)-YEAR(Premissas!$C$19))*12+MONTH($A201)-MONTH(Premissas!$C$19)),0)</f>
        <v>569.288568686206</v>
      </c>
      <c r="U201" s="16" t="n">
        <f aca="false">IF($A201&gt;=Premissas!$C$27,Premissas!$C$47*(1+Premissas!$C$60)^((YEAR($A201)-YEAR(Premissas!$C$19))*12+MONTH($A201)-MONTH(Premissas!$C$19)),0)</f>
        <v>284.644284343103</v>
      </c>
      <c r="V201" s="16" t="n">
        <f aca="false">IF($A201&gt;=Premissas!$C$27,MAX(0,P201-Q201-R201-S201)*Premissas!$C$49,0)</f>
        <v>1037.39178717413</v>
      </c>
      <c r="W201" s="16" t="n">
        <f aca="false">P201-Q201-R201-S201-T201-U201-V201</f>
        <v>1881.00913133884</v>
      </c>
      <c r="X201" s="16" t="n">
        <f aca="false">W201-F201-G201-H201-M201</f>
        <v>1881.00913133884</v>
      </c>
      <c r="Y201" s="16" t="n">
        <f aca="false">Y200+X201</f>
        <v>-645095.249369342</v>
      </c>
      <c r="Z201" s="16" t="n">
        <f aca="false">Premissas!$C$14*(1+Premissas!$C$57)^((YEAR(Premissas!$C$19)-YEAR(Premissas!$C$18))*12+MONTH(Premissas!$C$19)-MONTH(Premissas!$C$18))*(1+Premissas!$C$61)^((YEAR($A201)-YEAR(Premissas!$C$19))*12+MONTH($A201)-MONTH(Premissas!$C$19))</f>
        <v>1061008.19567189</v>
      </c>
      <c r="AA201" s="16" t="n">
        <f aca="false">IF($A201&gt;=Premissas!$C$25,Z201*(1-Premissas!$C$53)-N201-Premissas!$C$54*MAX(0,Z201*(1-Premissas!$C$53)-(Premissas!$C$14*(1+Premissas!$C$57)^((YEAR(Premissas!$C$25)-YEAR(Premissas!$C$18))*12+MONTH(Premissas!$C$25)-MONTH(Premissas!$C$18))*(1+Premissas!$C$34))),"")</f>
        <v>928947.757853505</v>
      </c>
      <c r="AB201" s="16" t="n">
        <f aca="false">IF($A201&gt;=Premissas!$C$25,Y201+AA201,"")</f>
        <v>283852.508484163</v>
      </c>
      <c r="AC201" s="20" t="n">
        <f aca="false">IF(AND($A201&gt;=Premissas!$C$27,W201&gt;=M201),$A201,"")</f>
        <v>52352</v>
      </c>
      <c r="AD201" s="20" t="str">
        <f aca="false">IF(AND($A201&gt;=Premissas!$C$27,Y201&gt;=0),$A201,"")</f>
        <v/>
      </c>
      <c r="AE201" s="20" t="n">
        <f aca="false">IF(AND($A201&gt;=Premissas!$C$25,N(AB201)&gt;=0),$A201,"")</f>
        <v>52352</v>
      </c>
    </row>
    <row r="202" customFormat="false" ht="15" hidden="false" customHeight="false" outlineLevel="0" collapsed="false">
      <c r="A202" s="20" t="n">
        <f aca="false">DATE(YEAR(A201),MONTH(A201)+1,1)</f>
        <v>52383</v>
      </c>
      <c r="B202" s="5" t="str">
        <f aca="false">IF($A202&lt;Premissas!$C$25,"Obra",IF($A202=Premissas!$C$25,"Chaves",IF($A202&lt;Premissas!$C$27,"Mobiliando","Airbnb")))</f>
        <v>Airbnb</v>
      </c>
      <c r="C202" s="35" t="n">
        <f aca="false">(YEAR($A202)-YEAR(Premissas!$C$18))*12+MONTH($A202)-MONTH(Premissas!$C$18)</f>
        <v>201</v>
      </c>
      <c r="D202" s="16" t="n">
        <f aca="false">($A202=Premissas!$C$19)*Premissas!$C$8+(($A202=EDATE(Premissas!$C$19,1))+($A202=EDATE(Premissas!$C$19,2)))*Premissas!$C$9+AND($A202&gt;=Premissas!$C$20,$A202&lt;EDATE(Premissas!$C$20,Premissas!$C$21))*Premissas!$C$10+(($A202=Premissas!$C$22)+($A202=Premissas!$C$23)+($A202=Premissas!$C$24))*Premissas!$C$11+($A202=Premissas!$C$25)*Premissas!$C$12</f>
        <v>0</v>
      </c>
      <c r="E202" s="36" t="n">
        <f aca="false">(1+Premissas!$C$57)^C202</f>
        <v>2.45176419752274</v>
      </c>
      <c r="F202" s="16" t="n">
        <f aca="false">D202*E202</f>
        <v>0</v>
      </c>
      <c r="G202" s="16" t="n">
        <f aca="false">($A202=Premissas!$C$25)*Premissas!$C$34*Premissas!$C$14*(1+Premissas!$C$57)^C202</f>
        <v>0</v>
      </c>
      <c r="H202" s="16" t="n">
        <f aca="false">IF(AND($A202&gt;Premissas!$C$25,$A202&lt;Premissas!$C$27),Premissas!$C$35/MAX(1,Premissas!$C$26),0)</f>
        <v>0</v>
      </c>
      <c r="I202" s="35" t="n">
        <f aca="false">IF(AND($A202&gt;Premissas!$C$25,((YEAR($A202)-YEAR(Premissas!$C$25))*12+MONTH($A202)-MONTH(Premissas!$C$25))&lt;=Premissas!$C$32),((YEAR($A202)-YEAR(Premissas!$C$25))*12+MONTH($A202)-MONTH(Premissas!$C$25)),0)</f>
        <v>0</v>
      </c>
      <c r="J202" s="16" t="n">
        <f aca="false">IF(I202&gt;0,N201*(1+Premissas!$C$59),0)</f>
        <v>0</v>
      </c>
      <c r="K202" s="16" t="n">
        <f aca="false">J202*Premissas!$C$58</f>
        <v>0</v>
      </c>
      <c r="L202" s="16" t="n">
        <f aca="false">IF(I202&gt;0,J202/(Premissas!$C$32-I202+1),0)</f>
        <v>0</v>
      </c>
      <c r="M202" s="16" t="n">
        <f aca="false">K202+L202</f>
        <v>0</v>
      </c>
      <c r="N202" s="16" t="n">
        <f aca="false">IF($A202=Premissas!$C$25,Premissas!$C$13*E202,IF(I202&gt;0,J202-L202,0))</f>
        <v>0</v>
      </c>
      <c r="O202" s="37" t="n">
        <f aca="false">IF($A202&gt;=Premissas!$C$27,Premissas!$C$39*IF(((YEAR($A202)-YEAR(Premissas!$C$27))*12+MONTH($A202)-MONTH(Premissas!$C$27))&lt;Premissas!$C$41,Premissas!$C$42,1),0)</f>
        <v>0.62</v>
      </c>
      <c r="P202" s="16" t="n">
        <f aca="false">O202*Premissas!$C$38*Premissas!$C$40*(1+Premissas!$C$60)^((YEAR($A202)-YEAR(Premissas!$C$19))*12+MONTH($A202)-MONTH(Premissas!$C$19))</f>
        <v>8144.63138903839</v>
      </c>
      <c r="Q202" s="16" t="n">
        <f aca="false">P202*Premissas!$C$43</f>
        <v>1303.14102224614</v>
      </c>
      <c r="R202" s="16" t="n">
        <f aca="false">P202*Premissas!$C$44</f>
        <v>1628.92627780768</v>
      </c>
      <c r="S202" s="16" t="n">
        <f aca="false">IF($A202&gt;=Premissas!$C$25,Premissas!$C$45*(1+Premissas!$C$60)^((YEAR($A202)-YEAR(Premissas!$C$19))*12+MONTH($A202)-MONTH(Premissas!$C$19)),0)</f>
        <v>1427.88067830266</v>
      </c>
      <c r="T202" s="16" t="n">
        <f aca="false">IF($A202&gt;=Premissas!$C$27,Premissas!$C$46*(1+Premissas!$C$60)^((YEAR($A202)-YEAR(Premissas!$C$19))*12+MONTH($A202)-MONTH(Premissas!$C$19)),0)</f>
        <v>571.152271321065</v>
      </c>
      <c r="U202" s="16" t="n">
        <f aca="false">IF($A202&gt;=Premissas!$C$27,Premissas!$C$47*(1+Premissas!$C$60)^((YEAR($A202)-YEAR(Premissas!$C$19))*12+MONTH($A202)-MONTH(Premissas!$C$19)),0)</f>
        <v>285.576135660533</v>
      </c>
      <c r="V202" s="16" t="n">
        <f aca="false">IF($A202&gt;=Premissas!$C$27,MAX(0,P202-Q202-R202-S202)*Premissas!$C$49,0)</f>
        <v>1040.78793793752</v>
      </c>
      <c r="W202" s="16" t="n">
        <f aca="false">P202-Q202-R202-S202-T202-U202-V202</f>
        <v>1887.16706576278</v>
      </c>
      <c r="X202" s="16" t="n">
        <f aca="false">W202-F202-G202-H202-M202</f>
        <v>1887.16706576278</v>
      </c>
      <c r="Y202" s="16" t="n">
        <f aca="false">Y201+X202</f>
        <v>-643208.082303579</v>
      </c>
      <c r="Z202" s="16" t="n">
        <f aca="false">Premissas!$C$14*(1+Premissas!$C$57)^((YEAR(Premissas!$C$19)-YEAR(Premissas!$C$18))*12+MONTH(Premissas!$C$19)-MONTH(Premissas!$C$18))*(1+Premissas!$C$61)^((YEAR($A202)-YEAR(Premissas!$C$19))*12+MONTH($A202)-MONTH(Premissas!$C$19))</f>
        <v>1065330.87439652</v>
      </c>
      <c r="AA202" s="16" t="n">
        <f aca="false">IF($A202&gt;=Premissas!$C$25,Z202*(1-Premissas!$C$53)-N202-Premissas!$C$54*MAX(0,Z202*(1-Premissas!$C$53)-(Premissas!$C$14*(1+Premissas!$C$57)^((YEAR(Premissas!$C$25)-YEAR(Premissas!$C$18))*12+MONTH(Premissas!$C$25)-MONTH(Premissas!$C$18))*(1+Premissas!$C$34))),"")</f>
        <v>932401.578154487</v>
      </c>
      <c r="AB202" s="16" t="n">
        <f aca="false">IF($A202&gt;=Premissas!$C$25,Y202+AA202,"")</f>
        <v>289193.495850907</v>
      </c>
      <c r="AC202" s="20" t="n">
        <f aca="false">IF(AND($A202&gt;=Premissas!$C$27,W202&gt;=M202),$A202,"")</f>
        <v>52383</v>
      </c>
      <c r="AD202" s="20" t="str">
        <f aca="false">IF(AND($A202&gt;=Premissas!$C$27,Y202&gt;=0),$A202,"")</f>
        <v/>
      </c>
      <c r="AE202" s="20" t="n">
        <f aca="false">IF(AND($A202&gt;=Premissas!$C$25,N(AB202)&gt;=0),$A202,"")</f>
        <v>52383</v>
      </c>
    </row>
    <row r="203" customFormat="false" ht="15" hidden="false" customHeight="false" outlineLevel="0" collapsed="false">
      <c r="A203" s="20" t="n">
        <f aca="false">DATE(YEAR(A202),MONTH(A202)+1,1)</f>
        <v>52413</v>
      </c>
      <c r="B203" s="5" t="str">
        <f aca="false">IF($A203&lt;Premissas!$C$25,"Obra",IF($A203=Premissas!$C$25,"Chaves",IF($A203&lt;Premissas!$C$27,"Mobiliando","Airbnb")))</f>
        <v>Airbnb</v>
      </c>
      <c r="C203" s="35" t="n">
        <f aca="false">(YEAR($A203)-YEAR(Premissas!$C$18))*12+MONTH($A203)-MONTH(Premissas!$C$18)</f>
        <v>202</v>
      </c>
      <c r="D203" s="16" t="n">
        <f aca="false">($A203=Premissas!$C$19)*Premissas!$C$8+(($A203=EDATE(Premissas!$C$19,1))+($A203=EDATE(Premissas!$C$19,2)))*Premissas!$C$9+AND($A203&gt;=Premissas!$C$20,$A203&lt;EDATE(Premissas!$C$20,Premissas!$C$21))*Premissas!$C$10+(($A203=Premissas!$C$22)+($A203=Premissas!$C$23)+($A203=Premissas!$C$24))*Premissas!$C$11+($A203=Premissas!$C$25)*Premissas!$C$12</f>
        <v>0</v>
      </c>
      <c r="E203" s="36" t="n">
        <f aca="false">(1+Premissas!$C$57)^C203</f>
        <v>2.46272774882965</v>
      </c>
      <c r="F203" s="16" t="n">
        <f aca="false">D203*E203</f>
        <v>0</v>
      </c>
      <c r="G203" s="16" t="n">
        <f aca="false">($A203=Premissas!$C$25)*Premissas!$C$34*Premissas!$C$14*(1+Premissas!$C$57)^C203</f>
        <v>0</v>
      </c>
      <c r="H203" s="16" t="n">
        <f aca="false">IF(AND($A203&gt;Premissas!$C$25,$A203&lt;Premissas!$C$27),Premissas!$C$35/MAX(1,Premissas!$C$26),0)</f>
        <v>0</v>
      </c>
      <c r="I203" s="35" t="n">
        <f aca="false">IF(AND($A203&gt;Premissas!$C$25,((YEAR($A203)-YEAR(Premissas!$C$25))*12+MONTH($A203)-MONTH(Premissas!$C$25))&lt;=Premissas!$C$32),((YEAR($A203)-YEAR(Premissas!$C$25))*12+MONTH($A203)-MONTH(Premissas!$C$25)),0)</f>
        <v>0</v>
      </c>
      <c r="J203" s="16" t="n">
        <f aca="false">IF(I203&gt;0,N202*(1+Premissas!$C$59),0)</f>
        <v>0</v>
      </c>
      <c r="K203" s="16" t="n">
        <f aca="false">J203*Premissas!$C$58</f>
        <v>0</v>
      </c>
      <c r="L203" s="16" t="n">
        <f aca="false">IF(I203&gt;0,J203/(Premissas!$C$32-I203+1),0)</f>
        <v>0</v>
      </c>
      <c r="M203" s="16" t="n">
        <f aca="false">K203+L203</f>
        <v>0</v>
      </c>
      <c r="N203" s="16" t="n">
        <f aca="false">IF($A203=Premissas!$C$25,Premissas!$C$13*E203,IF(I203&gt;0,J203-L203,0))</f>
        <v>0</v>
      </c>
      <c r="O203" s="37" t="n">
        <f aca="false">IF($A203&gt;=Premissas!$C$27,Premissas!$C$39*IF(((YEAR($A203)-YEAR(Premissas!$C$27))*12+MONTH($A203)-MONTH(Premissas!$C$27))&lt;Premissas!$C$41,Premissas!$C$42,1),0)</f>
        <v>0.62</v>
      </c>
      <c r="P203" s="16" t="n">
        <f aca="false">O203*Premissas!$C$38*Premissas!$C$40*(1+Premissas!$C$60)^((YEAR($A203)-YEAR(Premissas!$C$19))*12+MONTH($A203)-MONTH(Premissas!$C$19))</f>
        <v>8171.29479282803</v>
      </c>
      <c r="Q203" s="16" t="n">
        <f aca="false">P203*Premissas!$C$43</f>
        <v>1307.40716685249</v>
      </c>
      <c r="R203" s="16" t="n">
        <f aca="false">P203*Premissas!$C$44</f>
        <v>1634.25895856561</v>
      </c>
      <c r="S203" s="16" t="n">
        <f aca="false">IF($A203&gt;=Premissas!$C$25,Premissas!$C$45*(1+Premissas!$C$60)^((YEAR($A203)-YEAR(Premissas!$C$19))*12+MONTH($A203)-MONTH(Premissas!$C$19)),0)</f>
        <v>1432.55518808346</v>
      </c>
      <c r="T203" s="16" t="n">
        <f aca="false">IF($A203&gt;=Premissas!$C$27,Premissas!$C$46*(1+Premissas!$C$60)^((YEAR($A203)-YEAR(Premissas!$C$19))*12+MONTH($A203)-MONTH(Premissas!$C$19)),0)</f>
        <v>573.022075233382</v>
      </c>
      <c r="U203" s="16" t="n">
        <f aca="false">IF($A203&gt;=Premissas!$C$27,Premissas!$C$47*(1+Premissas!$C$60)^((YEAR($A203)-YEAR(Premissas!$C$19))*12+MONTH($A203)-MONTH(Premissas!$C$19)),0)</f>
        <v>286.511037616691</v>
      </c>
      <c r="V203" s="16" t="n">
        <f aca="false">IF($A203&gt;=Premissas!$C$27,MAX(0,P203-Q203-R203-S203)*Premissas!$C$49,0)</f>
        <v>1044.19520681478</v>
      </c>
      <c r="W203" s="16" t="n">
        <f aca="false">P203-Q203-R203-S203-T203-U203-V203</f>
        <v>1893.34515966163</v>
      </c>
      <c r="X203" s="16" t="n">
        <f aca="false">W203-F203-G203-H203-M203</f>
        <v>1893.34515966163</v>
      </c>
      <c r="Y203" s="16" t="n">
        <f aca="false">Y202+X203</f>
        <v>-641314.737143918</v>
      </c>
      <c r="Z203" s="16" t="n">
        <f aca="false">Premissas!$C$14*(1+Premissas!$C$57)^((YEAR(Premissas!$C$19)-YEAR(Premissas!$C$18))*12+MONTH(Premissas!$C$19)-MONTH(Premissas!$C$18))*(1+Premissas!$C$61)^((YEAR($A203)-YEAR(Premissas!$C$19))*12+MONTH($A203)-MONTH(Premissas!$C$19))</f>
        <v>1069671.16424936</v>
      </c>
      <c r="AA203" s="16" t="n">
        <f aca="false">IF($A203&gt;=Premissas!$C$25,Z203*(1-Premissas!$C$53)-N203-Premissas!$C$54*MAX(0,Z203*(1-Premissas!$C$53)-(Premissas!$C$14*(1+Premissas!$C$57)^((YEAR(Premissas!$C$25)-YEAR(Premissas!$C$18))*12+MONTH(Premissas!$C$25)-MONTH(Premissas!$C$18))*(1+Premissas!$C$34))),"")</f>
        <v>935869.469746901</v>
      </c>
      <c r="AB203" s="16" t="n">
        <f aca="false">IF($A203&gt;=Premissas!$C$25,Y203+AA203,"")</f>
        <v>294554.732602983</v>
      </c>
      <c r="AC203" s="20" t="n">
        <f aca="false">IF(AND($A203&gt;=Premissas!$C$27,W203&gt;=M203),$A203,"")</f>
        <v>52413</v>
      </c>
      <c r="AD203" s="20" t="str">
        <f aca="false">IF(AND($A203&gt;=Premissas!$C$27,Y203&gt;=0),$A203,"")</f>
        <v/>
      </c>
      <c r="AE203" s="20" t="n">
        <f aca="false">IF(AND($A203&gt;=Premissas!$C$25,N(AB203)&gt;=0),$A203,"")</f>
        <v>52413</v>
      </c>
    </row>
    <row r="204" customFormat="false" ht="15" hidden="false" customHeight="false" outlineLevel="0" collapsed="false">
      <c r="A204" s="20" t="n">
        <f aca="false">DATE(YEAR(A203),MONTH(A203)+1,1)</f>
        <v>52444</v>
      </c>
      <c r="B204" s="5" t="str">
        <f aca="false">IF($A204&lt;Premissas!$C$25,"Obra",IF($A204=Premissas!$C$25,"Chaves",IF($A204&lt;Premissas!$C$27,"Mobiliando","Airbnb")))</f>
        <v>Airbnb</v>
      </c>
      <c r="C204" s="35" t="n">
        <f aca="false">(YEAR($A204)-YEAR(Premissas!$C$18))*12+MONTH($A204)-MONTH(Premissas!$C$18)</f>
        <v>203</v>
      </c>
      <c r="D204" s="16" t="n">
        <f aca="false">($A204=Premissas!$C$19)*Premissas!$C$8+(($A204=EDATE(Premissas!$C$19,1))+($A204=EDATE(Premissas!$C$19,2)))*Premissas!$C$9+AND($A204&gt;=Premissas!$C$20,$A204&lt;EDATE(Premissas!$C$20,Premissas!$C$21))*Premissas!$C$10+(($A204=Premissas!$C$22)+($A204=Premissas!$C$23)+($A204=Premissas!$C$24))*Premissas!$C$11+($A204=Premissas!$C$25)*Premissas!$C$12</f>
        <v>0</v>
      </c>
      <c r="E204" s="36" t="n">
        <f aca="false">(1+Premissas!$C$57)^C204</f>
        <v>2.47374032583706</v>
      </c>
      <c r="F204" s="16" t="n">
        <f aca="false">D204*E204</f>
        <v>0</v>
      </c>
      <c r="G204" s="16" t="n">
        <f aca="false">($A204=Premissas!$C$25)*Premissas!$C$34*Premissas!$C$14*(1+Premissas!$C$57)^C204</f>
        <v>0</v>
      </c>
      <c r="H204" s="16" t="n">
        <f aca="false">IF(AND($A204&gt;Premissas!$C$25,$A204&lt;Premissas!$C$27),Premissas!$C$35/MAX(1,Premissas!$C$26),0)</f>
        <v>0</v>
      </c>
      <c r="I204" s="35" t="n">
        <f aca="false">IF(AND($A204&gt;Premissas!$C$25,((YEAR($A204)-YEAR(Premissas!$C$25))*12+MONTH($A204)-MONTH(Premissas!$C$25))&lt;=Premissas!$C$32),((YEAR($A204)-YEAR(Premissas!$C$25))*12+MONTH($A204)-MONTH(Premissas!$C$25)),0)</f>
        <v>0</v>
      </c>
      <c r="J204" s="16" t="n">
        <f aca="false">IF(I204&gt;0,N203*(1+Premissas!$C$59),0)</f>
        <v>0</v>
      </c>
      <c r="K204" s="16" t="n">
        <f aca="false">J204*Premissas!$C$58</f>
        <v>0</v>
      </c>
      <c r="L204" s="16" t="n">
        <f aca="false">IF(I204&gt;0,J204/(Premissas!$C$32-I204+1),0)</f>
        <v>0</v>
      </c>
      <c r="M204" s="16" t="n">
        <f aca="false">K204+L204</f>
        <v>0</v>
      </c>
      <c r="N204" s="16" t="n">
        <f aca="false">IF($A204=Premissas!$C$25,Premissas!$C$13*E204,IF(I204&gt;0,J204-L204,0))</f>
        <v>0</v>
      </c>
      <c r="O204" s="37" t="n">
        <f aca="false">IF($A204&gt;=Premissas!$C$27,Premissas!$C$39*IF(((YEAR($A204)-YEAR(Premissas!$C$27))*12+MONTH($A204)-MONTH(Premissas!$C$27))&lt;Premissas!$C$41,Premissas!$C$42,1),0)</f>
        <v>0.62</v>
      </c>
      <c r="P204" s="16" t="n">
        <f aca="false">O204*Premissas!$C$38*Premissas!$C$40*(1+Premissas!$C$60)^((YEAR($A204)-YEAR(Premissas!$C$19))*12+MONTH($A204)-MONTH(Premissas!$C$19))</f>
        <v>8198.04548566339</v>
      </c>
      <c r="Q204" s="16" t="n">
        <f aca="false">P204*Premissas!$C$43</f>
        <v>1311.68727770614</v>
      </c>
      <c r="R204" s="16" t="n">
        <f aca="false">P204*Premissas!$C$44</f>
        <v>1639.60909713268</v>
      </c>
      <c r="S204" s="16" t="n">
        <f aca="false">IF($A204&gt;=Premissas!$C$25,Premissas!$C$45*(1+Premissas!$C$60)^((YEAR($A204)-YEAR(Premissas!$C$19))*12+MONTH($A204)-MONTH(Premissas!$C$19)),0)</f>
        <v>1437.24500099288</v>
      </c>
      <c r="T204" s="16" t="n">
        <f aca="false">IF($A204&gt;=Premissas!$C$27,Premissas!$C$46*(1+Premissas!$C$60)^((YEAR($A204)-YEAR(Premissas!$C$19))*12+MONTH($A204)-MONTH(Premissas!$C$19)),0)</f>
        <v>574.898000397152</v>
      </c>
      <c r="U204" s="16" t="n">
        <f aca="false">IF($A204&gt;=Premissas!$C$27,Premissas!$C$47*(1+Premissas!$C$60)^((YEAR($A204)-YEAR(Premissas!$C$19))*12+MONTH($A204)-MONTH(Premissas!$C$19)),0)</f>
        <v>287.449000198576</v>
      </c>
      <c r="V204" s="16" t="n">
        <f aca="false">IF($A204&gt;=Premissas!$C$27,MAX(0,P204-Q204-R204-S204)*Premissas!$C$49,0)</f>
        <v>1047.61363020371</v>
      </c>
      <c r="W204" s="16" t="n">
        <f aca="false">P204-Q204-R204-S204-T204-U204-V204</f>
        <v>1899.54347903225</v>
      </c>
      <c r="X204" s="16" t="n">
        <f aca="false">W204-F204-G204-H204-M204</f>
        <v>1899.54347903225</v>
      </c>
      <c r="Y204" s="16" t="n">
        <f aca="false">Y203+X204</f>
        <v>-639415.193664886</v>
      </c>
      <c r="Z204" s="16" t="n">
        <f aca="false">Premissas!$C$14*(1+Premissas!$C$57)^((YEAR(Premissas!$C$19)-YEAR(Premissas!$C$18))*12+MONTH(Premissas!$C$19)-MONTH(Premissas!$C$18))*(1+Premissas!$C$61)^((YEAR($A204)-YEAR(Premissas!$C$19))*12+MONTH($A204)-MONTH(Premissas!$C$19))</f>
        <v>1074029.13698031</v>
      </c>
      <c r="AA204" s="16" t="n">
        <f aca="false">IF($A204&gt;=Premissas!$C$25,Z204*(1-Premissas!$C$53)-N204-Premissas!$C$54*MAX(0,Z204*(1-Premissas!$C$53)-(Premissas!$C$14*(1+Premissas!$C$57)^((YEAR(Premissas!$C$25)-YEAR(Premissas!$C$18))*12+MONTH(Premissas!$C$25)-MONTH(Premissas!$C$18))*(1+Premissas!$C$34))),"")</f>
        <v>939351.489958931</v>
      </c>
      <c r="AB204" s="16" t="n">
        <f aca="false">IF($A204&gt;=Premissas!$C$25,Y204+AA204,"")</f>
        <v>299936.296294045</v>
      </c>
      <c r="AC204" s="20" t="n">
        <f aca="false">IF(AND($A204&gt;=Premissas!$C$27,W204&gt;=M204),$A204,"")</f>
        <v>52444</v>
      </c>
      <c r="AD204" s="20" t="str">
        <f aca="false">IF(AND($A204&gt;=Premissas!$C$27,Y204&gt;=0),$A204,"")</f>
        <v/>
      </c>
      <c r="AE204" s="20" t="n">
        <f aca="false">IF(AND($A204&gt;=Premissas!$C$25,N(AB204)&gt;=0),$A204,"")</f>
        <v>52444</v>
      </c>
    </row>
    <row r="205" customFormat="false" ht="15" hidden="false" customHeight="false" outlineLevel="0" collapsed="false">
      <c r="A205" s="20" t="n">
        <f aca="false">DATE(YEAR(A204),MONTH(A204)+1,1)</f>
        <v>52475</v>
      </c>
      <c r="B205" s="5" t="str">
        <f aca="false">IF($A205&lt;Premissas!$C$25,"Obra",IF($A205=Premissas!$C$25,"Chaves",IF($A205&lt;Premissas!$C$27,"Mobiliando","Airbnb")))</f>
        <v>Airbnb</v>
      </c>
      <c r="C205" s="35" t="n">
        <f aca="false">(YEAR($A205)-YEAR(Premissas!$C$18))*12+MONTH($A205)-MONTH(Premissas!$C$18)</f>
        <v>204</v>
      </c>
      <c r="D205" s="16" t="n">
        <f aca="false">($A205=Premissas!$C$19)*Premissas!$C$8+(($A205=EDATE(Premissas!$C$19,1))+($A205=EDATE(Premissas!$C$19,2)))*Premissas!$C$9+AND($A205&gt;=Premissas!$C$20,$A205&lt;EDATE(Premissas!$C$20,Premissas!$C$21))*Premissas!$C$10+(($A205=Premissas!$C$22)+($A205=Premissas!$C$23)+($A205=Premissas!$C$24))*Premissas!$C$11+($A205=Premissas!$C$25)*Premissas!$C$12</f>
        <v>0</v>
      </c>
      <c r="E205" s="36" t="n">
        <f aca="false">(1+Premissas!$C$57)^C205</f>
        <v>2.48480214777315</v>
      </c>
      <c r="F205" s="16" t="n">
        <f aca="false">D205*E205</f>
        <v>0</v>
      </c>
      <c r="G205" s="16" t="n">
        <f aca="false">($A205=Premissas!$C$25)*Premissas!$C$34*Premissas!$C$14*(1+Premissas!$C$57)^C205</f>
        <v>0</v>
      </c>
      <c r="H205" s="16" t="n">
        <f aca="false">IF(AND($A205&gt;Premissas!$C$25,$A205&lt;Premissas!$C$27),Premissas!$C$35/MAX(1,Premissas!$C$26),0)</f>
        <v>0</v>
      </c>
      <c r="I205" s="35" t="n">
        <f aca="false">IF(AND($A205&gt;Premissas!$C$25,((YEAR($A205)-YEAR(Premissas!$C$25))*12+MONTH($A205)-MONTH(Premissas!$C$25))&lt;=Premissas!$C$32),((YEAR($A205)-YEAR(Premissas!$C$25))*12+MONTH($A205)-MONTH(Premissas!$C$25)),0)</f>
        <v>0</v>
      </c>
      <c r="J205" s="16" t="n">
        <f aca="false">IF(I205&gt;0,N204*(1+Premissas!$C$59),0)</f>
        <v>0</v>
      </c>
      <c r="K205" s="16" t="n">
        <f aca="false">J205*Premissas!$C$58</f>
        <v>0</v>
      </c>
      <c r="L205" s="16" t="n">
        <f aca="false">IF(I205&gt;0,J205/(Premissas!$C$32-I205+1),0)</f>
        <v>0</v>
      </c>
      <c r="M205" s="16" t="n">
        <f aca="false">K205+L205</f>
        <v>0</v>
      </c>
      <c r="N205" s="16" t="n">
        <f aca="false">IF($A205=Premissas!$C$25,Premissas!$C$13*E205,IF(I205&gt;0,J205-L205,0))</f>
        <v>0</v>
      </c>
      <c r="O205" s="37" t="n">
        <f aca="false">IF($A205&gt;=Premissas!$C$27,Premissas!$C$39*IF(((YEAR($A205)-YEAR(Premissas!$C$27))*12+MONTH($A205)-MONTH(Premissas!$C$27))&lt;Premissas!$C$41,Premissas!$C$42,1),0)</f>
        <v>0.62</v>
      </c>
      <c r="P205" s="16" t="n">
        <f aca="false">O205*Premissas!$C$38*Premissas!$C$40*(1+Premissas!$C$60)^((YEAR($A205)-YEAR(Premissas!$C$19))*12+MONTH($A205)-MONTH(Premissas!$C$19))</f>
        <v>8224.88375330608</v>
      </c>
      <c r="Q205" s="16" t="n">
        <f aca="false">P205*Premissas!$C$43</f>
        <v>1315.98140052897</v>
      </c>
      <c r="R205" s="16" t="n">
        <f aca="false">P205*Premissas!$C$44</f>
        <v>1644.97675066122</v>
      </c>
      <c r="S205" s="16" t="n">
        <f aca="false">IF($A205&gt;=Premissas!$C$25,Premissas!$C$45*(1+Premissas!$C$60)^((YEAR($A205)-YEAR(Premissas!$C$19))*12+MONTH($A205)-MONTH(Premissas!$C$19)),0)</f>
        <v>1441.9501671294</v>
      </c>
      <c r="T205" s="16" t="n">
        <f aca="false">IF($A205&gt;=Premissas!$C$27,Premissas!$C$46*(1+Premissas!$C$60)^((YEAR($A205)-YEAR(Premissas!$C$19))*12+MONTH($A205)-MONTH(Premissas!$C$19)),0)</f>
        <v>576.780066851759</v>
      </c>
      <c r="U205" s="16" t="n">
        <f aca="false">IF($A205&gt;=Premissas!$C$27,Premissas!$C$47*(1+Premissas!$C$60)^((YEAR($A205)-YEAR(Premissas!$C$19))*12+MONTH($A205)-MONTH(Premissas!$C$19)),0)</f>
        <v>288.390033425879</v>
      </c>
      <c r="V205" s="16" t="n">
        <f aca="false">IF($A205&gt;=Premissas!$C$27,MAX(0,P205-Q205-R205-S205)*Premissas!$C$49,0)</f>
        <v>1051.04324462129</v>
      </c>
      <c r="W205" s="16" t="n">
        <f aca="false">P205-Q205-R205-S205-T205-U205-V205</f>
        <v>1905.76209008757</v>
      </c>
      <c r="X205" s="16" t="n">
        <f aca="false">W205-F205-G205-H205-M205</f>
        <v>1905.76209008757</v>
      </c>
      <c r="Y205" s="16" t="n">
        <f aca="false">Y204+X205</f>
        <v>-637509.431574798</v>
      </c>
      <c r="Z205" s="16" t="n">
        <f aca="false">Premissas!$C$14*(1+Premissas!$C$57)^((YEAR(Premissas!$C$19)-YEAR(Premissas!$C$18))*12+MONTH(Premissas!$C$19)-MONTH(Premissas!$C$18))*(1+Premissas!$C$61)^((YEAR($A205)-YEAR(Premissas!$C$19))*12+MONTH($A205)-MONTH(Premissas!$C$19))</f>
        <v>1078404.86463161</v>
      </c>
      <c r="AA205" s="16" t="n">
        <f aca="false">IF($A205&gt;=Premissas!$C$25,Z205*(1-Premissas!$C$53)-N205-Premissas!$C$54*MAX(0,Z205*(1-Premissas!$C$53)-(Premissas!$C$14*(1+Premissas!$C$57)^((YEAR(Premissas!$C$25)-YEAR(Premissas!$C$18))*12+MONTH(Premissas!$C$25)-MONTH(Premissas!$C$18))*(1+Premissas!$C$34))),"")</f>
        <v>942847.696352321</v>
      </c>
      <c r="AB205" s="16" t="n">
        <f aca="false">IF($A205&gt;=Premissas!$C$25,Y205+AA205,"")</f>
        <v>305338.264777523</v>
      </c>
      <c r="AC205" s="20" t="n">
        <f aca="false">IF(AND($A205&gt;=Premissas!$C$27,W205&gt;=M205),$A205,"")</f>
        <v>52475</v>
      </c>
      <c r="AD205" s="20" t="str">
        <f aca="false">IF(AND($A205&gt;=Premissas!$C$27,Y205&gt;=0),$A205,"")</f>
        <v/>
      </c>
      <c r="AE205" s="20" t="n">
        <f aca="false">IF(AND($A205&gt;=Premissas!$C$25,N(AB205)&gt;=0),$A205,"")</f>
        <v>52475</v>
      </c>
    </row>
    <row r="206" customFormat="false" ht="15" hidden="false" customHeight="false" outlineLevel="0" collapsed="false">
      <c r="A206" s="20" t="n">
        <f aca="false">DATE(YEAR(A205),MONTH(A205)+1,1)</f>
        <v>52505</v>
      </c>
      <c r="B206" s="5" t="str">
        <f aca="false">IF($A206&lt;Premissas!$C$25,"Obra",IF($A206=Premissas!$C$25,"Chaves",IF($A206&lt;Premissas!$C$27,"Mobiliando","Airbnb")))</f>
        <v>Airbnb</v>
      </c>
      <c r="C206" s="35" t="n">
        <f aca="false">(YEAR($A206)-YEAR(Premissas!$C$18))*12+MONTH($A206)-MONTH(Premissas!$C$18)</f>
        <v>205</v>
      </c>
      <c r="D206" s="16" t="n">
        <f aca="false">($A206=Premissas!$C$19)*Premissas!$C$8+(($A206=EDATE(Premissas!$C$19,1))+($A206=EDATE(Premissas!$C$19,2)))*Premissas!$C$9+AND($A206&gt;=Premissas!$C$20,$A206&lt;EDATE(Premissas!$C$20,Premissas!$C$21))*Premissas!$C$10+(($A206=Premissas!$C$22)+($A206=Premissas!$C$23)+($A206=Premissas!$C$24))*Premissas!$C$11+($A206=Premissas!$C$25)*Premissas!$C$12</f>
        <v>0</v>
      </c>
      <c r="E206" s="36" t="n">
        <f aca="false">(1+Premissas!$C$57)^C206</f>
        <v>2.49591343484641</v>
      </c>
      <c r="F206" s="16" t="n">
        <f aca="false">D206*E206</f>
        <v>0</v>
      </c>
      <c r="G206" s="16" t="n">
        <f aca="false">($A206=Premissas!$C$25)*Premissas!$C$34*Premissas!$C$14*(1+Premissas!$C$57)^C206</f>
        <v>0</v>
      </c>
      <c r="H206" s="16" t="n">
        <f aca="false">IF(AND($A206&gt;Premissas!$C$25,$A206&lt;Premissas!$C$27),Premissas!$C$35/MAX(1,Premissas!$C$26),0)</f>
        <v>0</v>
      </c>
      <c r="I206" s="35" t="n">
        <f aca="false">IF(AND($A206&gt;Premissas!$C$25,((YEAR($A206)-YEAR(Premissas!$C$25))*12+MONTH($A206)-MONTH(Premissas!$C$25))&lt;=Premissas!$C$32),((YEAR($A206)-YEAR(Premissas!$C$25))*12+MONTH($A206)-MONTH(Premissas!$C$25)),0)</f>
        <v>0</v>
      </c>
      <c r="J206" s="16" t="n">
        <f aca="false">IF(I206&gt;0,N205*(1+Premissas!$C$59),0)</f>
        <v>0</v>
      </c>
      <c r="K206" s="16" t="n">
        <f aca="false">J206*Premissas!$C$58</f>
        <v>0</v>
      </c>
      <c r="L206" s="16" t="n">
        <f aca="false">IF(I206&gt;0,J206/(Premissas!$C$32-I206+1),0)</f>
        <v>0</v>
      </c>
      <c r="M206" s="16" t="n">
        <f aca="false">K206+L206</f>
        <v>0</v>
      </c>
      <c r="N206" s="16" t="n">
        <f aca="false">IF($A206=Premissas!$C$25,Premissas!$C$13*E206,IF(I206&gt;0,J206-L206,0))</f>
        <v>0</v>
      </c>
      <c r="O206" s="37" t="n">
        <f aca="false">IF($A206&gt;=Premissas!$C$27,Premissas!$C$39*IF(((YEAR($A206)-YEAR(Premissas!$C$27))*12+MONTH($A206)-MONTH(Premissas!$C$27))&lt;Premissas!$C$41,Premissas!$C$42,1),0)</f>
        <v>0.62</v>
      </c>
      <c r="P206" s="16" t="n">
        <f aca="false">O206*Premissas!$C$38*Premissas!$C$40*(1+Premissas!$C$60)^((YEAR($A206)-YEAR(Premissas!$C$19))*12+MONTH($A206)-MONTH(Premissas!$C$19))</f>
        <v>8251.80988245324</v>
      </c>
      <c r="Q206" s="16" t="n">
        <f aca="false">P206*Premissas!$C$43</f>
        <v>1320.28958119252</v>
      </c>
      <c r="R206" s="16" t="n">
        <f aca="false">P206*Premissas!$C$44</f>
        <v>1650.36197649065</v>
      </c>
      <c r="S206" s="16" t="n">
        <f aca="false">IF($A206&gt;=Premissas!$C$25,Premissas!$C$45*(1+Premissas!$C$60)^((YEAR($A206)-YEAR(Premissas!$C$19))*12+MONTH($A206)-MONTH(Premissas!$C$19)),0)</f>
        <v>1446.67073675548</v>
      </c>
      <c r="T206" s="16" t="n">
        <f aca="false">IF($A206&gt;=Premissas!$C$27,Premissas!$C$46*(1+Premissas!$C$60)^((YEAR($A206)-YEAR(Premissas!$C$19))*12+MONTH($A206)-MONTH(Premissas!$C$19)),0)</f>
        <v>578.668294702191</v>
      </c>
      <c r="U206" s="16" t="n">
        <f aca="false">IF($A206&gt;=Premissas!$C$27,Premissas!$C$47*(1+Premissas!$C$60)^((YEAR($A206)-YEAR(Premissas!$C$19))*12+MONTH($A206)-MONTH(Premissas!$C$19)),0)</f>
        <v>289.334147351095</v>
      </c>
      <c r="V206" s="16" t="n">
        <f aca="false">IF($A206&gt;=Premissas!$C$27,MAX(0,P206-Q206-R206-S206)*Premissas!$C$49,0)</f>
        <v>1054.48408670401</v>
      </c>
      <c r="W206" s="16" t="n">
        <f aca="false">P206-Q206-R206-S206-T206-U206-V206</f>
        <v>1912.0010592573</v>
      </c>
      <c r="X206" s="16" t="n">
        <f aca="false">W206-F206-G206-H206-M206</f>
        <v>1912.0010592573</v>
      </c>
      <c r="Y206" s="16" t="n">
        <f aca="false">Y205+X206</f>
        <v>-635597.430515541</v>
      </c>
      <c r="Z206" s="16" t="n">
        <f aca="false">Premissas!$C$14*(1+Premissas!$C$57)^((YEAR(Premissas!$C$19)-YEAR(Premissas!$C$18))*12+MONTH(Premissas!$C$19)-MONTH(Premissas!$C$18))*(1+Premissas!$C$61)^((YEAR($A206)-YEAR(Premissas!$C$19))*12+MONTH($A206)-MONTH(Premissas!$C$19))</f>
        <v>1082798.41953901</v>
      </c>
      <c r="AA206" s="16" t="n">
        <f aca="false">IF($A206&gt;=Premissas!$C$25,Z206*(1-Premissas!$C$53)-N206-Premissas!$C$54*MAX(0,Z206*(1-Premissas!$C$53)-(Premissas!$C$14*(1+Premissas!$C$57)^((YEAR(Premissas!$C$25)-YEAR(Premissas!$C$18))*12+MONTH(Premissas!$C$25)-MONTH(Premissas!$C$18))*(1+Premissas!$C$34))),"")</f>
        <v>946358.146723332</v>
      </c>
      <c r="AB206" s="16" t="n">
        <f aca="false">IF($A206&gt;=Premissas!$C$25,Y206+AA206,"")</f>
        <v>310760.716207791</v>
      </c>
      <c r="AC206" s="20" t="n">
        <f aca="false">IF(AND($A206&gt;=Premissas!$C$27,W206&gt;=M206),$A206,"")</f>
        <v>52505</v>
      </c>
      <c r="AD206" s="20" t="str">
        <f aca="false">IF(AND($A206&gt;=Premissas!$C$27,Y206&gt;=0),$A206,"")</f>
        <v/>
      </c>
      <c r="AE206" s="20" t="n">
        <f aca="false">IF(AND($A206&gt;=Premissas!$C$25,N(AB206)&gt;=0),$A206,"")</f>
        <v>52505</v>
      </c>
    </row>
    <row r="207" customFormat="false" ht="15" hidden="false" customHeight="false" outlineLevel="0" collapsed="false">
      <c r="A207" s="20" t="n">
        <f aca="false">DATE(YEAR(A206),MONTH(A206)+1,1)</f>
        <v>52536</v>
      </c>
      <c r="B207" s="5" t="str">
        <f aca="false">IF($A207&lt;Premissas!$C$25,"Obra",IF($A207=Premissas!$C$25,"Chaves",IF($A207&lt;Premissas!$C$27,"Mobiliando","Airbnb")))</f>
        <v>Airbnb</v>
      </c>
      <c r="C207" s="35" t="n">
        <f aca="false">(YEAR($A207)-YEAR(Premissas!$C$18))*12+MONTH($A207)-MONTH(Premissas!$C$18)</f>
        <v>206</v>
      </c>
      <c r="D207" s="16" t="n">
        <f aca="false">($A207=Premissas!$C$19)*Premissas!$C$8+(($A207=EDATE(Premissas!$C$19,1))+($A207=EDATE(Premissas!$C$19,2)))*Premissas!$C$9+AND($A207&gt;=Premissas!$C$20,$A207&lt;EDATE(Premissas!$C$20,Premissas!$C$21))*Premissas!$C$10+(($A207=Premissas!$C$22)+($A207=Premissas!$C$23)+($A207=Premissas!$C$24))*Premissas!$C$11+($A207=Premissas!$C$25)*Premissas!$C$12</f>
        <v>0</v>
      </c>
      <c r="E207" s="36" t="n">
        <f aca="false">(1+Premissas!$C$57)^C207</f>
        <v>2.50707440825005</v>
      </c>
      <c r="F207" s="16" t="n">
        <f aca="false">D207*E207</f>
        <v>0</v>
      </c>
      <c r="G207" s="16" t="n">
        <f aca="false">($A207=Premissas!$C$25)*Premissas!$C$34*Premissas!$C$14*(1+Premissas!$C$57)^C207</f>
        <v>0</v>
      </c>
      <c r="H207" s="16" t="n">
        <f aca="false">IF(AND($A207&gt;Premissas!$C$25,$A207&lt;Premissas!$C$27),Premissas!$C$35/MAX(1,Premissas!$C$26),0)</f>
        <v>0</v>
      </c>
      <c r="I207" s="35" t="n">
        <f aca="false">IF(AND($A207&gt;Premissas!$C$25,((YEAR($A207)-YEAR(Premissas!$C$25))*12+MONTH($A207)-MONTH(Premissas!$C$25))&lt;=Premissas!$C$32),((YEAR($A207)-YEAR(Premissas!$C$25))*12+MONTH($A207)-MONTH(Premissas!$C$25)),0)</f>
        <v>0</v>
      </c>
      <c r="J207" s="16" t="n">
        <f aca="false">IF(I207&gt;0,N206*(1+Premissas!$C$59),0)</f>
        <v>0</v>
      </c>
      <c r="K207" s="16" t="n">
        <f aca="false">J207*Premissas!$C$58</f>
        <v>0</v>
      </c>
      <c r="L207" s="16" t="n">
        <f aca="false">IF(I207&gt;0,J207/(Premissas!$C$32-I207+1),0)</f>
        <v>0</v>
      </c>
      <c r="M207" s="16" t="n">
        <f aca="false">K207+L207</f>
        <v>0</v>
      </c>
      <c r="N207" s="16" t="n">
        <f aca="false">IF($A207=Premissas!$C$25,Premissas!$C$13*E207,IF(I207&gt;0,J207-L207,0))</f>
        <v>0</v>
      </c>
      <c r="O207" s="37" t="n">
        <f aca="false">IF($A207&gt;=Premissas!$C$27,Premissas!$C$39*IF(((YEAR($A207)-YEAR(Premissas!$C$27))*12+MONTH($A207)-MONTH(Premissas!$C$27))&lt;Premissas!$C$41,Premissas!$C$42,1),0)</f>
        <v>0.62</v>
      </c>
      <c r="P207" s="16" t="n">
        <f aca="false">O207*Premissas!$C$38*Premissas!$C$40*(1+Premissas!$C$60)^((YEAR($A207)-YEAR(Premissas!$C$19))*12+MONTH($A207)-MONTH(Premissas!$C$19))</f>
        <v>8278.82416074057</v>
      </c>
      <c r="Q207" s="16" t="n">
        <f aca="false">P207*Premissas!$C$43</f>
        <v>1324.61186571849</v>
      </c>
      <c r="R207" s="16" t="n">
        <f aca="false">P207*Premissas!$C$44</f>
        <v>1655.76483214811</v>
      </c>
      <c r="S207" s="16" t="n">
        <f aca="false">IF($A207&gt;=Premissas!$C$25,Premissas!$C$45*(1+Premissas!$C$60)^((YEAR($A207)-YEAR(Premissas!$C$19))*12+MONTH($A207)-MONTH(Premissas!$C$19)),0)</f>
        <v>1451.40676029814</v>
      </c>
      <c r="T207" s="16" t="n">
        <f aca="false">IF($A207&gt;=Premissas!$C$27,Premissas!$C$46*(1+Premissas!$C$60)^((YEAR($A207)-YEAR(Premissas!$C$19))*12+MONTH($A207)-MONTH(Premissas!$C$19)),0)</f>
        <v>580.562704119255</v>
      </c>
      <c r="U207" s="16" t="n">
        <f aca="false">IF($A207&gt;=Premissas!$C$27,Premissas!$C$47*(1+Premissas!$C$60)^((YEAR($A207)-YEAR(Premissas!$C$19))*12+MONTH($A207)-MONTH(Premissas!$C$19)),0)</f>
        <v>290.281352059627</v>
      </c>
      <c r="V207" s="16" t="n">
        <f aca="false">IF($A207&gt;=Premissas!$C$27,MAX(0,P207-Q207-R207-S207)*Premissas!$C$49,0)</f>
        <v>1057.93619320835</v>
      </c>
      <c r="W207" s="16" t="n">
        <f aca="false">P207-Q207-R207-S207-T207-U207-V207</f>
        <v>1918.26045318859</v>
      </c>
      <c r="X207" s="16" t="n">
        <f aca="false">W207-F207-G207-H207-M207</f>
        <v>1918.26045318859</v>
      </c>
      <c r="Y207" s="16" t="n">
        <f aca="false">Y206+X207</f>
        <v>-633679.170062352</v>
      </c>
      <c r="Z207" s="16" t="n">
        <f aca="false">Premissas!$C$14*(1+Premissas!$C$57)^((YEAR(Premissas!$C$19)-YEAR(Premissas!$C$18))*12+MONTH(Premissas!$C$19)-MONTH(Premissas!$C$18))*(1+Premissas!$C$61)^((YEAR($A207)-YEAR(Premissas!$C$19))*12+MONTH($A207)-MONTH(Premissas!$C$19))</f>
        <v>1087209.87433295</v>
      </c>
      <c r="AA207" s="16" t="n">
        <f aca="false">IF($A207&gt;=Premissas!$C$25,Z207*(1-Premissas!$C$53)-N207-Premissas!$C$54*MAX(0,Z207*(1-Premissas!$C$53)-(Premissas!$C$14*(1+Premissas!$C$57)^((YEAR(Premissas!$C$25)-YEAR(Premissas!$C$18))*12+MONTH(Premissas!$C$25)-MONTH(Premissas!$C$18))*(1+Premissas!$C$34))),"")</f>
        <v>949882.899103691</v>
      </c>
      <c r="AB207" s="16" t="n">
        <f aca="false">IF($A207&gt;=Premissas!$C$25,Y207+AA207,"")</f>
        <v>316203.729041339</v>
      </c>
      <c r="AC207" s="20" t="n">
        <f aca="false">IF(AND($A207&gt;=Premissas!$C$27,W207&gt;=M207),$A207,"")</f>
        <v>52536</v>
      </c>
      <c r="AD207" s="20" t="str">
        <f aca="false">IF(AND($A207&gt;=Premissas!$C$27,Y207&gt;=0),$A207,"")</f>
        <v/>
      </c>
      <c r="AE207" s="20" t="n">
        <f aca="false">IF(AND($A207&gt;=Premissas!$C$25,N(AB207)&gt;=0),$A207,"")</f>
        <v>52536</v>
      </c>
    </row>
    <row r="208" customFormat="false" ht="15" hidden="false" customHeight="false" outlineLevel="0" collapsed="false">
      <c r="A208" s="20" t="n">
        <f aca="false">DATE(YEAR(A207),MONTH(A207)+1,1)</f>
        <v>52566</v>
      </c>
      <c r="B208" s="5" t="str">
        <f aca="false">IF($A208&lt;Premissas!$C$25,"Obra",IF($A208=Premissas!$C$25,"Chaves",IF($A208&lt;Premissas!$C$27,"Mobiliando","Airbnb")))</f>
        <v>Airbnb</v>
      </c>
      <c r="C208" s="35" t="n">
        <f aca="false">(YEAR($A208)-YEAR(Premissas!$C$18))*12+MONTH($A208)-MONTH(Premissas!$C$18)</f>
        <v>207</v>
      </c>
      <c r="D208" s="16" t="n">
        <f aca="false">($A208=Premissas!$C$19)*Premissas!$C$8+(($A208=EDATE(Premissas!$C$19,1))+($A208=EDATE(Premissas!$C$19,2)))*Premissas!$C$9+AND($A208&gt;=Premissas!$C$20,$A208&lt;EDATE(Premissas!$C$20,Premissas!$C$21))*Premissas!$C$10+(($A208=Premissas!$C$22)+($A208=Premissas!$C$23)+($A208=Premissas!$C$24))*Premissas!$C$11+($A208=Premissas!$C$25)*Premissas!$C$12</f>
        <v>0</v>
      </c>
      <c r="E208" s="36" t="n">
        <f aca="false">(1+Premissas!$C$57)^C208</f>
        <v>2.51828529016637</v>
      </c>
      <c r="F208" s="16" t="n">
        <f aca="false">D208*E208</f>
        <v>0</v>
      </c>
      <c r="G208" s="16" t="n">
        <f aca="false">($A208=Premissas!$C$25)*Premissas!$C$34*Premissas!$C$14*(1+Premissas!$C$57)^C208</f>
        <v>0</v>
      </c>
      <c r="H208" s="16" t="n">
        <f aca="false">IF(AND($A208&gt;Premissas!$C$25,$A208&lt;Premissas!$C$27),Premissas!$C$35/MAX(1,Premissas!$C$26),0)</f>
        <v>0</v>
      </c>
      <c r="I208" s="35" t="n">
        <f aca="false">IF(AND($A208&gt;Premissas!$C$25,((YEAR($A208)-YEAR(Premissas!$C$25))*12+MONTH($A208)-MONTH(Premissas!$C$25))&lt;=Premissas!$C$32),((YEAR($A208)-YEAR(Premissas!$C$25))*12+MONTH($A208)-MONTH(Premissas!$C$25)),0)</f>
        <v>0</v>
      </c>
      <c r="J208" s="16" t="n">
        <f aca="false">IF(I208&gt;0,N207*(1+Premissas!$C$59),0)</f>
        <v>0</v>
      </c>
      <c r="K208" s="16" t="n">
        <f aca="false">J208*Premissas!$C$58</f>
        <v>0</v>
      </c>
      <c r="L208" s="16" t="n">
        <f aca="false">IF(I208&gt;0,J208/(Premissas!$C$32-I208+1),0)</f>
        <v>0</v>
      </c>
      <c r="M208" s="16" t="n">
        <f aca="false">K208+L208</f>
        <v>0</v>
      </c>
      <c r="N208" s="16" t="n">
        <f aca="false">IF($A208=Premissas!$C$25,Premissas!$C$13*E208,IF(I208&gt;0,J208-L208,0))</f>
        <v>0</v>
      </c>
      <c r="O208" s="37" t="n">
        <f aca="false">IF($A208&gt;=Premissas!$C$27,Premissas!$C$39*IF(((YEAR($A208)-YEAR(Premissas!$C$27))*12+MONTH($A208)-MONTH(Premissas!$C$27))&lt;Premissas!$C$41,Premissas!$C$42,1),0)</f>
        <v>0.62</v>
      </c>
      <c r="P208" s="16" t="n">
        <f aca="false">O208*Premissas!$C$38*Premissas!$C$40*(1+Premissas!$C$60)^((YEAR($A208)-YEAR(Premissas!$C$19))*12+MONTH($A208)-MONTH(Premissas!$C$19))</f>
        <v>8305.92687674542</v>
      </c>
      <c r="Q208" s="16" t="n">
        <f aca="false">P208*Premissas!$C$43</f>
        <v>1328.94830027927</v>
      </c>
      <c r="R208" s="16" t="n">
        <f aca="false">P208*Premissas!$C$44</f>
        <v>1661.18537534908</v>
      </c>
      <c r="S208" s="16" t="n">
        <f aca="false">IF($A208&gt;=Premissas!$C$25,Premissas!$C$45*(1+Premissas!$C$60)^((YEAR($A208)-YEAR(Premissas!$C$19))*12+MONTH($A208)-MONTH(Premissas!$C$19)),0)</f>
        <v>1456.15828834948</v>
      </c>
      <c r="T208" s="16" t="n">
        <f aca="false">IF($A208&gt;=Premissas!$C$27,Premissas!$C$46*(1+Premissas!$C$60)^((YEAR($A208)-YEAR(Premissas!$C$19))*12+MONTH($A208)-MONTH(Premissas!$C$19)),0)</f>
        <v>582.463315339791</v>
      </c>
      <c r="U208" s="16" t="n">
        <f aca="false">IF($A208&gt;=Premissas!$C$27,Premissas!$C$47*(1+Premissas!$C$60)^((YEAR($A208)-YEAR(Premissas!$C$19))*12+MONTH($A208)-MONTH(Premissas!$C$19)),0)</f>
        <v>291.231657669895</v>
      </c>
      <c r="V208" s="16" t="n">
        <f aca="false">IF($A208&gt;=Premissas!$C$27,MAX(0,P208-Q208-R208-S208)*Premissas!$C$49,0)</f>
        <v>1061.39960101109</v>
      </c>
      <c r="W208" s="16" t="n">
        <f aca="false">P208-Q208-R208-S208-T208-U208-V208</f>
        <v>1924.54033874682</v>
      </c>
      <c r="X208" s="16" t="n">
        <f aca="false">W208-F208-G208-H208-M208</f>
        <v>1924.54033874682</v>
      </c>
      <c r="Y208" s="16" t="n">
        <f aca="false">Y207+X208</f>
        <v>-631754.629723605</v>
      </c>
      <c r="Z208" s="16" t="n">
        <f aca="false">Premissas!$C$14*(1+Premissas!$C$57)^((YEAR(Premissas!$C$19)-YEAR(Premissas!$C$18))*12+MONTH(Premissas!$C$19)-MONTH(Premissas!$C$18))*(1+Premissas!$C$61)^((YEAR($A208)-YEAR(Premissas!$C$19))*12+MONTH($A208)-MONTH(Premissas!$C$19))</f>
        <v>1091639.30193979</v>
      </c>
      <c r="AA208" s="16" t="n">
        <f aca="false">IF($A208&gt;=Premissas!$C$25,Z208*(1-Premissas!$C$53)-N208-Premissas!$C$54*MAX(0,Z208*(1-Premissas!$C$53)-(Premissas!$C$14*(1+Premissas!$C$57)^((YEAR(Premissas!$C$25)-YEAR(Premissas!$C$18))*12+MONTH(Premissas!$C$25)-MONTH(Premissas!$C$18))*(1+Premissas!$C$34))),"")</f>
        <v>953422.011761554</v>
      </c>
      <c r="AB208" s="16" t="n">
        <f aca="false">IF($A208&gt;=Premissas!$C$25,Y208+AA208,"")</f>
        <v>321667.382037948</v>
      </c>
      <c r="AC208" s="20" t="n">
        <f aca="false">IF(AND($A208&gt;=Premissas!$C$27,W208&gt;=M208),$A208,"")</f>
        <v>52566</v>
      </c>
      <c r="AD208" s="20" t="str">
        <f aca="false">IF(AND($A208&gt;=Premissas!$C$27,Y208&gt;=0),$A208,"")</f>
        <v/>
      </c>
      <c r="AE208" s="20" t="n">
        <f aca="false">IF(AND($A208&gt;=Premissas!$C$25,N(AB208)&gt;=0),$A208,"")</f>
        <v>52566</v>
      </c>
    </row>
    <row r="209" customFormat="false" ht="15" hidden="false" customHeight="false" outlineLevel="0" collapsed="false">
      <c r="A209" s="29" t="n">
        <f aca="false">DATE(YEAR(A208),MONTH(A208)+1,1)</f>
        <v>52597</v>
      </c>
      <c r="B209" s="30" t="str">
        <f aca="false">IF($A209&lt;Premissas!$C$25,"Obra",IF($A209=Premissas!$C$25,"Chaves",IF($A209&lt;Premissas!$C$27,"Mobiliando","Airbnb")))</f>
        <v>Airbnb</v>
      </c>
      <c r="C209" s="31" t="n">
        <f aca="false">(YEAR($A209)-YEAR(Premissas!$C$18))*12+MONTH($A209)-MONTH(Premissas!$C$18)</f>
        <v>208</v>
      </c>
      <c r="D209" s="32" t="n">
        <f aca="false">($A209=Premissas!$C$19)*Premissas!$C$8+(($A209=EDATE(Premissas!$C$19,1))+($A209=EDATE(Premissas!$C$19,2)))*Premissas!$C$9+AND($A209&gt;=Premissas!$C$20,$A209&lt;EDATE(Premissas!$C$20,Premissas!$C$21))*Premissas!$C$10+(($A209=Premissas!$C$22)+($A209=Premissas!$C$23)+($A209=Premissas!$C$24))*Premissas!$C$11+($A209=Premissas!$C$25)*Premissas!$C$12</f>
        <v>0</v>
      </c>
      <c r="E209" s="33" t="n">
        <f aca="false">(1+Premissas!$C$57)^C209</f>
        <v>2.52954630377121</v>
      </c>
      <c r="F209" s="32" t="n">
        <f aca="false">D209*E209</f>
        <v>0</v>
      </c>
      <c r="G209" s="32" t="n">
        <f aca="false">($A209=Premissas!$C$25)*Premissas!$C$34*Premissas!$C$14*(1+Premissas!$C$57)^C209</f>
        <v>0</v>
      </c>
      <c r="H209" s="32" t="n">
        <f aca="false">IF(AND($A209&gt;Premissas!$C$25,$A209&lt;Premissas!$C$27),Premissas!$C$35/MAX(1,Premissas!$C$26),0)</f>
        <v>0</v>
      </c>
      <c r="I209" s="31" t="n">
        <f aca="false">IF(AND($A209&gt;Premissas!$C$25,((YEAR($A209)-YEAR(Premissas!$C$25))*12+MONTH($A209)-MONTH(Premissas!$C$25))&lt;=Premissas!$C$32),((YEAR($A209)-YEAR(Premissas!$C$25))*12+MONTH($A209)-MONTH(Premissas!$C$25)),0)</f>
        <v>0</v>
      </c>
      <c r="J209" s="32" t="n">
        <f aca="false">IF(I209&gt;0,N208*(1+Premissas!$C$59),0)</f>
        <v>0</v>
      </c>
      <c r="K209" s="32" t="n">
        <f aca="false">J209*Premissas!$C$58</f>
        <v>0</v>
      </c>
      <c r="L209" s="32" t="n">
        <f aca="false">IF(I209&gt;0,J209/(Premissas!$C$32-I209+1),0)</f>
        <v>0</v>
      </c>
      <c r="M209" s="32" t="n">
        <f aca="false">K209+L209</f>
        <v>0</v>
      </c>
      <c r="N209" s="32" t="n">
        <f aca="false">IF($A209=Premissas!$C$25,Premissas!$C$13*E209,IF(I209&gt;0,J209-L209,0))</f>
        <v>0</v>
      </c>
      <c r="O209" s="34" t="n">
        <f aca="false">IF($A209&gt;=Premissas!$C$27,Premissas!$C$39*IF(((YEAR($A209)-YEAR(Premissas!$C$27))*12+MONTH($A209)-MONTH(Premissas!$C$27))&lt;Premissas!$C$41,Premissas!$C$42,1),0)</f>
        <v>0.62</v>
      </c>
      <c r="P209" s="32" t="n">
        <f aca="false">O209*Premissas!$C$38*Premissas!$C$40*(1+Premissas!$C$60)^((YEAR($A209)-YEAR(Premissas!$C$19))*12+MONTH($A209)-MONTH(Premissas!$C$19))</f>
        <v>8333.11831998985</v>
      </c>
      <c r="Q209" s="32" t="n">
        <f aca="false">P209*Premissas!$C$43</f>
        <v>1333.29893119838</v>
      </c>
      <c r="R209" s="32" t="n">
        <f aca="false">P209*Premissas!$C$44</f>
        <v>1666.62366399797</v>
      </c>
      <c r="S209" s="32" t="n">
        <f aca="false">IF($A209&gt;=Premissas!$C$25,Premissas!$C$45*(1+Premissas!$C$60)^((YEAR($A209)-YEAR(Premissas!$C$19))*12+MONTH($A209)-MONTH(Premissas!$C$19)),0)</f>
        <v>1460.92537166723</v>
      </c>
      <c r="T209" s="32" t="n">
        <f aca="false">IF($A209&gt;=Premissas!$C$27,Premissas!$C$46*(1+Premissas!$C$60)^((YEAR($A209)-YEAR(Premissas!$C$19))*12+MONTH($A209)-MONTH(Premissas!$C$19)),0)</f>
        <v>584.37014866689</v>
      </c>
      <c r="U209" s="32" t="n">
        <f aca="false">IF($A209&gt;=Premissas!$C$27,Premissas!$C$47*(1+Premissas!$C$60)^((YEAR($A209)-YEAR(Premissas!$C$19))*12+MONTH($A209)-MONTH(Premissas!$C$19)),0)</f>
        <v>292.185074333445</v>
      </c>
      <c r="V209" s="32" t="n">
        <f aca="false">IF($A209&gt;=Premissas!$C$27,MAX(0,P209-Q209-R209-S209)*Premissas!$C$49,0)</f>
        <v>1064.87434710973</v>
      </c>
      <c r="W209" s="32" t="n">
        <f aca="false">P209-Q209-R209-S209-T209-U209-V209</f>
        <v>1930.84078301622</v>
      </c>
      <c r="X209" s="32" t="n">
        <f aca="false">W209-F209-G209-H209-M209</f>
        <v>1930.84078301622</v>
      </c>
      <c r="Y209" s="32" t="n">
        <f aca="false">Y208+X209</f>
        <v>-629823.788940589</v>
      </c>
      <c r="Z209" s="32" t="n">
        <f aca="false">Premissas!$C$14*(1+Premissas!$C$57)^((YEAR(Premissas!$C$19)-YEAR(Premissas!$C$18))*12+MONTH(Premissas!$C$19)-MONTH(Premissas!$C$18))*(1+Premissas!$C$61)^((YEAR($A209)-YEAR(Premissas!$C$19))*12+MONTH($A209)-MONTH(Premissas!$C$19))</f>
        <v>1096086.77558298</v>
      </c>
      <c r="AA209" s="32" t="n">
        <f aca="false">IF($A209&gt;=Premissas!$C$25,Z209*(1-Premissas!$C$53)-N209-Premissas!$C$54*MAX(0,Z209*(1-Premissas!$C$53)-(Premissas!$C$14*(1+Premissas!$C$57)^((YEAR(Premissas!$C$25)-YEAR(Premissas!$C$18))*12+MONTH(Premissas!$C$25)-MONTH(Premissas!$C$18))*(1+Premissas!$C$34))),"")</f>
        <v>956975.543202469</v>
      </c>
      <c r="AB209" s="32" t="n">
        <f aca="false">IF($A209&gt;=Premissas!$C$25,Y209+AA209,"")</f>
        <v>327151.75426188</v>
      </c>
      <c r="AC209" s="29" t="n">
        <f aca="false">IF(AND($A209&gt;=Premissas!$C$27,W209&gt;=M209),$A209,"")</f>
        <v>52597</v>
      </c>
      <c r="AD209" s="29" t="str">
        <f aca="false">IF(AND($A209&gt;=Premissas!$C$27,Y209&gt;=0),$A209,"")</f>
        <v/>
      </c>
      <c r="AE209" s="29" t="n">
        <f aca="false">IF(AND($A209&gt;=Premissas!$C$25,N(AB209)&gt;=0),$A209,"")</f>
        <v>52597</v>
      </c>
    </row>
    <row r="210" customFormat="false" ht="15" hidden="false" customHeight="false" outlineLevel="0" collapsed="false">
      <c r="A210" s="20" t="n">
        <f aca="false">DATE(YEAR(A209),MONTH(A209)+1,1)</f>
        <v>52628</v>
      </c>
      <c r="B210" s="5" t="str">
        <f aca="false">IF($A210&lt;Premissas!$C$25,"Obra",IF($A210=Premissas!$C$25,"Chaves",IF($A210&lt;Premissas!$C$27,"Mobiliando","Airbnb")))</f>
        <v>Airbnb</v>
      </c>
      <c r="C210" s="35" t="n">
        <f aca="false">(YEAR($A210)-YEAR(Premissas!$C$18))*12+MONTH($A210)-MONTH(Premissas!$C$18)</f>
        <v>209</v>
      </c>
      <c r="D210" s="16" t="n">
        <f aca="false">($A210=Premissas!$C$19)*Premissas!$C$8+(($A210=EDATE(Premissas!$C$19,1))+($A210=EDATE(Premissas!$C$19,2)))*Premissas!$C$9+AND($A210&gt;=Premissas!$C$20,$A210&lt;EDATE(Premissas!$C$20,Premissas!$C$21))*Premissas!$C$10+(($A210=Premissas!$C$22)+($A210=Premissas!$C$23)+($A210=Premissas!$C$24))*Premissas!$C$11+($A210=Premissas!$C$25)*Premissas!$C$12</f>
        <v>0</v>
      </c>
      <c r="E210" s="36" t="n">
        <f aca="false">(1+Premissas!$C$57)^C210</f>
        <v>2.54085767323839</v>
      </c>
      <c r="F210" s="16" t="n">
        <f aca="false">D210*E210</f>
        <v>0</v>
      </c>
      <c r="G210" s="16" t="n">
        <f aca="false">($A210=Premissas!$C$25)*Premissas!$C$34*Premissas!$C$14*(1+Premissas!$C$57)^C210</f>
        <v>0</v>
      </c>
      <c r="H210" s="16" t="n">
        <f aca="false">IF(AND($A210&gt;Premissas!$C$25,$A210&lt;Premissas!$C$27),Premissas!$C$35/MAX(1,Premissas!$C$26),0)</f>
        <v>0</v>
      </c>
      <c r="I210" s="35" t="n">
        <f aca="false">IF(AND($A210&gt;Premissas!$C$25,((YEAR($A210)-YEAR(Premissas!$C$25))*12+MONTH($A210)-MONTH(Premissas!$C$25))&lt;=Premissas!$C$32),((YEAR($A210)-YEAR(Premissas!$C$25))*12+MONTH($A210)-MONTH(Premissas!$C$25)),0)</f>
        <v>0</v>
      </c>
      <c r="J210" s="16" t="n">
        <f aca="false">IF(I210&gt;0,N209*(1+Premissas!$C$59),0)</f>
        <v>0</v>
      </c>
      <c r="K210" s="16" t="n">
        <f aca="false">J210*Premissas!$C$58</f>
        <v>0</v>
      </c>
      <c r="L210" s="16" t="n">
        <f aca="false">IF(I210&gt;0,J210/(Premissas!$C$32-I210+1),0)</f>
        <v>0</v>
      </c>
      <c r="M210" s="16" t="n">
        <f aca="false">K210+L210</f>
        <v>0</v>
      </c>
      <c r="N210" s="16" t="n">
        <f aca="false">IF($A210=Premissas!$C$25,Premissas!$C$13*E210,IF(I210&gt;0,J210-L210,0))</f>
        <v>0</v>
      </c>
      <c r="O210" s="37" t="n">
        <f aca="false">IF($A210&gt;=Premissas!$C$27,Premissas!$C$39*IF(((YEAR($A210)-YEAR(Premissas!$C$27))*12+MONTH($A210)-MONTH(Premissas!$C$27))&lt;Premissas!$C$41,Premissas!$C$42,1),0)</f>
        <v>0.62</v>
      </c>
      <c r="P210" s="16" t="n">
        <f aca="false">O210*Premissas!$C$38*Premissas!$C$40*(1+Premissas!$C$60)^((YEAR($A210)-YEAR(Premissas!$C$19))*12+MONTH($A210)-MONTH(Premissas!$C$19))</f>
        <v>8360.39878094377</v>
      </c>
      <c r="Q210" s="16" t="n">
        <f aca="false">P210*Premissas!$C$43</f>
        <v>1337.663804951</v>
      </c>
      <c r="R210" s="16" t="n">
        <f aca="false">P210*Premissas!$C$44</f>
        <v>1672.07975618875</v>
      </c>
      <c r="S210" s="16" t="n">
        <f aca="false">IF($A210&gt;=Premissas!$C$25,Premissas!$C$45*(1+Premissas!$C$60)^((YEAR($A210)-YEAR(Premissas!$C$19))*12+MONTH($A210)-MONTH(Premissas!$C$19)),0)</f>
        <v>1465.70806117528</v>
      </c>
      <c r="T210" s="16" t="n">
        <f aca="false">IF($A210&gt;=Premissas!$C$27,Premissas!$C$46*(1+Premissas!$C$60)^((YEAR($A210)-YEAR(Premissas!$C$19))*12+MONTH($A210)-MONTH(Premissas!$C$19)),0)</f>
        <v>586.28322447011</v>
      </c>
      <c r="U210" s="16" t="n">
        <f aca="false">IF($A210&gt;=Premissas!$C$27,Premissas!$C$47*(1+Premissas!$C$60)^((YEAR($A210)-YEAR(Premissas!$C$19))*12+MONTH($A210)-MONTH(Premissas!$C$19)),0)</f>
        <v>293.141612235055</v>
      </c>
      <c r="V210" s="16" t="n">
        <f aca="false">IF($A210&gt;=Premissas!$C$27,MAX(0,P210-Q210-R210-S210)*Premissas!$C$49,0)</f>
        <v>1068.3604686229</v>
      </c>
      <c r="W210" s="16" t="n">
        <f aca="false">P210-Q210-R210-S210-T210-U210-V210</f>
        <v>1937.16185330067</v>
      </c>
      <c r="X210" s="16" t="n">
        <f aca="false">W210-F210-G210-H210-M210</f>
        <v>1937.16185330067</v>
      </c>
      <c r="Y210" s="16" t="n">
        <f aca="false">Y209+X210</f>
        <v>-627886.627087289</v>
      </c>
      <c r="Z210" s="16" t="n">
        <f aca="false">Premissas!$C$14*(1+Premissas!$C$57)^((YEAR(Premissas!$C$19)-YEAR(Premissas!$C$18))*12+MONTH(Premissas!$C$19)-MONTH(Premissas!$C$18))*(1+Premissas!$C$61)^((YEAR($A210)-YEAR(Premissas!$C$19))*12+MONTH($A210)-MONTH(Premissas!$C$19))</f>
        <v>1100552.36878433</v>
      </c>
      <c r="AA210" s="16" t="n">
        <f aca="false">IF($A210&gt;=Premissas!$C$25,Z210*(1-Premissas!$C$53)-N210-Premissas!$C$54*MAX(0,Z210*(1-Premissas!$C$53)-(Premissas!$C$14*(1+Premissas!$C$57)^((YEAR(Premissas!$C$25)-YEAR(Premissas!$C$18))*12+MONTH(Premissas!$C$25)-MONTH(Premissas!$C$18))*(1+Premissas!$C$34))),"")</f>
        <v>960543.552170344</v>
      </c>
      <c r="AB210" s="16" t="n">
        <f aca="false">IF($A210&gt;=Premissas!$C$25,Y210+AA210,"")</f>
        <v>332656.925083056</v>
      </c>
      <c r="AC210" s="20" t="n">
        <f aca="false">IF(AND($A210&gt;=Premissas!$C$27,W210&gt;=M210),$A210,"")</f>
        <v>52628</v>
      </c>
      <c r="AD210" s="20" t="str">
        <f aca="false">IF(AND($A210&gt;=Premissas!$C$27,Y210&gt;=0),$A210,"")</f>
        <v/>
      </c>
      <c r="AE210" s="20" t="n">
        <f aca="false">IF(AND($A210&gt;=Premissas!$C$25,N(AB210)&gt;=0),$A210,"")</f>
        <v>52628</v>
      </c>
    </row>
    <row r="211" customFormat="false" ht="15" hidden="false" customHeight="false" outlineLevel="0" collapsed="false">
      <c r="A211" s="20" t="n">
        <f aca="false">DATE(YEAR(A210),MONTH(A210)+1,1)</f>
        <v>52657</v>
      </c>
      <c r="B211" s="5" t="str">
        <f aca="false">IF($A211&lt;Premissas!$C$25,"Obra",IF($A211=Premissas!$C$25,"Chaves",IF($A211&lt;Premissas!$C$27,"Mobiliando","Airbnb")))</f>
        <v>Airbnb</v>
      </c>
      <c r="C211" s="35" t="n">
        <f aca="false">(YEAR($A211)-YEAR(Premissas!$C$18))*12+MONTH($A211)-MONTH(Premissas!$C$18)</f>
        <v>210</v>
      </c>
      <c r="D211" s="16" t="n">
        <f aca="false">($A211=Premissas!$C$19)*Premissas!$C$8+(($A211=EDATE(Premissas!$C$19,1))+($A211=EDATE(Premissas!$C$19,2)))*Premissas!$C$9+AND($A211&gt;=Premissas!$C$20,$A211&lt;EDATE(Premissas!$C$20,Premissas!$C$21))*Premissas!$C$10+(($A211=Premissas!$C$22)+($A211=Premissas!$C$23)+($A211=Premissas!$C$24))*Premissas!$C$11+($A211=Premissas!$C$25)*Premissas!$C$12</f>
        <v>0</v>
      </c>
      <c r="E211" s="36" t="n">
        <f aca="false">(1+Premissas!$C$57)^C211</f>
        <v>2.55221962374417</v>
      </c>
      <c r="F211" s="16" t="n">
        <f aca="false">D211*E211</f>
        <v>0</v>
      </c>
      <c r="G211" s="16" t="n">
        <f aca="false">($A211=Premissas!$C$25)*Premissas!$C$34*Premissas!$C$14*(1+Premissas!$C$57)^C211</f>
        <v>0</v>
      </c>
      <c r="H211" s="16" t="n">
        <f aca="false">IF(AND($A211&gt;Premissas!$C$25,$A211&lt;Premissas!$C$27),Premissas!$C$35/MAX(1,Premissas!$C$26),0)</f>
        <v>0</v>
      </c>
      <c r="I211" s="35" t="n">
        <f aca="false">IF(AND($A211&gt;Premissas!$C$25,((YEAR($A211)-YEAR(Premissas!$C$25))*12+MONTH($A211)-MONTH(Premissas!$C$25))&lt;=Premissas!$C$32),((YEAR($A211)-YEAR(Premissas!$C$25))*12+MONTH($A211)-MONTH(Premissas!$C$25)),0)</f>
        <v>0</v>
      </c>
      <c r="J211" s="16" t="n">
        <f aca="false">IF(I211&gt;0,N210*(1+Premissas!$C$59),0)</f>
        <v>0</v>
      </c>
      <c r="K211" s="16" t="n">
        <f aca="false">J211*Premissas!$C$58</f>
        <v>0</v>
      </c>
      <c r="L211" s="16" t="n">
        <f aca="false">IF(I211&gt;0,J211/(Premissas!$C$32-I211+1),0)</f>
        <v>0</v>
      </c>
      <c r="M211" s="16" t="n">
        <f aca="false">K211+L211</f>
        <v>0</v>
      </c>
      <c r="N211" s="16" t="n">
        <f aca="false">IF($A211=Premissas!$C$25,Premissas!$C$13*E211,IF(I211&gt;0,J211-L211,0))</f>
        <v>0</v>
      </c>
      <c r="O211" s="37" t="n">
        <f aca="false">IF($A211&gt;=Premissas!$C$27,Premissas!$C$39*IF(((YEAR($A211)-YEAR(Premissas!$C$27))*12+MONTH($A211)-MONTH(Premissas!$C$27))&lt;Premissas!$C$41,Premissas!$C$42,1),0)</f>
        <v>0.62</v>
      </c>
      <c r="P211" s="16" t="n">
        <f aca="false">O211*Premissas!$C$38*Premissas!$C$40*(1+Premissas!$C$60)^((YEAR($A211)-YEAR(Premissas!$C$19))*12+MONTH($A211)-MONTH(Premissas!$C$19))</f>
        <v>8387.768551028</v>
      </c>
      <c r="Q211" s="16" t="n">
        <f aca="false">P211*Premissas!$C$43</f>
        <v>1342.04296816448</v>
      </c>
      <c r="R211" s="16" t="n">
        <f aca="false">P211*Premissas!$C$44</f>
        <v>1677.5537102056</v>
      </c>
      <c r="S211" s="16" t="n">
        <f aca="false">IF($A211&gt;=Premissas!$C$25,Premissas!$C$45*(1+Premissas!$C$60)^((YEAR($A211)-YEAR(Premissas!$C$19))*12+MONTH($A211)-MONTH(Premissas!$C$19)),0)</f>
        <v>1470.50640796424</v>
      </c>
      <c r="T211" s="16" t="n">
        <f aca="false">IF($A211&gt;=Premissas!$C$27,Premissas!$C$46*(1+Premissas!$C$60)^((YEAR($A211)-YEAR(Premissas!$C$19))*12+MONTH($A211)-MONTH(Premissas!$C$19)),0)</f>
        <v>588.202563185694</v>
      </c>
      <c r="U211" s="16" t="n">
        <f aca="false">IF($A211&gt;=Premissas!$C$27,Premissas!$C$47*(1+Premissas!$C$60)^((YEAR($A211)-YEAR(Premissas!$C$19))*12+MONTH($A211)-MONTH(Premissas!$C$19)),0)</f>
        <v>294.101281592847</v>
      </c>
      <c r="V211" s="16" t="n">
        <f aca="false">IF($A211&gt;=Premissas!$C$27,MAX(0,P211-Q211-R211-S211)*Premissas!$C$49,0)</f>
        <v>1071.85800279076</v>
      </c>
      <c r="W211" s="16" t="n">
        <f aca="false">P211-Q211-R211-S211-T211-U211-V211</f>
        <v>1943.50361712438</v>
      </c>
      <c r="X211" s="16" t="n">
        <f aca="false">W211-F211-G211-H211-M211</f>
        <v>1943.50361712438</v>
      </c>
      <c r="Y211" s="16" t="n">
        <f aca="false">Y210+X211</f>
        <v>-625943.123470164</v>
      </c>
      <c r="Z211" s="16" t="n">
        <f aca="false">Premissas!$C$14*(1+Premissas!$C$57)^((YEAR(Premissas!$C$19)-YEAR(Premissas!$C$18))*12+MONTH(Premissas!$C$19)-MONTH(Premissas!$C$18))*(1+Premissas!$C$61)^((YEAR($A211)-YEAR(Premissas!$C$19))*12+MONTH($A211)-MONTH(Premissas!$C$19))</f>
        <v>1105036.15536514</v>
      </c>
      <c r="AA211" s="16" t="n">
        <f aca="false">IF($A211&gt;=Premissas!$C$25,Z211*(1-Premissas!$C$53)-N211-Premissas!$C$54*MAX(0,Z211*(1-Premissas!$C$53)-(Premissas!$C$14*(1+Premissas!$C$57)^((YEAR(Premissas!$C$25)-YEAR(Premissas!$C$18))*12+MONTH(Premissas!$C$25)-MONTH(Premissas!$C$18))*(1+Premissas!$C$34))),"")</f>
        <v>964126.097648415</v>
      </c>
      <c r="AB211" s="16" t="n">
        <f aca="false">IF($A211&gt;=Premissas!$C$25,Y211+AA211,"")</f>
        <v>338182.974178251</v>
      </c>
      <c r="AC211" s="20" t="n">
        <f aca="false">IF(AND($A211&gt;=Premissas!$C$27,W211&gt;=M211),$A211,"")</f>
        <v>52657</v>
      </c>
      <c r="AD211" s="20" t="str">
        <f aca="false">IF(AND($A211&gt;=Premissas!$C$27,Y211&gt;=0),$A211,"")</f>
        <v/>
      </c>
      <c r="AE211" s="20" t="n">
        <f aca="false">IF(AND($A211&gt;=Premissas!$C$25,N(AB211)&gt;=0),$A211,"")</f>
        <v>52657</v>
      </c>
    </row>
    <row r="212" customFormat="false" ht="15" hidden="false" customHeight="false" outlineLevel="0" collapsed="false">
      <c r="A212" s="20" t="n">
        <f aca="false">DATE(YEAR(A211),MONTH(A211)+1,1)</f>
        <v>52688</v>
      </c>
      <c r="B212" s="5" t="str">
        <f aca="false">IF($A212&lt;Premissas!$C$25,"Obra",IF($A212=Premissas!$C$25,"Chaves",IF($A212&lt;Premissas!$C$27,"Mobiliando","Airbnb")))</f>
        <v>Airbnb</v>
      </c>
      <c r="C212" s="35" t="n">
        <f aca="false">(YEAR($A212)-YEAR(Premissas!$C$18))*12+MONTH($A212)-MONTH(Premissas!$C$18)</f>
        <v>211</v>
      </c>
      <c r="D212" s="16" t="n">
        <f aca="false">($A212=Premissas!$C$19)*Premissas!$C$8+(($A212=EDATE(Premissas!$C$19,1))+($A212=EDATE(Premissas!$C$19,2)))*Premissas!$C$9+AND($A212&gt;=Premissas!$C$20,$A212&lt;EDATE(Premissas!$C$20,Premissas!$C$21))*Premissas!$C$10+(($A212=Premissas!$C$22)+($A212=Premissas!$C$23)+($A212=Premissas!$C$24))*Premissas!$C$11+($A212=Premissas!$C$25)*Premissas!$C$12</f>
        <v>0</v>
      </c>
      <c r="E212" s="36" t="n">
        <f aca="false">(1+Premissas!$C$57)^C212</f>
        <v>2.56363238147173</v>
      </c>
      <c r="F212" s="16" t="n">
        <f aca="false">D212*E212</f>
        <v>0</v>
      </c>
      <c r="G212" s="16" t="n">
        <f aca="false">($A212=Premissas!$C$25)*Premissas!$C$34*Premissas!$C$14*(1+Premissas!$C$57)^C212</f>
        <v>0</v>
      </c>
      <c r="H212" s="16" t="n">
        <f aca="false">IF(AND($A212&gt;Premissas!$C$25,$A212&lt;Premissas!$C$27),Premissas!$C$35/MAX(1,Premissas!$C$26),0)</f>
        <v>0</v>
      </c>
      <c r="I212" s="35" t="n">
        <f aca="false">IF(AND($A212&gt;Premissas!$C$25,((YEAR($A212)-YEAR(Premissas!$C$25))*12+MONTH($A212)-MONTH(Premissas!$C$25))&lt;=Premissas!$C$32),((YEAR($A212)-YEAR(Premissas!$C$25))*12+MONTH($A212)-MONTH(Premissas!$C$25)),0)</f>
        <v>0</v>
      </c>
      <c r="J212" s="16" t="n">
        <f aca="false">IF(I212&gt;0,N211*(1+Premissas!$C$59),0)</f>
        <v>0</v>
      </c>
      <c r="K212" s="16" t="n">
        <f aca="false">J212*Premissas!$C$58</f>
        <v>0</v>
      </c>
      <c r="L212" s="16" t="n">
        <f aca="false">IF(I212&gt;0,J212/(Premissas!$C$32-I212+1),0)</f>
        <v>0</v>
      </c>
      <c r="M212" s="16" t="n">
        <f aca="false">K212+L212</f>
        <v>0</v>
      </c>
      <c r="N212" s="16" t="n">
        <f aca="false">IF($A212=Premissas!$C$25,Premissas!$C$13*E212,IF(I212&gt;0,J212-L212,0))</f>
        <v>0</v>
      </c>
      <c r="O212" s="37" t="n">
        <f aca="false">IF($A212&gt;=Premissas!$C$27,Premissas!$C$39*IF(((YEAR($A212)-YEAR(Premissas!$C$27))*12+MONTH($A212)-MONTH(Premissas!$C$27))&lt;Premissas!$C$41,Premissas!$C$42,1),0)</f>
        <v>0.62</v>
      </c>
      <c r="P212" s="16" t="n">
        <f aca="false">O212*Premissas!$C$38*Premissas!$C$40*(1+Premissas!$C$60)^((YEAR($A212)-YEAR(Premissas!$C$19))*12+MONTH($A212)-MONTH(Premissas!$C$19))</f>
        <v>8415.22792261737</v>
      </c>
      <c r="Q212" s="16" t="n">
        <f aca="false">P212*Premissas!$C$43</f>
        <v>1346.43646761878</v>
      </c>
      <c r="R212" s="16" t="n">
        <f aca="false">P212*Premissas!$C$44</f>
        <v>1683.04558452347</v>
      </c>
      <c r="S212" s="16" t="n">
        <f aca="false">IF($A212&gt;=Premissas!$C$25,Premissas!$C$45*(1+Premissas!$C$60)^((YEAR($A212)-YEAR(Premissas!$C$19))*12+MONTH($A212)-MONTH(Premissas!$C$19)),0)</f>
        <v>1475.32046329197</v>
      </c>
      <c r="T212" s="16" t="n">
        <f aca="false">IF($A212&gt;=Premissas!$C$27,Premissas!$C$46*(1+Premissas!$C$60)^((YEAR($A212)-YEAR(Premissas!$C$19))*12+MONTH($A212)-MONTH(Premissas!$C$19)),0)</f>
        <v>590.128185316786</v>
      </c>
      <c r="U212" s="16" t="n">
        <f aca="false">IF($A212&gt;=Premissas!$C$27,Premissas!$C$47*(1+Premissas!$C$60)^((YEAR($A212)-YEAR(Premissas!$C$19))*12+MONTH($A212)-MONTH(Premissas!$C$19)),0)</f>
        <v>295.064092658393</v>
      </c>
      <c r="V212" s="16" t="n">
        <f aca="false">IF($A212&gt;=Premissas!$C$27,MAX(0,P212-Q212-R212-S212)*Premissas!$C$49,0)</f>
        <v>1075.36698697537</v>
      </c>
      <c r="W212" s="16" t="n">
        <f aca="false">P212-Q212-R212-S212-T212-U212-V212</f>
        <v>1949.86614223261</v>
      </c>
      <c r="X212" s="16" t="n">
        <f aca="false">W212-F212-G212-H212-M212</f>
        <v>1949.86614223261</v>
      </c>
      <c r="Y212" s="16" t="n">
        <f aca="false">Y211+X212</f>
        <v>-623993.257327932</v>
      </c>
      <c r="Z212" s="16" t="n">
        <f aca="false">Premissas!$C$14*(1+Premissas!$C$57)^((YEAR(Premissas!$C$19)-YEAR(Premissas!$C$18))*12+MONTH(Premissas!$C$19)-MONTH(Premissas!$C$18))*(1+Premissas!$C$61)^((YEAR($A212)-YEAR(Premissas!$C$19))*12+MONTH($A212)-MONTH(Premissas!$C$19))</f>
        <v>1109538.20944751</v>
      </c>
      <c r="AA212" s="16" t="n">
        <f aca="false">IF($A212&gt;=Premissas!$C$25,Z212*(1-Premissas!$C$53)-N212-Premissas!$C$54*MAX(0,Z212*(1-Premissas!$C$53)-(Premissas!$C$14*(1+Premissas!$C$57)^((YEAR(Premissas!$C$25)-YEAR(Premissas!$C$18))*12+MONTH(Premissas!$C$25)-MONTH(Premissas!$C$18))*(1+Premissas!$C$34))),"")</f>
        <v>967723.238860224</v>
      </c>
      <c r="AB212" s="16" t="n">
        <f aca="false">IF($A212&gt;=Premissas!$C$25,Y212+AA212,"")</f>
        <v>343729.981532292</v>
      </c>
      <c r="AC212" s="20" t="n">
        <f aca="false">IF(AND($A212&gt;=Premissas!$C$27,W212&gt;=M212),$A212,"")</f>
        <v>52688</v>
      </c>
      <c r="AD212" s="20" t="str">
        <f aca="false">IF(AND($A212&gt;=Premissas!$C$27,Y212&gt;=0),$A212,"")</f>
        <v/>
      </c>
      <c r="AE212" s="20" t="n">
        <f aca="false">IF(AND($A212&gt;=Premissas!$C$25,N(AB212)&gt;=0),$A212,"")</f>
        <v>52688</v>
      </c>
    </row>
    <row r="213" customFormat="false" ht="15" hidden="false" customHeight="false" outlineLevel="0" collapsed="false">
      <c r="A213" s="20" t="n">
        <f aca="false">DATE(YEAR(A212),MONTH(A212)+1,1)</f>
        <v>52718</v>
      </c>
      <c r="B213" s="5" t="str">
        <f aca="false">IF($A213&lt;Premissas!$C$25,"Obra",IF($A213=Premissas!$C$25,"Chaves",IF($A213&lt;Premissas!$C$27,"Mobiliando","Airbnb")))</f>
        <v>Airbnb</v>
      </c>
      <c r="C213" s="35" t="n">
        <f aca="false">(YEAR($A213)-YEAR(Premissas!$C$18))*12+MONTH($A213)-MONTH(Premissas!$C$18)</f>
        <v>212</v>
      </c>
      <c r="D213" s="16" t="n">
        <f aca="false">($A213=Premissas!$C$19)*Premissas!$C$8+(($A213=EDATE(Premissas!$C$19,1))+($A213=EDATE(Premissas!$C$19,2)))*Premissas!$C$9+AND($A213&gt;=Premissas!$C$20,$A213&lt;EDATE(Premissas!$C$20,Premissas!$C$21))*Premissas!$C$10+(($A213=Premissas!$C$22)+($A213=Premissas!$C$23)+($A213=Premissas!$C$24))*Premissas!$C$11+($A213=Premissas!$C$25)*Premissas!$C$12</f>
        <v>0</v>
      </c>
      <c r="E213" s="36" t="n">
        <f aca="false">(1+Premissas!$C$57)^C213</f>
        <v>2.57509617361565</v>
      </c>
      <c r="F213" s="16" t="n">
        <f aca="false">D213*E213</f>
        <v>0</v>
      </c>
      <c r="G213" s="16" t="n">
        <f aca="false">($A213=Premissas!$C$25)*Premissas!$C$34*Premissas!$C$14*(1+Premissas!$C$57)^C213</f>
        <v>0</v>
      </c>
      <c r="H213" s="16" t="n">
        <f aca="false">IF(AND($A213&gt;Premissas!$C$25,$A213&lt;Premissas!$C$27),Premissas!$C$35/MAX(1,Premissas!$C$26),0)</f>
        <v>0</v>
      </c>
      <c r="I213" s="35" t="n">
        <f aca="false">IF(AND($A213&gt;Premissas!$C$25,((YEAR($A213)-YEAR(Premissas!$C$25))*12+MONTH($A213)-MONTH(Premissas!$C$25))&lt;=Premissas!$C$32),((YEAR($A213)-YEAR(Premissas!$C$25))*12+MONTH($A213)-MONTH(Premissas!$C$25)),0)</f>
        <v>0</v>
      </c>
      <c r="J213" s="16" t="n">
        <f aca="false">IF(I213&gt;0,N212*(1+Premissas!$C$59),0)</f>
        <v>0</v>
      </c>
      <c r="K213" s="16" t="n">
        <f aca="false">J213*Premissas!$C$58</f>
        <v>0</v>
      </c>
      <c r="L213" s="16" t="n">
        <f aca="false">IF(I213&gt;0,J213/(Premissas!$C$32-I213+1),0)</f>
        <v>0</v>
      </c>
      <c r="M213" s="16" t="n">
        <f aca="false">K213+L213</f>
        <v>0</v>
      </c>
      <c r="N213" s="16" t="n">
        <f aca="false">IF($A213=Premissas!$C$25,Premissas!$C$13*E213,IF(I213&gt;0,J213-L213,0))</f>
        <v>0</v>
      </c>
      <c r="O213" s="37" t="n">
        <f aca="false">IF($A213&gt;=Premissas!$C$27,Premissas!$C$39*IF(((YEAR($A213)-YEAR(Premissas!$C$27))*12+MONTH($A213)-MONTH(Premissas!$C$27))&lt;Premissas!$C$41,Premissas!$C$42,1),0)</f>
        <v>0.62</v>
      </c>
      <c r="P213" s="16" t="n">
        <f aca="false">O213*Premissas!$C$38*Premissas!$C$40*(1+Premissas!$C$60)^((YEAR($A213)-YEAR(Premissas!$C$19))*12+MONTH($A213)-MONTH(Premissas!$C$19))</f>
        <v>8442.77718904392</v>
      </c>
      <c r="Q213" s="16" t="n">
        <f aca="false">P213*Premissas!$C$43</f>
        <v>1350.84435024703</v>
      </c>
      <c r="R213" s="16" t="n">
        <f aca="false">P213*Premissas!$C$44</f>
        <v>1688.55543780878</v>
      </c>
      <c r="S213" s="16" t="n">
        <f aca="false">IF($A213&gt;=Premissas!$C$25,Premissas!$C$45*(1+Premissas!$C$60)^((YEAR($A213)-YEAR(Premissas!$C$19))*12+MONTH($A213)-MONTH(Premissas!$C$19)),0)</f>
        <v>1480.15027858414</v>
      </c>
      <c r="T213" s="16" t="n">
        <f aca="false">IF($A213&gt;=Premissas!$C$27,Premissas!$C$46*(1+Premissas!$C$60)^((YEAR($A213)-YEAR(Premissas!$C$19))*12+MONTH($A213)-MONTH(Premissas!$C$19)),0)</f>
        <v>592.060111433655</v>
      </c>
      <c r="U213" s="16" t="n">
        <f aca="false">IF($A213&gt;=Premissas!$C$27,Premissas!$C$47*(1+Premissas!$C$60)^((YEAR($A213)-YEAR(Premissas!$C$19))*12+MONTH($A213)-MONTH(Premissas!$C$19)),0)</f>
        <v>296.030055716827</v>
      </c>
      <c r="V213" s="16" t="n">
        <f aca="false">IF($A213&gt;=Premissas!$C$27,MAX(0,P213-Q213-R213-S213)*Premissas!$C$49,0)</f>
        <v>1078.88745866109</v>
      </c>
      <c r="W213" s="16" t="n">
        <f aca="false">P213-Q213-R213-S213-T213-U213-V213</f>
        <v>1956.2494965924</v>
      </c>
      <c r="X213" s="16" t="n">
        <f aca="false">W213-F213-G213-H213-M213</f>
        <v>1956.2494965924</v>
      </c>
      <c r="Y213" s="16" t="n">
        <f aca="false">Y212+X213</f>
        <v>-622037.007831339</v>
      </c>
      <c r="Z213" s="16" t="n">
        <f aca="false">Premissas!$C$14*(1+Premissas!$C$57)^((YEAR(Premissas!$C$19)-YEAR(Premissas!$C$18))*12+MONTH(Premissas!$C$19)-MONTH(Premissas!$C$18))*(1+Premissas!$C$61)^((YEAR($A213)-YEAR(Premissas!$C$19))*12+MONTH($A213)-MONTH(Premissas!$C$19))</f>
        <v>1114058.60545548</v>
      </c>
      <c r="AA213" s="16" t="n">
        <f aca="false">IF($A213&gt;=Premissas!$C$25,Z213*(1-Premissas!$C$53)-N213-Premissas!$C$54*MAX(0,Z213*(1-Premissas!$C$53)-(Premissas!$C$14*(1+Premissas!$C$57)^((YEAR(Premissas!$C$25)-YEAR(Premissas!$C$18))*12+MONTH(Premissas!$C$25)-MONTH(Premissas!$C$18))*(1+Premissas!$C$34))),"")</f>
        <v>971335.035270597</v>
      </c>
      <c r="AB213" s="16" t="n">
        <f aca="false">IF($A213&gt;=Premissas!$C$25,Y213+AA213,"")</f>
        <v>349298.027439258</v>
      </c>
      <c r="AC213" s="20" t="n">
        <f aca="false">IF(AND($A213&gt;=Premissas!$C$27,W213&gt;=M213),$A213,"")</f>
        <v>52718</v>
      </c>
      <c r="AD213" s="20" t="str">
        <f aca="false">IF(AND($A213&gt;=Premissas!$C$27,Y213&gt;=0),$A213,"")</f>
        <v/>
      </c>
      <c r="AE213" s="20" t="n">
        <f aca="false">IF(AND($A213&gt;=Premissas!$C$25,N(AB213)&gt;=0),$A213,"")</f>
        <v>52718</v>
      </c>
    </row>
    <row r="214" customFormat="false" ht="15" hidden="false" customHeight="false" outlineLevel="0" collapsed="false">
      <c r="A214" s="20" t="n">
        <f aca="false">DATE(YEAR(A213),MONTH(A213)+1,1)</f>
        <v>52749</v>
      </c>
      <c r="B214" s="5" t="str">
        <f aca="false">IF($A214&lt;Premissas!$C$25,"Obra",IF($A214=Premissas!$C$25,"Chaves",IF($A214&lt;Premissas!$C$27,"Mobiliando","Airbnb")))</f>
        <v>Airbnb</v>
      </c>
      <c r="C214" s="35" t="n">
        <f aca="false">(YEAR($A214)-YEAR(Premissas!$C$18))*12+MONTH($A214)-MONTH(Premissas!$C$18)</f>
        <v>213</v>
      </c>
      <c r="D214" s="16" t="n">
        <f aca="false">($A214=Premissas!$C$19)*Premissas!$C$8+(($A214=EDATE(Premissas!$C$19,1))+($A214=EDATE(Premissas!$C$19,2)))*Premissas!$C$9+AND($A214&gt;=Premissas!$C$20,$A214&lt;EDATE(Premissas!$C$20,Premissas!$C$21))*Premissas!$C$10+(($A214=Premissas!$C$22)+($A214=Premissas!$C$23)+($A214=Premissas!$C$24))*Premissas!$C$11+($A214=Premissas!$C$25)*Premissas!$C$12</f>
        <v>0</v>
      </c>
      <c r="E214" s="36" t="n">
        <f aca="false">(1+Premissas!$C$57)^C214</f>
        <v>2.58661122838649</v>
      </c>
      <c r="F214" s="16" t="n">
        <f aca="false">D214*E214</f>
        <v>0</v>
      </c>
      <c r="G214" s="16" t="n">
        <f aca="false">($A214=Premissas!$C$25)*Premissas!$C$34*Premissas!$C$14*(1+Premissas!$C$57)^C214</f>
        <v>0</v>
      </c>
      <c r="H214" s="16" t="n">
        <f aca="false">IF(AND($A214&gt;Premissas!$C$25,$A214&lt;Premissas!$C$27),Premissas!$C$35/MAX(1,Premissas!$C$26),0)</f>
        <v>0</v>
      </c>
      <c r="I214" s="35" t="n">
        <f aca="false">IF(AND($A214&gt;Premissas!$C$25,((YEAR($A214)-YEAR(Premissas!$C$25))*12+MONTH($A214)-MONTH(Premissas!$C$25))&lt;=Premissas!$C$32),((YEAR($A214)-YEAR(Premissas!$C$25))*12+MONTH($A214)-MONTH(Premissas!$C$25)),0)</f>
        <v>0</v>
      </c>
      <c r="J214" s="16" t="n">
        <f aca="false">IF(I214&gt;0,N213*(1+Premissas!$C$59),0)</f>
        <v>0</v>
      </c>
      <c r="K214" s="16" t="n">
        <f aca="false">J214*Premissas!$C$58</f>
        <v>0</v>
      </c>
      <c r="L214" s="16" t="n">
        <f aca="false">IF(I214&gt;0,J214/(Premissas!$C$32-I214+1),0)</f>
        <v>0</v>
      </c>
      <c r="M214" s="16" t="n">
        <f aca="false">K214+L214</f>
        <v>0</v>
      </c>
      <c r="N214" s="16" t="n">
        <f aca="false">IF($A214=Premissas!$C$25,Premissas!$C$13*E214,IF(I214&gt;0,J214-L214,0))</f>
        <v>0</v>
      </c>
      <c r="O214" s="37" t="n">
        <f aca="false">IF($A214&gt;=Premissas!$C$27,Premissas!$C$39*IF(((YEAR($A214)-YEAR(Premissas!$C$27))*12+MONTH($A214)-MONTH(Premissas!$C$27))&lt;Premissas!$C$41,Premissas!$C$42,1),0)</f>
        <v>0.62</v>
      </c>
      <c r="P214" s="16" t="n">
        <f aca="false">O214*Premissas!$C$38*Premissas!$C$40*(1+Premissas!$C$60)^((YEAR($A214)-YEAR(Premissas!$C$19))*12+MONTH($A214)-MONTH(Premissas!$C$19))</f>
        <v>8470.41664459993</v>
      </c>
      <c r="Q214" s="16" t="n">
        <f aca="false">P214*Premissas!$C$43</f>
        <v>1355.26666313599</v>
      </c>
      <c r="R214" s="16" t="n">
        <f aca="false">P214*Premissas!$C$44</f>
        <v>1694.08332891999</v>
      </c>
      <c r="S214" s="16" t="n">
        <f aca="false">IF($A214&gt;=Premissas!$C$25,Premissas!$C$45*(1+Premissas!$C$60)^((YEAR($A214)-YEAR(Premissas!$C$19))*12+MONTH($A214)-MONTH(Premissas!$C$19)),0)</f>
        <v>1484.99590543477</v>
      </c>
      <c r="T214" s="16" t="n">
        <f aca="false">IF($A214&gt;=Premissas!$C$27,Premissas!$C$46*(1+Premissas!$C$60)^((YEAR($A214)-YEAR(Premissas!$C$19))*12+MONTH($A214)-MONTH(Premissas!$C$19)),0)</f>
        <v>593.998362173908</v>
      </c>
      <c r="U214" s="16" t="n">
        <f aca="false">IF($A214&gt;=Premissas!$C$27,Premissas!$C$47*(1+Premissas!$C$60)^((YEAR($A214)-YEAR(Premissas!$C$19))*12+MONTH($A214)-MONTH(Premissas!$C$19)),0)</f>
        <v>296.999181086954</v>
      </c>
      <c r="V214" s="16" t="n">
        <f aca="false">IF($A214&gt;=Premissas!$C$27,MAX(0,P214-Q214-R214-S214)*Premissas!$C$49,0)</f>
        <v>1082.41945545503</v>
      </c>
      <c r="W214" s="16" t="n">
        <f aca="false">P214-Q214-R214-S214-T214-U214-V214</f>
        <v>1962.6537483933</v>
      </c>
      <c r="X214" s="16" t="n">
        <f aca="false">W214-F214-G214-H214-M214</f>
        <v>1962.6537483933</v>
      </c>
      <c r="Y214" s="16" t="n">
        <f aca="false">Y213+X214</f>
        <v>-620074.354082946</v>
      </c>
      <c r="Z214" s="16" t="n">
        <f aca="false">Premissas!$C$14*(1+Premissas!$C$57)^((YEAR(Premissas!$C$19)-YEAR(Premissas!$C$18))*12+MONTH(Premissas!$C$19)-MONTH(Premissas!$C$18))*(1+Premissas!$C$61)^((YEAR($A214)-YEAR(Premissas!$C$19))*12+MONTH($A214)-MONTH(Premissas!$C$19))</f>
        <v>1118597.41811635</v>
      </c>
      <c r="AA214" s="16" t="n">
        <f aca="false">IF($A214&gt;=Premissas!$C$25,Z214*(1-Premissas!$C$53)-N214-Premissas!$C$54*MAX(0,Z214*(1-Premissas!$C$53)-(Premissas!$C$14*(1+Premissas!$C$57)^((YEAR(Premissas!$C$25)-YEAR(Premissas!$C$18))*12+MONTH(Premissas!$C$25)-MONTH(Premissas!$C$18))*(1+Premissas!$C$34))),"")</f>
        <v>974961.546586628</v>
      </c>
      <c r="AB214" s="16" t="n">
        <f aca="false">IF($A214&gt;=Premissas!$C$25,Y214+AA214,"")</f>
        <v>354887.192503682</v>
      </c>
      <c r="AC214" s="20" t="n">
        <f aca="false">IF(AND($A214&gt;=Premissas!$C$27,W214&gt;=M214),$A214,"")</f>
        <v>52749</v>
      </c>
      <c r="AD214" s="20" t="str">
        <f aca="false">IF(AND($A214&gt;=Premissas!$C$27,Y214&gt;=0),$A214,"")</f>
        <v/>
      </c>
      <c r="AE214" s="20" t="n">
        <f aca="false">IF(AND($A214&gt;=Premissas!$C$25,N(AB214)&gt;=0),$A214,"")</f>
        <v>52749</v>
      </c>
    </row>
    <row r="215" customFormat="false" ht="15" hidden="false" customHeight="false" outlineLevel="0" collapsed="false">
      <c r="A215" s="20" t="n">
        <f aca="false">DATE(YEAR(A214),MONTH(A214)+1,1)</f>
        <v>52779</v>
      </c>
      <c r="B215" s="5" t="str">
        <f aca="false">IF($A215&lt;Premissas!$C$25,"Obra",IF($A215=Premissas!$C$25,"Chaves",IF($A215&lt;Premissas!$C$27,"Mobiliando","Airbnb")))</f>
        <v>Airbnb</v>
      </c>
      <c r="C215" s="35" t="n">
        <f aca="false">(YEAR($A215)-YEAR(Premissas!$C$18))*12+MONTH($A215)-MONTH(Premissas!$C$18)</f>
        <v>214</v>
      </c>
      <c r="D215" s="16" t="n">
        <f aca="false">($A215=Premissas!$C$19)*Premissas!$C$8+(($A215=EDATE(Premissas!$C$19,1))+($A215=EDATE(Premissas!$C$19,2)))*Premissas!$C$9+AND($A215&gt;=Premissas!$C$20,$A215&lt;EDATE(Premissas!$C$20,Premissas!$C$21))*Premissas!$C$10+(($A215=Premissas!$C$22)+($A215=Premissas!$C$23)+($A215=Premissas!$C$24))*Premissas!$C$11+($A215=Premissas!$C$25)*Premissas!$C$12</f>
        <v>0</v>
      </c>
      <c r="E215" s="36" t="n">
        <f aca="false">(1+Premissas!$C$57)^C215</f>
        <v>2.59817777501528</v>
      </c>
      <c r="F215" s="16" t="n">
        <f aca="false">D215*E215</f>
        <v>0</v>
      </c>
      <c r="G215" s="16" t="n">
        <f aca="false">($A215=Premissas!$C$25)*Premissas!$C$34*Premissas!$C$14*(1+Premissas!$C$57)^C215</f>
        <v>0</v>
      </c>
      <c r="H215" s="16" t="n">
        <f aca="false">IF(AND($A215&gt;Premissas!$C$25,$A215&lt;Premissas!$C$27),Premissas!$C$35/MAX(1,Premissas!$C$26),0)</f>
        <v>0</v>
      </c>
      <c r="I215" s="35" t="n">
        <f aca="false">IF(AND($A215&gt;Premissas!$C$25,((YEAR($A215)-YEAR(Premissas!$C$25))*12+MONTH($A215)-MONTH(Premissas!$C$25))&lt;=Premissas!$C$32),((YEAR($A215)-YEAR(Premissas!$C$25))*12+MONTH($A215)-MONTH(Premissas!$C$25)),0)</f>
        <v>0</v>
      </c>
      <c r="J215" s="16" t="n">
        <f aca="false">IF(I215&gt;0,N214*(1+Premissas!$C$59),0)</f>
        <v>0</v>
      </c>
      <c r="K215" s="16" t="n">
        <f aca="false">J215*Premissas!$C$58</f>
        <v>0</v>
      </c>
      <c r="L215" s="16" t="n">
        <f aca="false">IF(I215&gt;0,J215/(Premissas!$C$32-I215+1),0)</f>
        <v>0</v>
      </c>
      <c r="M215" s="16" t="n">
        <f aca="false">K215+L215</f>
        <v>0</v>
      </c>
      <c r="N215" s="16" t="n">
        <f aca="false">IF($A215=Premissas!$C$25,Premissas!$C$13*E215,IF(I215&gt;0,J215-L215,0))</f>
        <v>0</v>
      </c>
      <c r="O215" s="37" t="n">
        <f aca="false">IF($A215&gt;=Premissas!$C$27,Premissas!$C$39*IF(((YEAR($A215)-YEAR(Premissas!$C$27))*12+MONTH($A215)-MONTH(Premissas!$C$27))&lt;Premissas!$C$41,Premissas!$C$42,1),0)</f>
        <v>0.62</v>
      </c>
      <c r="P215" s="16" t="n">
        <f aca="false">O215*Premissas!$C$38*Premissas!$C$40*(1+Premissas!$C$60)^((YEAR($A215)-YEAR(Premissas!$C$19))*12+MONTH($A215)-MONTH(Premissas!$C$19))</f>
        <v>8498.14658454116</v>
      </c>
      <c r="Q215" s="16" t="n">
        <f aca="false">P215*Premissas!$C$43</f>
        <v>1359.70345352659</v>
      </c>
      <c r="R215" s="16" t="n">
        <f aca="false">P215*Premissas!$C$44</f>
        <v>1699.62931690823</v>
      </c>
      <c r="S215" s="16" t="n">
        <f aca="false">IF($A215&gt;=Premissas!$C$25,Premissas!$C$45*(1+Premissas!$C$60)^((YEAR($A215)-YEAR(Premissas!$C$19))*12+MONTH($A215)-MONTH(Premissas!$C$19)),0)</f>
        <v>1489.85739560679</v>
      </c>
      <c r="T215" s="16" t="n">
        <f aca="false">IF($A215&gt;=Premissas!$C$27,Premissas!$C$46*(1+Premissas!$C$60)^((YEAR($A215)-YEAR(Premissas!$C$19))*12+MONTH($A215)-MONTH(Premissas!$C$19)),0)</f>
        <v>595.942958242718</v>
      </c>
      <c r="U215" s="16" t="n">
        <f aca="false">IF($A215&gt;=Premissas!$C$27,Premissas!$C$47*(1+Premissas!$C$60)^((YEAR($A215)-YEAR(Premissas!$C$19))*12+MONTH($A215)-MONTH(Premissas!$C$19)),0)</f>
        <v>297.971479121359</v>
      </c>
      <c r="V215" s="16" t="n">
        <f aca="false">IF($A215&gt;=Premissas!$C$27,MAX(0,P215-Q215-R215-S215)*Premissas!$C$49,0)</f>
        <v>1085.96301508738</v>
      </c>
      <c r="W215" s="16" t="n">
        <f aca="false">P215-Q215-R215-S215-T215-U215-V215</f>
        <v>1969.07896604809</v>
      </c>
      <c r="X215" s="16" t="n">
        <f aca="false">W215-F215-G215-H215-M215</f>
        <v>1969.07896604809</v>
      </c>
      <c r="Y215" s="16" t="n">
        <f aca="false">Y214+X215</f>
        <v>-618105.275116898</v>
      </c>
      <c r="Z215" s="16" t="n">
        <f aca="false">Premissas!$C$14*(1+Premissas!$C$57)^((YEAR(Premissas!$C$19)-YEAR(Premissas!$C$18))*12+MONTH(Premissas!$C$19)-MONTH(Premissas!$C$18))*(1+Premissas!$C$61)^((YEAR($A215)-YEAR(Premissas!$C$19))*12+MONTH($A215)-MONTH(Premissas!$C$19))</f>
        <v>1123154.72246182</v>
      </c>
      <c r="AA215" s="16" t="n">
        <f aca="false">IF($A215&gt;=Premissas!$C$25,Z215*(1-Premissas!$C$53)-N215-Premissas!$C$54*MAX(0,Z215*(1-Premissas!$C$53)-(Premissas!$C$14*(1+Premissas!$C$57)^((YEAR(Premissas!$C$25)-YEAR(Premissas!$C$18))*12+MONTH(Premissas!$C$25)-MONTH(Premissas!$C$18))*(1+Premissas!$C$34))),"")</f>
        <v>978602.832758663</v>
      </c>
      <c r="AB215" s="16" t="n">
        <f aca="false">IF($A215&gt;=Premissas!$C$25,Y215+AA215,"")</f>
        <v>360497.557641765</v>
      </c>
      <c r="AC215" s="20" t="n">
        <f aca="false">IF(AND($A215&gt;=Premissas!$C$27,W215&gt;=M215),$A215,"")</f>
        <v>52779</v>
      </c>
      <c r="AD215" s="20" t="str">
        <f aca="false">IF(AND($A215&gt;=Premissas!$C$27,Y215&gt;=0),$A215,"")</f>
        <v/>
      </c>
      <c r="AE215" s="20" t="n">
        <f aca="false">IF(AND($A215&gt;=Premissas!$C$25,N(AB215)&gt;=0),$A215,"")</f>
        <v>52779</v>
      </c>
    </row>
    <row r="216" customFormat="false" ht="15" hidden="false" customHeight="false" outlineLevel="0" collapsed="false">
      <c r="A216" s="20" t="n">
        <f aca="false">DATE(YEAR(A215),MONTH(A215)+1,1)</f>
        <v>52810</v>
      </c>
      <c r="B216" s="5" t="str">
        <f aca="false">IF($A216&lt;Premissas!$C$25,"Obra",IF($A216=Premissas!$C$25,"Chaves",IF($A216&lt;Premissas!$C$27,"Mobiliando","Airbnb")))</f>
        <v>Airbnb</v>
      </c>
      <c r="C216" s="35" t="n">
        <f aca="false">(YEAR($A216)-YEAR(Premissas!$C$18))*12+MONTH($A216)-MONTH(Premissas!$C$18)</f>
        <v>215</v>
      </c>
      <c r="D216" s="16" t="n">
        <f aca="false">($A216=Premissas!$C$19)*Premissas!$C$8+(($A216=EDATE(Premissas!$C$19,1))+($A216=EDATE(Premissas!$C$19,2)))*Premissas!$C$9+AND($A216&gt;=Premissas!$C$20,$A216&lt;EDATE(Premissas!$C$20,Premissas!$C$21))*Premissas!$C$10+(($A216=Premissas!$C$22)+($A216=Premissas!$C$23)+($A216=Premissas!$C$24))*Premissas!$C$11+($A216=Premissas!$C$25)*Premissas!$C$12</f>
        <v>0</v>
      </c>
      <c r="E216" s="36" t="n">
        <f aca="false">(1+Premissas!$C$57)^C216</f>
        <v>2.6097960437581</v>
      </c>
      <c r="F216" s="16" t="n">
        <f aca="false">D216*E216</f>
        <v>0</v>
      </c>
      <c r="G216" s="16" t="n">
        <f aca="false">($A216=Premissas!$C$25)*Premissas!$C$34*Premissas!$C$14*(1+Premissas!$C$57)^C216</f>
        <v>0</v>
      </c>
      <c r="H216" s="16" t="n">
        <f aca="false">IF(AND($A216&gt;Premissas!$C$25,$A216&lt;Premissas!$C$27),Premissas!$C$35/MAX(1,Premissas!$C$26),0)</f>
        <v>0</v>
      </c>
      <c r="I216" s="35" t="n">
        <f aca="false">IF(AND($A216&gt;Premissas!$C$25,((YEAR($A216)-YEAR(Premissas!$C$25))*12+MONTH($A216)-MONTH(Premissas!$C$25))&lt;=Premissas!$C$32),((YEAR($A216)-YEAR(Premissas!$C$25))*12+MONTH($A216)-MONTH(Premissas!$C$25)),0)</f>
        <v>0</v>
      </c>
      <c r="J216" s="16" t="n">
        <f aca="false">IF(I216&gt;0,N215*(1+Premissas!$C$59),0)</f>
        <v>0</v>
      </c>
      <c r="K216" s="16" t="n">
        <f aca="false">J216*Premissas!$C$58</f>
        <v>0</v>
      </c>
      <c r="L216" s="16" t="n">
        <f aca="false">IF(I216&gt;0,J216/(Premissas!$C$32-I216+1),0)</f>
        <v>0</v>
      </c>
      <c r="M216" s="16" t="n">
        <f aca="false">K216+L216</f>
        <v>0</v>
      </c>
      <c r="N216" s="16" t="n">
        <f aca="false">IF($A216=Premissas!$C$25,Premissas!$C$13*E216,IF(I216&gt;0,J216-L216,0))</f>
        <v>0</v>
      </c>
      <c r="O216" s="37" t="n">
        <f aca="false">IF($A216&gt;=Premissas!$C$27,Premissas!$C$39*IF(((YEAR($A216)-YEAR(Premissas!$C$27))*12+MONTH($A216)-MONTH(Premissas!$C$27))&lt;Premissas!$C$41,Premissas!$C$42,1),0)</f>
        <v>0.62</v>
      </c>
      <c r="P216" s="16" t="n">
        <f aca="false">O216*Premissas!$C$38*Premissas!$C$40*(1+Premissas!$C$60)^((YEAR($A216)-YEAR(Premissas!$C$19))*12+MONTH($A216)-MONTH(Premissas!$C$19))</f>
        <v>8525.96730508993</v>
      </c>
      <c r="Q216" s="16" t="n">
        <f aca="false">P216*Premissas!$C$43</f>
        <v>1364.15476881439</v>
      </c>
      <c r="R216" s="16" t="n">
        <f aca="false">P216*Premissas!$C$44</f>
        <v>1705.19346101799</v>
      </c>
      <c r="S216" s="16" t="n">
        <f aca="false">IF($A216&gt;=Premissas!$C$25,Premissas!$C$45*(1+Premissas!$C$60)^((YEAR($A216)-YEAR(Premissas!$C$19))*12+MONTH($A216)-MONTH(Premissas!$C$19)),0)</f>
        <v>1494.7348010326</v>
      </c>
      <c r="T216" s="16" t="n">
        <f aca="false">IF($A216&gt;=Premissas!$C$27,Premissas!$C$46*(1+Premissas!$C$60)^((YEAR($A216)-YEAR(Premissas!$C$19))*12+MONTH($A216)-MONTH(Premissas!$C$19)),0)</f>
        <v>597.893920413039</v>
      </c>
      <c r="U216" s="16" t="n">
        <f aca="false">IF($A216&gt;=Premissas!$C$27,Premissas!$C$47*(1+Premissas!$C$60)^((YEAR($A216)-YEAR(Premissas!$C$19))*12+MONTH($A216)-MONTH(Premissas!$C$19)),0)</f>
        <v>298.946960206519</v>
      </c>
      <c r="V216" s="16" t="n">
        <f aca="false">IF($A216&gt;=Premissas!$C$27,MAX(0,P216-Q216-R216-S216)*Premissas!$C$49,0)</f>
        <v>1089.51817541186</v>
      </c>
      <c r="W216" s="16" t="n">
        <f aca="false">P216-Q216-R216-S216-T216-U216-V216</f>
        <v>1975.52521819354</v>
      </c>
      <c r="X216" s="16" t="n">
        <f aca="false">W216-F216-G216-H216-M216</f>
        <v>1975.52521819354</v>
      </c>
      <c r="Y216" s="16" t="n">
        <f aca="false">Y215+X216</f>
        <v>-616129.749898704</v>
      </c>
      <c r="Z216" s="16" t="n">
        <f aca="false">Premissas!$C$14*(1+Premissas!$C$57)^((YEAR(Premissas!$C$19)-YEAR(Premissas!$C$18))*12+MONTH(Premissas!$C$19)-MONTH(Premissas!$C$18))*(1+Premissas!$C$61)^((YEAR($A216)-YEAR(Premissas!$C$19))*12+MONTH($A216)-MONTH(Premissas!$C$19))</f>
        <v>1127730.59382932</v>
      </c>
      <c r="AA216" s="16" t="n">
        <f aca="false">IF($A216&gt;=Premissas!$C$25,Z216*(1-Premissas!$C$53)-N216-Premissas!$C$54*MAX(0,Z216*(1-Premissas!$C$53)-(Premissas!$C$14*(1+Premissas!$C$57)^((YEAR(Premissas!$C$25)-YEAR(Premissas!$C$18))*12+MONTH(Premissas!$C$25)-MONTH(Premissas!$C$18))*(1+Premissas!$C$34))),"")</f>
        <v>982258.953981294</v>
      </c>
      <c r="AB216" s="16" t="n">
        <f aca="false">IF($A216&gt;=Premissas!$C$25,Y216+AA216,"")</f>
        <v>366129.20408259</v>
      </c>
      <c r="AC216" s="20" t="n">
        <f aca="false">IF(AND($A216&gt;=Premissas!$C$27,W216&gt;=M216),$A216,"")</f>
        <v>52810</v>
      </c>
      <c r="AD216" s="20" t="str">
        <f aca="false">IF(AND($A216&gt;=Premissas!$C$27,Y216&gt;=0),$A216,"")</f>
        <v/>
      </c>
      <c r="AE216" s="20" t="n">
        <f aca="false">IF(AND($A216&gt;=Premissas!$C$25,N(AB216)&gt;=0),$A216,"")</f>
        <v>52810</v>
      </c>
    </row>
    <row r="217" customFormat="false" ht="15" hidden="false" customHeight="false" outlineLevel="0" collapsed="false">
      <c r="A217" s="20" t="n">
        <f aca="false">DATE(YEAR(A216),MONTH(A216)+1,1)</f>
        <v>52841</v>
      </c>
      <c r="B217" s="5" t="str">
        <f aca="false">IF($A217&lt;Premissas!$C$25,"Obra",IF($A217=Premissas!$C$25,"Chaves",IF($A217&lt;Premissas!$C$27,"Mobiliando","Airbnb")))</f>
        <v>Airbnb</v>
      </c>
      <c r="C217" s="35" t="n">
        <f aca="false">(YEAR($A217)-YEAR(Premissas!$C$18))*12+MONTH($A217)-MONTH(Premissas!$C$18)</f>
        <v>216</v>
      </c>
      <c r="D217" s="16" t="n">
        <f aca="false">($A217=Premissas!$C$19)*Premissas!$C$8+(($A217=EDATE(Premissas!$C$19,1))+($A217=EDATE(Premissas!$C$19,2)))*Premissas!$C$9+AND($A217&gt;=Premissas!$C$20,$A217&lt;EDATE(Premissas!$C$20,Premissas!$C$21))*Premissas!$C$10+(($A217=Premissas!$C$22)+($A217=Premissas!$C$23)+($A217=Premissas!$C$24))*Premissas!$C$11+($A217=Premissas!$C$25)*Premissas!$C$12</f>
        <v>0</v>
      </c>
      <c r="E217" s="36" t="n">
        <f aca="false">(1+Premissas!$C$57)^C217</f>
        <v>2.62146626590067</v>
      </c>
      <c r="F217" s="16" t="n">
        <f aca="false">D217*E217</f>
        <v>0</v>
      </c>
      <c r="G217" s="16" t="n">
        <f aca="false">($A217=Premissas!$C$25)*Premissas!$C$34*Premissas!$C$14*(1+Premissas!$C$57)^C217</f>
        <v>0</v>
      </c>
      <c r="H217" s="16" t="n">
        <f aca="false">IF(AND($A217&gt;Premissas!$C$25,$A217&lt;Premissas!$C$27),Premissas!$C$35/MAX(1,Premissas!$C$26),0)</f>
        <v>0</v>
      </c>
      <c r="I217" s="35" t="n">
        <f aca="false">IF(AND($A217&gt;Premissas!$C$25,((YEAR($A217)-YEAR(Premissas!$C$25))*12+MONTH($A217)-MONTH(Premissas!$C$25))&lt;=Premissas!$C$32),((YEAR($A217)-YEAR(Premissas!$C$25))*12+MONTH($A217)-MONTH(Premissas!$C$25)),0)</f>
        <v>0</v>
      </c>
      <c r="J217" s="16" t="n">
        <f aca="false">IF(I217&gt;0,N216*(1+Premissas!$C$59),0)</f>
        <v>0</v>
      </c>
      <c r="K217" s="16" t="n">
        <f aca="false">J217*Premissas!$C$58</f>
        <v>0</v>
      </c>
      <c r="L217" s="16" t="n">
        <f aca="false">IF(I217&gt;0,J217/(Premissas!$C$32-I217+1),0)</f>
        <v>0</v>
      </c>
      <c r="M217" s="16" t="n">
        <f aca="false">K217+L217</f>
        <v>0</v>
      </c>
      <c r="N217" s="16" t="n">
        <f aca="false">IF($A217=Premissas!$C$25,Premissas!$C$13*E217,IF(I217&gt;0,J217-L217,0))</f>
        <v>0</v>
      </c>
      <c r="O217" s="37" t="n">
        <f aca="false">IF($A217&gt;=Premissas!$C$27,Premissas!$C$39*IF(((YEAR($A217)-YEAR(Premissas!$C$27))*12+MONTH($A217)-MONTH(Premissas!$C$27))&lt;Premissas!$C$41,Premissas!$C$42,1),0)</f>
        <v>0.62</v>
      </c>
      <c r="P217" s="16" t="n">
        <f aca="false">O217*Premissas!$C$38*Premissas!$C$40*(1+Premissas!$C$60)^((YEAR($A217)-YEAR(Premissas!$C$19))*12+MONTH($A217)-MONTH(Premissas!$C$19))</f>
        <v>8553.87910343833</v>
      </c>
      <c r="Q217" s="16" t="n">
        <f aca="false">P217*Premissas!$C$43</f>
        <v>1368.62065655013</v>
      </c>
      <c r="R217" s="16" t="n">
        <f aca="false">P217*Premissas!$C$44</f>
        <v>1710.77582068767</v>
      </c>
      <c r="S217" s="16" t="n">
        <f aca="false">IF($A217&gt;=Premissas!$C$25,Premissas!$C$45*(1+Premissas!$C$60)^((YEAR($A217)-YEAR(Premissas!$C$19))*12+MONTH($A217)-MONTH(Premissas!$C$19)),0)</f>
        <v>1499.62817381457</v>
      </c>
      <c r="T217" s="16" t="n">
        <f aca="false">IF($A217&gt;=Premissas!$C$27,Premissas!$C$46*(1+Premissas!$C$60)^((YEAR($A217)-YEAR(Premissas!$C$19))*12+MONTH($A217)-MONTH(Premissas!$C$19)),0)</f>
        <v>599.85126952583</v>
      </c>
      <c r="U217" s="16" t="n">
        <f aca="false">IF($A217&gt;=Premissas!$C$27,Premissas!$C$47*(1+Premissas!$C$60)^((YEAR($A217)-YEAR(Premissas!$C$19))*12+MONTH($A217)-MONTH(Premissas!$C$19)),0)</f>
        <v>299.925634762915</v>
      </c>
      <c r="V217" s="16" t="n">
        <f aca="false">IF($A217&gt;=Premissas!$C$27,MAX(0,P217-Q217-R217-S217)*Premissas!$C$49,0)</f>
        <v>1093.08497440614</v>
      </c>
      <c r="W217" s="16" t="n">
        <f aca="false">P217-Q217-R217-S217-T217-U217-V217</f>
        <v>1981.99257369107</v>
      </c>
      <c r="X217" s="16" t="n">
        <f aca="false">W217-F217-G217-H217-M217</f>
        <v>1981.99257369107</v>
      </c>
      <c r="Y217" s="16" t="n">
        <f aca="false">Y216+X217</f>
        <v>-614147.757325013</v>
      </c>
      <c r="Z217" s="16" t="n">
        <f aca="false">Premissas!$C$14*(1+Premissas!$C$57)^((YEAR(Premissas!$C$19)-YEAR(Premissas!$C$18))*12+MONTH(Premissas!$C$19)-MONTH(Premissas!$C$18))*(1+Premissas!$C$61)^((YEAR($A217)-YEAR(Premissas!$C$19))*12+MONTH($A217)-MONTH(Premissas!$C$19))</f>
        <v>1132325.10786319</v>
      </c>
      <c r="AA217" s="16" t="n">
        <f aca="false">IF($A217&gt;=Premissas!$C$25,Z217*(1-Premissas!$C$53)-N217-Premissas!$C$54*MAX(0,Z217*(1-Premissas!$C$53)-(Premissas!$C$14*(1+Premissas!$C$57)^((YEAR(Premissas!$C$25)-YEAR(Premissas!$C$18))*12+MONTH(Premissas!$C$25)-MONTH(Premissas!$C$18))*(1+Premissas!$C$34))),"")</f>
        <v>985929.970694355</v>
      </c>
      <c r="AB217" s="16" t="n">
        <f aca="false">IF($A217&gt;=Premissas!$C$25,Y217+AA217,"")</f>
        <v>371782.213369342</v>
      </c>
      <c r="AC217" s="20" t="n">
        <f aca="false">IF(AND($A217&gt;=Premissas!$C$27,W217&gt;=M217),$A217,"")</f>
        <v>52841</v>
      </c>
      <c r="AD217" s="20" t="str">
        <f aca="false">IF(AND($A217&gt;=Premissas!$C$27,Y217&gt;=0),$A217,"")</f>
        <v/>
      </c>
      <c r="AE217" s="20" t="n">
        <f aca="false">IF(AND($A217&gt;=Premissas!$C$25,N(AB217)&gt;=0),$A217,"")</f>
        <v>52841</v>
      </c>
    </row>
    <row r="218" customFormat="false" ht="15" hidden="false" customHeight="false" outlineLevel="0" collapsed="false">
      <c r="A218" s="20" t="n">
        <f aca="false">DATE(YEAR(A217),MONTH(A217)+1,1)</f>
        <v>52871</v>
      </c>
      <c r="B218" s="5" t="str">
        <f aca="false">IF($A218&lt;Premissas!$C$25,"Obra",IF($A218=Premissas!$C$25,"Chaves",IF($A218&lt;Premissas!$C$27,"Mobiliando","Airbnb")))</f>
        <v>Airbnb</v>
      </c>
      <c r="C218" s="35" t="n">
        <f aca="false">(YEAR($A218)-YEAR(Premissas!$C$18))*12+MONTH($A218)-MONTH(Premissas!$C$18)</f>
        <v>217</v>
      </c>
      <c r="D218" s="16" t="n">
        <f aca="false">($A218=Premissas!$C$19)*Premissas!$C$8+(($A218=EDATE(Premissas!$C$19,1))+($A218=EDATE(Premissas!$C$19,2)))*Premissas!$C$9+AND($A218&gt;=Premissas!$C$20,$A218&lt;EDATE(Premissas!$C$20,Premissas!$C$21))*Premissas!$C$10+(($A218=Premissas!$C$22)+($A218=Premissas!$C$23)+($A218=Premissas!$C$24))*Premissas!$C$11+($A218=Premissas!$C$25)*Premissas!$C$12</f>
        <v>0</v>
      </c>
      <c r="E218" s="36" t="n">
        <f aca="false">(1+Premissas!$C$57)^C218</f>
        <v>2.63318867376297</v>
      </c>
      <c r="F218" s="16" t="n">
        <f aca="false">D218*E218</f>
        <v>0</v>
      </c>
      <c r="G218" s="16" t="n">
        <f aca="false">($A218=Premissas!$C$25)*Premissas!$C$34*Premissas!$C$14*(1+Premissas!$C$57)^C218</f>
        <v>0</v>
      </c>
      <c r="H218" s="16" t="n">
        <f aca="false">IF(AND($A218&gt;Premissas!$C$25,$A218&lt;Premissas!$C$27),Premissas!$C$35/MAX(1,Premissas!$C$26),0)</f>
        <v>0</v>
      </c>
      <c r="I218" s="35" t="n">
        <f aca="false">IF(AND($A218&gt;Premissas!$C$25,((YEAR($A218)-YEAR(Premissas!$C$25))*12+MONTH($A218)-MONTH(Premissas!$C$25))&lt;=Premissas!$C$32),((YEAR($A218)-YEAR(Premissas!$C$25))*12+MONTH($A218)-MONTH(Premissas!$C$25)),0)</f>
        <v>0</v>
      </c>
      <c r="J218" s="16" t="n">
        <f aca="false">IF(I218&gt;0,N217*(1+Premissas!$C$59),0)</f>
        <v>0</v>
      </c>
      <c r="K218" s="16" t="n">
        <f aca="false">J218*Premissas!$C$58</f>
        <v>0</v>
      </c>
      <c r="L218" s="16" t="n">
        <f aca="false">IF(I218&gt;0,J218/(Premissas!$C$32-I218+1),0)</f>
        <v>0</v>
      </c>
      <c r="M218" s="16" t="n">
        <f aca="false">K218+L218</f>
        <v>0</v>
      </c>
      <c r="N218" s="16" t="n">
        <f aca="false">IF($A218=Premissas!$C$25,Premissas!$C$13*E218,IF(I218&gt;0,J218-L218,0))</f>
        <v>0</v>
      </c>
      <c r="O218" s="37" t="n">
        <f aca="false">IF($A218&gt;=Premissas!$C$27,Premissas!$C$39*IF(((YEAR($A218)-YEAR(Premissas!$C$27))*12+MONTH($A218)-MONTH(Premissas!$C$27))&lt;Premissas!$C$41,Premissas!$C$42,1),0)</f>
        <v>0.62</v>
      </c>
      <c r="P218" s="16" t="n">
        <f aca="false">O218*Premissas!$C$38*Premissas!$C$40*(1+Premissas!$C$60)^((YEAR($A218)-YEAR(Premissas!$C$19))*12+MONTH($A218)-MONTH(Premissas!$C$19))</f>
        <v>8581.88227775137</v>
      </c>
      <c r="Q218" s="16" t="n">
        <f aca="false">P218*Premissas!$C$43</f>
        <v>1373.10116444022</v>
      </c>
      <c r="R218" s="16" t="n">
        <f aca="false">P218*Premissas!$C$44</f>
        <v>1716.37645555027</v>
      </c>
      <c r="S218" s="16" t="n">
        <f aca="false">IF($A218&gt;=Premissas!$C$25,Premissas!$C$45*(1+Premissas!$C$60)^((YEAR($A218)-YEAR(Premissas!$C$19))*12+MONTH($A218)-MONTH(Premissas!$C$19)),0)</f>
        <v>1504.5375662257</v>
      </c>
      <c r="T218" s="16" t="n">
        <f aca="false">IF($A218&gt;=Premissas!$C$27,Premissas!$C$46*(1+Premissas!$C$60)^((YEAR($A218)-YEAR(Premissas!$C$19))*12+MONTH($A218)-MONTH(Premissas!$C$19)),0)</f>
        <v>601.815026490279</v>
      </c>
      <c r="U218" s="16" t="n">
        <f aca="false">IF($A218&gt;=Premissas!$C$27,Premissas!$C$47*(1+Premissas!$C$60)^((YEAR($A218)-YEAR(Premissas!$C$19))*12+MONTH($A218)-MONTH(Premissas!$C$19)),0)</f>
        <v>300.907513245139</v>
      </c>
      <c r="V218" s="16" t="n">
        <f aca="false">IF($A218&gt;=Premissas!$C$27,MAX(0,P218-Q218-R218-S218)*Premissas!$C$49,0)</f>
        <v>1096.66345017218</v>
      </c>
      <c r="W218" s="16" t="n">
        <f aca="false">P218-Q218-R218-S218-T218-U218-V218</f>
        <v>1988.48110162759</v>
      </c>
      <c r="X218" s="16" t="n">
        <f aca="false">W218-F218-G218-H218-M218</f>
        <v>1988.48110162759</v>
      </c>
      <c r="Y218" s="16" t="n">
        <f aca="false">Y217+X218</f>
        <v>-612159.276223386</v>
      </c>
      <c r="Z218" s="16" t="n">
        <f aca="false">Premissas!$C$14*(1+Premissas!$C$57)^((YEAR(Premissas!$C$19)-YEAR(Premissas!$C$18))*12+MONTH(Premissas!$C$19)-MONTH(Premissas!$C$18))*(1+Premissas!$C$61)^((YEAR($A218)-YEAR(Premissas!$C$19))*12+MONTH($A218)-MONTH(Premissas!$C$19))</f>
        <v>1136938.34051596</v>
      </c>
      <c r="AA218" s="16" t="n">
        <f aca="false">IF($A218&gt;=Premissas!$C$25,Z218*(1-Premissas!$C$53)-N218-Premissas!$C$54*MAX(0,Z218*(1-Premissas!$C$53)-(Premissas!$C$14*(1+Premissas!$C$57)^((YEAR(Premissas!$C$25)-YEAR(Premissas!$C$18))*12+MONTH(Premissas!$C$25)-MONTH(Premissas!$C$18))*(1+Premissas!$C$34))),"")</f>
        <v>989615.943583916</v>
      </c>
      <c r="AB218" s="16" t="n">
        <f aca="false">IF($A218&gt;=Premissas!$C$25,Y218+AA218,"")</f>
        <v>377456.66736053</v>
      </c>
      <c r="AC218" s="20" t="n">
        <f aca="false">IF(AND($A218&gt;=Premissas!$C$27,W218&gt;=M218),$A218,"")</f>
        <v>52871</v>
      </c>
      <c r="AD218" s="20" t="str">
        <f aca="false">IF(AND($A218&gt;=Premissas!$C$27,Y218&gt;=0),$A218,"")</f>
        <v/>
      </c>
      <c r="AE218" s="20" t="n">
        <f aca="false">IF(AND($A218&gt;=Premissas!$C$25,N(AB218)&gt;=0),$A218,"")</f>
        <v>52871</v>
      </c>
    </row>
    <row r="219" customFormat="false" ht="15" hidden="false" customHeight="false" outlineLevel="0" collapsed="false">
      <c r="A219" s="20" t="n">
        <f aca="false">DATE(YEAR(A218),MONTH(A218)+1,1)</f>
        <v>52902</v>
      </c>
      <c r="B219" s="5" t="str">
        <f aca="false">IF($A219&lt;Premissas!$C$25,"Obra",IF($A219=Premissas!$C$25,"Chaves",IF($A219&lt;Premissas!$C$27,"Mobiliando","Airbnb")))</f>
        <v>Airbnb</v>
      </c>
      <c r="C219" s="35" t="n">
        <f aca="false">(YEAR($A219)-YEAR(Premissas!$C$18))*12+MONTH($A219)-MONTH(Premissas!$C$18)</f>
        <v>218</v>
      </c>
      <c r="D219" s="16" t="n">
        <f aca="false">($A219=Premissas!$C$19)*Premissas!$C$8+(($A219=EDATE(Premissas!$C$19,1))+($A219=EDATE(Premissas!$C$19,2)))*Premissas!$C$9+AND($A219&gt;=Premissas!$C$20,$A219&lt;EDATE(Premissas!$C$20,Premissas!$C$21))*Premissas!$C$10+(($A219=Premissas!$C$22)+($A219=Premissas!$C$23)+($A219=Premissas!$C$24))*Premissas!$C$11+($A219=Premissas!$C$25)*Premissas!$C$12</f>
        <v>0</v>
      </c>
      <c r="E219" s="36" t="n">
        <f aca="false">(1+Premissas!$C$57)^C219</f>
        <v>2.6449635007038</v>
      </c>
      <c r="F219" s="16" t="n">
        <f aca="false">D219*E219</f>
        <v>0</v>
      </c>
      <c r="G219" s="16" t="n">
        <f aca="false">($A219=Premissas!$C$25)*Premissas!$C$34*Premissas!$C$14*(1+Premissas!$C$57)^C219</f>
        <v>0</v>
      </c>
      <c r="H219" s="16" t="n">
        <f aca="false">IF(AND($A219&gt;Premissas!$C$25,$A219&lt;Premissas!$C$27),Premissas!$C$35/MAX(1,Premissas!$C$26),0)</f>
        <v>0</v>
      </c>
      <c r="I219" s="35" t="n">
        <f aca="false">IF(AND($A219&gt;Premissas!$C$25,((YEAR($A219)-YEAR(Premissas!$C$25))*12+MONTH($A219)-MONTH(Premissas!$C$25))&lt;=Premissas!$C$32),((YEAR($A219)-YEAR(Premissas!$C$25))*12+MONTH($A219)-MONTH(Premissas!$C$25)),0)</f>
        <v>0</v>
      </c>
      <c r="J219" s="16" t="n">
        <f aca="false">IF(I219&gt;0,N218*(1+Premissas!$C$59),0)</f>
        <v>0</v>
      </c>
      <c r="K219" s="16" t="n">
        <f aca="false">J219*Premissas!$C$58</f>
        <v>0</v>
      </c>
      <c r="L219" s="16" t="n">
        <f aca="false">IF(I219&gt;0,J219/(Premissas!$C$32-I219+1),0)</f>
        <v>0</v>
      </c>
      <c r="M219" s="16" t="n">
        <f aca="false">K219+L219</f>
        <v>0</v>
      </c>
      <c r="N219" s="16" t="n">
        <f aca="false">IF($A219=Premissas!$C$25,Premissas!$C$13*E219,IF(I219&gt;0,J219-L219,0))</f>
        <v>0</v>
      </c>
      <c r="O219" s="37" t="n">
        <f aca="false">IF($A219&gt;=Premissas!$C$27,Premissas!$C$39*IF(((YEAR($A219)-YEAR(Premissas!$C$27))*12+MONTH($A219)-MONTH(Premissas!$C$27))&lt;Premissas!$C$41,Premissas!$C$42,1),0)</f>
        <v>0.62</v>
      </c>
      <c r="P219" s="16" t="n">
        <f aca="false">O219*Premissas!$C$38*Premissas!$C$40*(1+Premissas!$C$60)^((YEAR($A219)-YEAR(Premissas!$C$19))*12+MONTH($A219)-MONTH(Premissas!$C$19))</f>
        <v>8609.9771271702</v>
      </c>
      <c r="Q219" s="16" t="n">
        <f aca="false">P219*Premissas!$C$43</f>
        <v>1377.59634034723</v>
      </c>
      <c r="R219" s="16" t="n">
        <f aca="false">P219*Premissas!$C$44</f>
        <v>1721.99542543404</v>
      </c>
      <c r="S219" s="16" t="n">
        <f aca="false">IF($A219&gt;=Premissas!$C$25,Premissas!$C$45*(1+Premissas!$C$60)^((YEAR($A219)-YEAR(Premissas!$C$19))*12+MONTH($A219)-MONTH(Premissas!$C$19)),0)</f>
        <v>1509.46303071006</v>
      </c>
      <c r="T219" s="16" t="n">
        <f aca="false">IF($A219&gt;=Premissas!$C$27,Premissas!$C$46*(1+Premissas!$C$60)^((YEAR($A219)-YEAR(Premissas!$C$19))*12+MONTH($A219)-MONTH(Premissas!$C$19)),0)</f>
        <v>603.785212284025</v>
      </c>
      <c r="U219" s="16" t="n">
        <f aca="false">IF($A219&gt;=Premissas!$C$27,Premissas!$C$47*(1+Premissas!$C$60)^((YEAR($A219)-YEAR(Premissas!$C$19))*12+MONTH($A219)-MONTH(Premissas!$C$19)),0)</f>
        <v>301.892606142013</v>
      </c>
      <c r="V219" s="16" t="n">
        <f aca="false">IF($A219&gt;=Premissas!$C$27,MAX(0,P219-Q219-R219-S219)*Premissas!$C$49,0)</f>
        <v>1100.25364093669</v>
      </c>
      <c r="W219" s="16" t="n">
        <f aca="false">P219-Q219-R219-S219-T219-U219-V219</f>
        <v>1994.99087131614</v>
      </c>
      <c r="X219" s="16" t="n">
        <f aca="false">W219-F219-G219-H219-M219</f>
        <v>1994.99087131614</v>
      </c>
      <c r="Y219" s="16" t="n">
        <f aca="false">Y218+X219</f>
        <v>-610164.285352069</v>
      </c>
      <c r="Z219" s="16" t="n">
        <f aca="false">Premissas!$C$14*(1+Premissas!$C$57)^((YEAR(Premissas!$C$19)-YEAR(Premissas!$C$18))*12+MONTH(Premissas!$C$19)-MONTH(Premissas!$C$18))*(1+Premissas!$C$61)^((YEAR($A219)-YEAR(Premissas!$C$19))*12+MONTH($A219)-MONTH(Premissas!$C$19))</f>
        <v>1141570.3680496</v>
      </c>
      <c r="AA219" s="16" t="n">
        <f aca="false">IF($A219&gt;=Premissas!$C$25,Z219*(1-Premissas!$C$53)-N219-Premissas!$C$54*MAX(0,Z219*(1-Premissas!$C$53)-(Premissas!$C$14*(1+Premissas!$C$57)^((YEAR(Premissas!$C$25)-YEAR(Premissas!$C$18))*12+MONTH(Premissas!$C$25)-MONTH(Premissas!$C$18))*(1+Premissas!$C$34))),"")</f>
        <v>993316.933583293</v>
      </c>
      <c r="AB219" s="16" t="n">
        <f aca="false">IF($A219&gt;=Premissas!$C$25,Y219+AA219,"")</f>
        <v>383152.648231223</v>
      </c>
      <c r="AC219" s="20" t="n">
        <f aca="false">IF(AND($A219&gt;=Premissas!$C$27,W219&gt;=M219),$A219,"")</f>
        <v>52902</v>
      </c>
      <c r="AD219" s="20" t="str">
        <f aca="false">IF(AND($A219&gt;=Premissas!$C$27,Y219&gt;=0),$A219,"")</f>
        <v/>
      </c>
      <c r="AE219" s="20" t="n">
        <f aca="false">IF(AND($A219&gt;=Premissas!$C$25,N(AB219)&gt;=0),$A219,"")</f>
        <v>52902</v>
      </c>
    </row>
    <row r="220" customFormat="false" ht="15" hidden="false" customHeight="false" outlineLevel="0" collapsed="false">
      <c r="A220" s="20" t="n">
        <f aca="false">DATE(YEAR(A219),MONTH(A219)+1,1)</f>
        <v>52932</v>
      </c>
      <c r="B220" s="5" t="str">
        <f aca="false">IF($A220&lt;Premissas!$C$25,"Obra",IF($A220=Premissas!$C$25,"Chaves",IF($A220&lt;Premissas!$C$27,"Mobiliando","Airbnb")))</f>
        <v>Airbnb</v>
      </c>
      <c r="C220" s="35" t="n">
        <f aca="false">(YEAR($A220)-YEAR(Premissas!$C$18))*12+MONTH($A220)-MONTH(Premissas!$C$18)</f>
        <v>219</v>
      </c>
      <c r="D220" s="16" t="n">
        <f aca="false">($A220=Premissas!$C$19)*Premissas!$C$8+(($A220=EDATE(Premissas!$C$19,1))+($A220=EDATE(Premissas!$C$19,2)))*Premissas!$C$9+AND($A220&gt;=Premissas!$C$20,$A220&lt;EDATE(Premissas!$C$20,Premissas!$C$21))*Premissas!$C$10+(($A220=Premissas!$C$22)+($A220=Premissas!$C$23)+($A220=Premissas!$C$24))*Premissas!$C$11+($A220=Premissas!$C$25)*Premissas!$C$12</f>
        <v>0</v>
      </c>
      <c r="E220" s="36" t="n">
        <f aca="false">(1+Premissas!$C$57)^C220</f>
        <v>2.65679098112552</v>
      </c>
      <c r="F220" s="16" t="n">
        <f aca="false">D220*E220</f>
        <v>0</v>
      </c>
      <c r="G220" s="16" t="n">
        <f aca="false">($A220=Premissas!$C$25)*Premissas!$C$34*Premissas!$C$14*(1+Premissas!$C$57)^C220</f>
        <v>0</v>
      </c>
      <c r="H220" s="16" t="n">
        <f aca="false">IF(AND($A220&gt;Premissas!$C$25,$A220&lt;Premissas!$C$27),Premissas!$C$35/MAX(1,Premissas!$C$26),0)</f>
        <v>0</v>
      </c>
      <c r="I220" s="35" t="n">
        <f aca="false">IF(AND($A220&gt;Premissas!$C$25,((YEAR($A220)-YEAR(Premissas!$C$25))*12+MONTH($A220)-MONTH(Premissas!$C$25))&lt;=Premissas!$C$32),((YEAR($A220)-YEAR(Premissas!$C$25))*12+MONTH($A220)-MONTH(Premissas!$C$25)),0)</f>
        <v>0</v>
      </c>
      <c r="J220" s="16" t="n">
        <f aca="false">IF(I220&gt;0,N219*(1+Premissas!$C$59),0)</f>
        <v>0</v>
      </c>
      <c r="K220" s="16" t="n">
        <f aca="false">J220*Premissas!$C$58</f>
        <v>0</v>
      </c>
      <c r="L220" s="16" t="n">
        <f aca="false">IF(I220&gt;0,J220/(Premissas!$C$32-I220+1),0)</f>
        <v>0</v>
      </c>
      <c r="M220" s="16" t="n">
        <f aca="false">K220+L220</f>
        <v>0</v>
      </c>
      <c r="N220" s="16" t="n">
        <f aca="false">IF($A220=Premissas!$C$25,Premissas!$C$13*E220,IF(I220&gt;0,J220-L220,0))</f>
        <v>0</v>
      </c>
      <c r="O220" s="37" t="n">
        <f aca="false">IF($A220&gt;=Premissas!$C$27,Premissas!$C$39*IF(((YEAR($A220)-YEAR(Premissas!$C$27))*12+MONTH($A220)-MONTH(Premissas!$C$27))&lt;Premissas!$C$41,Premissas!$C$42,1),0)</f>
        <v>0.62</v>
      </c>
      <c r="P220" s="16" t="n">
        <f aca="false">O220*Premissas!$C$38*Premissas!$C$40*(1+Premissas!$C$60)^((YEAR($A220)-YEAR(Premissas!$C$19))*12+MONTH($A220)-MONTH(Premissas!$C$19))</f>
        <v>8638.16395181524</v>
      </c>
      <c r="Q220" s="16" t="n">
        <f aca="false">P220*Premissas!$C$43</f>
        <v>1382.10623229044</v>
      </c>
      <c r="R220" s="16" t="n">
        <f aca="false">P220*Premissas!$C$44</f>
        <v>1727.63279036305</v>
      </c>
      <c r="S220" s="16" t="n">
        <f aca="false">IF($A220&gt;=Premissas!$C$25,Premissas!$C$45*(1+Premissas!$C$60)^((YEAR($A220)-YEAR(Premissas!$C$19))*12+MONTH($A220)-MONTH(Premissas!$C$19)),0)</f>
        <v>1514.40461988346</v>
      </c>
      <c r="T220" s="16" t="n">
        <f aca="false">IF($A220&gt;=Premissas!$C$27,Premissas!$C$46*(1+Premissas!$C$60)^((YEAR($A220)-YEAR(Premissas!$C$19))*12+MONTH($A220)-MONTH(Premissas!$C$19)),0)</f>
        <v>605.761847953383</v>
      </c>
      <c r="U220" s="16" t="n">
        <f aca="false">IF($A220&gt;=Premissas!$C$27,Premissas!$C$47*(1+Premissas!$C$60)^((YEAR($A220)-YEAR(Premissas!$C$19))*12+MONTH($A220)-MONTH(Premissas!$C$19)),0)</f>
        <v>302.880923976691</v>
      </c>
      <c r="V220" s="16" t="n">
        <f aca="false">IF($A220&gt;=Premissas!$C$27,MAX(0,P220-Q220-R220-S220)*Premissas!$C$49,0)</f>
        <v>1103.85558505153</v>
      </c>
      <c r="W220" s="16" t="n">
        <f aca="false">P220-Q220-R220-S220-T220-U220-V220</f>
        <v>2001.52195229669</v>
      </c>
      <c r="X220" s="16" t="n">
        <f aca="false">W220-F220-G220-H220-M220</f>
        <v>2001.52195229669</v>
      </c>
      <c r="Y220" s="16" t="n">
        <f aca="false">Y219+X220</f>
        <v>-608162.763399773</v>
      </c>
      <c r="Z220" s="16" t="n">
        <f aca="false">Premissas!$C$14*(1+Premissas!$C$57)^((YEAR(Premissas!$C$19)-YEAR(Premissas!$C$18))*12+MONTH(Premissas!$C$19)-MONTH(Premissas!$C$18))*(1+Premissas!$C$61)^((YEAR($A220)-YEAR(Premissas!$C$19))*12+MONTH($A220)-MONTH(Premissas!$C$19))</f>
        <v>1146221.26703678</v>
      </c>
      <c r="AA220" s="16" t="n">
        <f aca="false">IF($A220&gt;=Premissas!$C$25,Z220*(1-Premissas!$C$53)-N220-Premissas!$C$54*MAX(0,Z220*(1-Premissas!$C$53)-(Premissas!$C$14*(1+Premissas!$C$57)^((YEAR(Premissas!$C$25)-YEAR(Premissas!$C$18))*12+MONTH(Premissas!$C$25)-MONTH(Premissas!$C$18))*(1+Premissas!$C$34))),"")</f>
        <v>997033.001874049</v>
      </c>
      <c r="AB220" s="16" t="n">
        <f aca="false">IF($A220&gt;=Premissas!$C$25,Y220+AA220,"")</f>
        <v>388870.238474276</v>
      </c>
      <c r="AC220" s="20" t="n">
        <f aca="false">IF(AND($A220&gt;=Premissas!$C$27,W220&gt;=M220),$A220,"")</f>
        <v>52932</v>
      </c>
      <c r="AD220" s="20" t="str">
        <f aca="false">IF(AND($A220&gt;=Premissas!$C$27,Y220&gt;=0),$A220,"")</f>
        <v/>
      </c>
      <c r="AE220" s="20" t="n">
        <f aca="false">IF(AND($A220&gt;=Premissas!$C$25,N(AB220)&gt;=0),$A220,"")</f>
        <v>52932</v>
      </c>
    </row>
    <row r="221" customFormat="false" ht="15" hidden="false" customHeight="false" outlineLevel="0" collapsed="false">
      <c r="A221" s="29" t="n">
        <f aca="false">DATE(YEAR(A220),MONTH(A220)+1,1)</f>
        <v>52963</v>
      </c>
      <c r="B221" s="30" t="str">
        <f aca="false">IF($A221&lt;Premissas!$C$25,"Obra",IF($A221=Premissas!$C$25,"Chaves",IF($A221&lt;Premissas!$C$27,"Mobiliando","Airbnb")))</f>
        <v>Airbnb</v>
      </c>
      <c r="C221" s="31" t="n">
        <f aca="false">(YEAR($A221)-YEAR(Premissas!$C$18))*12+MONTH($A221)-MONTH(Premissas!$C$18)</f>
        <v>220</v>
      </c>
      <c r="D221" s="32" t="n">
        <f aca="false">($A221=Premissas!$C$19)*Premissas!$C$8+(($A221=EDATE(Premissas!$C$19,1))+($A221=EDATE(Premissas!$C$19,2)))*Premissas!$C$9+AND($A221&gt;=Premissas!$C$20,$A221&lt;EDATE(Premissas!$C$20,Premissas!$C$21))*Premissas!$C$10+(($A221=Premissas!$C$22)+($A221=Premissas!$C$23)+($A221=Premissas!$C$24))*Premissas!$C$11+($A221=Premissas!$C$25)*Premissas!$C$12</f>
        <v>0</v>
      </c>
      <c r="E221" s="33" t="n">
        <f aca="false">(1+Premissas!$C$57)^C221</f>
        <v>2.66867135047863</v>
      </c>
      <c r="F221" s="32" t="n">
        <f aca="false">D221*E221</f>
        <v>0</v>
      </c>
      <c r="G221" s="32" t="n">
        <f aca="false">($A221=Premissas!$C$25)*Premissas!$C$34*Premissas!$C$14*(1+Premissas!$C$57)^C221</f>
        <v>0</v>
      </c>
      <c r="H221" s="32" t="n">
        <f aca="false">IF(AND($A221&gt;Premissas!$C$25,$A221&lt;Premissas!$C$27),Premissas!$C$35/MAX(1,Premissas!$C$26),0)</f>
        <v>0</v>
      </c>
      <c r="I221" s="31" t="n">
        <f aca="false">IF(AND($A221&gt;Premissas!$C$25,((YEAR($A221)-YEAR(Premissas!$C$25))*12+MONTH($A221)-MONTH(Premissas!$C$25))&lt;=Premissas!$C$32),((YEAR($A221)-YEAR(Premissas!$C$25))*12+MONTH($A221)-MONTH(Premissas!$C$25)),0)</f>
        <v>0</v>
      </c>
      <c r="J221" s="32" t="n">
        <f aca="false">IF(I221&gt;0,N220*(1+Premissas!$C$59),0)</f>
        <v>0</v>
      </c>
      <c r="K221" s="32" t="n">
        <f aca="false">J221*Premissas!$C$58</f>
        <v>0</v>
      </c>
      <c r="L221" s="32" t="n">
        <f aca="false">IF(I221&gt;0,J221/(Premissas!$C$32-I221+1),0)</f>
        <v>0</v>
      </c>
      <c r="M221" s="32" t="n">
        <f aca="false">K221+L221</f>
        <v>0</v>
      </c>
      <c r="N221" s="32" t="n">
        <f aca="false">IF($A221=Premissas!$C$25,Premissas!$C$13*E221,IF(I221&gt;0,J221-L221,0))</f>
        <v>0</v>
      </c>
      <c r="O221" s="34" t="n">
        <f aca="false">IF($A221&gt;=Premissas!$C$27,Premissas!$C$39*IF(((YEAR($A221)-YEAR(Premissas!$C$27))*12+MONTH($A221)-MONTH(Premissas!$C$27))&lt;Premissas!$C$41,Premissas!$C$42,1),0)</f>
        <v>0.62</v>
      </c>
      <c r="P221" s="32" t="n">
        <f aca="false">O221*Premissas!$C$38*Premissas!$C$40*(1+Premissas!$C$60)^((YEAR($A221)-YEAR(Premissas!$C$19))*12+MONTH($A221)-MONTH(Premissas!$C$19))</f>
        <v>8666.44305278945</v>
      </c>
      <c r="Q221" s="32" t="n">
        <f aca="false">P221*Premissas!$C$43</f>
        <v>1386.63088844631</v>
      </c>
      <c r="R221" s="32" t="n">
        <f aca="false">P221*Premissas!$C$44</f>
        <v>1733.28861055789</v>
      </c>
      <c r="S221" s="32" t="n">
        <f aca="false">IF($A221&gt;=Premissas!$C$25,Premissas!$C$45*(1+Premissas!$C$60)^((YEAR($A221)-YEAR(Premissas!$C$19))*12+MONTH($A221)-MONTH(Premissas!$C$19)),0)</f>
        <v>1519.36238653392</v>
      </c>
      <c r="T221" s="32" t="n">
        <f aca="false">IF($A221&gt;=Premissas!$C$27,Premissas!$C$46*(1+Premissas!$C$60)^((YEAR($A221)-YEAR(Premissas!$C$19))*12+MONTH($A221)-MONTH(Premissas!$C$19)),0)</f>
        <v>607.744954613566</v>
      </c>
      <c r="U221" s="32" t="n">
        <f aca="false">IF($A221&gt;=Premissas!$C$27,Premissas!$C$47*(1+Premissas!$C$60)^((YEAR($A221)-YEAR(Premissas!$C$19))*12+MONTH($A221)-MONTH(Premissas!$C$19)),0)</f>
        <v>303.872477306783</v>
      </c>
      <c r="V221" s="32" t="n">
        <f aca="false">IF($A221&gt;=Premissas!$C$27,MAX(0,P221-Q221-R221-S221)*Premissas!$C$49,0)</f>
        <v>1107.46932099412</v>
      </c>
      <c r="W221" s="32" t="n">
        <f aca="false">P221-Q221-R221-S221-T221-U221-V221</f>
        <v>2008.07441433687</v>
      </c>
      <c r="X221" s="32" t="n">
        <f aca="false">W221-F221-G221-H221-M221</f>
        <v>2008.07441433687</v>
      </c>
      <c r="Y221" s="32" t="n">
        <f aca="false">Y220+X221</f>
        <v>-606154.688985436</v>
      </c>
      <c r="Z221" s="32" t="n">
        <f aca="false">Premissas!$C$14*(1+Premissas!$C$57)^((YEAR(Premissas!$C$19)-YEAR(Premissas!$C$18))*12+MONTH(Premissas!$C$19)-MONTH(Premissas!$C$18))*(1+Premissas!$C$61)^((YEAR($A221)-YEAR(Premissas!$C$19))*12+MONTH($A221)-MONTH(Premissas!$C$19))</f>
        <v>1150891.11436213</v>
      </c>
      <c r="AA221" s="32" t="n">
        <f aca="false">IF($A221&gt;=Premissas!$C$25,Z221*(1-Premissas!$C$53)-N221-Premissas!$C$54*MAX(0,Z221*(1-Premissas!$C$53)-(Premissas!$C$14*(1+Premissas!$C$57)^((YEAR(Premissas!$C$25)-YEAR(Premissas!$C$18))*12+MONTH(Premissas!$C$25)-MONTH(Premissas!$C$18))*(1+Premissas!$C$34))),"")</f>
        <v>1000764.20988701</v>
      </c>
      <c r="AB221" s="32" t="n">
        <f aca="false">IF($A221&gt;=Premissas!$C$25,Y221+AA221,"")</f>
        <v>394609.520901574</v>
      </c>
      <c r="AC221" s="29" t="n">
        <f aca="false">IF(AND($A221&gt;=Premissas!$C$27,W221&gt;=M221),$A221,"")</f>
        <v>52963</v>
      </c>
      <c r="AD221" s="29" t="str">
        <f aca="false">IF(AND($A221&gt;=Premissas!$C$27,Y221&gt;=0),$A221,"")</f>
        <v/>
      </c>
      <c r="AE221" s="29" t="n">
        <f aca="false">IF(AND($A221&gt;=Premissas!$C$25,N(AB221)&gt;=0),$A221,"")</f>
        <v>52963</v>
      </c>
    </row>
    <row r="222" customFormat="false" ht="15" hidden="false" customHeight="false" outlineLevel="0" collapsed="false">
      <c r="A222" s="20" t="n">
        <f aca="false">DATE(YEAR(A221),MONTH(A221)+1,1)</f>
        <v>52994</v>
      </c>
      <c r="B222" s="5" t="str">
        <f aca="false">IF($A222&lt;Premissas!$C$25,"Obra",IF($A222=Premissas!$C$25,"Chaves",IF($A222&lt;Premissas!$C$27,"Mobiliando","Airbnb")))</f>
        <v>Airbnb</v>
      </c>
      <c r="C222" s="35" t="n">
        <f aca="false">(YEAR($A222)-YEAR(Premissas!$C$18))*12+MONTH($A222)-MONTH(Premissas!$C$18)</f>
        <v>221</v>
      </c>
      <c r="D222" s="16" t="n">
        <f aca="false">($A222=Premissas!$C$19)*Premissas!$C$8+(($A222=EDATE(Premissas!$C$19,1))+($A222=EDATE(Premissas!$C$19,2)))*Premissas!$C$9+AND($A222&gt;=Premissas!$C$20,$A222&lt;EDATE(Premissas!$C$20,Premissas!$C$21))*Premissas!$C$10+(($A222=Premissas!$C$22)+($A222=Premissas!$C$23)+($A222=Premissas!$C$24))*Premissas!$C$11+($A222=Premissas!$C$25)*Premissas!$C$12</f>
        <v>0</v>
      </c>
      <c r="E222" s="36" t="n">
        <f aca="false">(1+Premissas!$C$57)^C222</f>
        <v>2.68060484526651</v>
      </c>
      <c r="F222" s="16" t="n">
        <f aca="false">D222*E222</f>
        <v>0</v>
      </c>
      <c r="G222" s="16" t="n">
        <f aca="false">($A222=Premissas!$C$25)*Premissas!$C$34*Premissas!$C$14*(1+Premissas!$C$57)^C222</f>
        <v>0</v>
      </c>
      <c r="H222" s="16" t="n">
        <f aca="false">IF(AND($A222&gt;Premissas!$C$25,$A222&lt;Premissas!$C$27),Premissas!$C$35/MAX(1,Premissas!$C$26),0)</f>
        <v>0</v>
      </c>
      <c r="I222" s="35" t="n">
        <f aca="false">IF(AND($A222&gt;Premissas!$C$25,((YEAR($A222)-YEAR(Premissas!$C$25))*12+MONTH($A222)-MONTH(Premissas!$C$25))&lt;=Premissas!$C$32),((YEAR($A222)-YEAR(Premissas!$C$25))*12+MONTH($A222)-MONTH(Premissas!$C$25)),0)</f>
        <v>0</v>
      </c>
      <c r="J222" s="16" t="n">
        <f aca="false">IF(I222&gt;0,N221*(1+Premissas!$C$59),0)</f>
        <v>0</v>
      </c>
      <c r="K222" s="16" t="n">
        <f aca="false">J222*Premissas!$C$58</f>
        <v>0</v>
      </c>
      <c r="L222" s="16" t="n">
        <f aca="false">IF(I222&gt;0,J222/(Premissas!$C$32-I222+1),0)</f>
        <v>0</v>
      </c>
      <c r="M222" s="16" t="n">
        <f aca="false">K222+L222</f>
        <v>0</v>
      </c>
      <c r="N222" s="16" t="n">
        <f aca="false">IF($A222=Premissas!$C$25,Premissas!$C$13*E222,IF(I222&gt;0,J222-L222,0))</f>
        <v>0</v>
      </c>
      <c r="O222" s="37" t="n">
        <f aca="false">IF($A222&gt;=Premissas!$C$27,Premissas!$C$39*IF(((YEAR($A222)-YEAR(Premissas!$C$27))*12+MONTH($A222)-MONTH(Premissas!$C$27))&lt;Premissas!$C$41,Premissas!$C$42,1),0)</f>
        <v>0.62</v>
      </c>
      <c r="P222" s="16" t="n">
        <f aca="false">O222*Premissas!$C$38*Premissas!$C$40*(1+Premissas!$C$60)^((YEAR($A222)-YEAR(Premissas!$C$19))*12+MONTH($A222)-MONTH(Premissas!$C$19))</f>
        <v>8694.81473218153</v>
      </c>
      <c r="Q222" s="16" t="n">
        <f aca="false">P222*Premissas!$C$43</f>
        <v>1391.17035714904</v>
      </c>
      <c r="R222" s="16" t="n">
        <f aca="false">P222*Premissas!$C$44</f>
        <v>1738.96294643631</v>
      </c>
      <c r="S222" s="16" t="n">
        <f aca="false">IF($A222&gt;=Premissas!$C$25,Premissas!$C$45*(1+Premissas!$C$60)^((YEAR($A222)-YEAR(Premissas!$C$19))*12+MONTH($A222)-MONTH(Premissas!$C$19)),0)</f>
        <v>1524.33638362229</v>
      </c>
      <c r="T222" s="16" t="n">
        <f aca="false">IF($A222&gt;=Premissas!$C$27,Premissas!$C$46*(1+Premissas!$C$60)^((YEAR($A222)-YEAR(Premissas!$C$19))*12+MONTH($A222)-MONTH(Premissas!$C$19)),0)</f>
        <v>609.734553448915</v>
      </c>
      <c r="U222" s="16" t="n">
        <f aca="false">IF($A222&gt;=Premissas!$C$27,Premissas!$C$47*(1+Premissas!$C$60)^((YEAR($A222)-YEAR(Premissas!$C$19))*12+MONTH($A222)-MONTH(Premissas!$C$19)),0)</f>
        <v>304.867276724458</v>
      </c>
      <c r="V222" s="16" t="n">
        <f aca="false">IF($A222&gt;=Premissas!$C$27,MAX(0,P222-Q222-R222-S222)*Premissas!$C$49,0)</f>
        <v>1111.09488736782</v>
      </c>
      <c r="W222" s="16" t="n">
        <f aca="false">P222-Q222-R222-S222-T222-U222-V222</f>
        <v>2014.6483274327</v>
      </c>
      <c r="X222" s="16" t="n">
        <f aca="false">W222-F222-G222-H222-M222</f>
        <v>2014.6483274327</v>
      </c>
      <c r="Y222" s="16" t="n">
        <f aca="false">Y221+X222</f>
        <v>-604140.040658003</v>
      </c>
      <c r="Z222" s="16" t="n">
        <f aca="false">Premissas!$C$14*(1+Premissas!$C$57)^((YEAR(Premissas!$C$19)-YEAR(Premissas!$C$18))*12+MONTH(Premissas!$C$19)-MONTH(Premissas!$C$18))*(1+Premissas!$C$61)^((YEAR($A222)-YEAR(Premissas!$C$19))*12+MONTH($A222)-MONTH(Premissas!$C$19))</f>
        <v>1155579.98722355</v>
      </c>
      <c r="AA222" s="16" t="n">
        <f aca="false">IF($A222&gt;=Premissas!$C$25,Z222*(1-Premissas!$C$53)-N222-Premissas!$C$54*MAX(0,Z222*(1-Premissas!$C$53)-(Premissas!$C$14*(1+Premissas!$C$57)^((YEAR(Premissas!$C$25)-YEAR(Premissas!$C$18))*12+MONTH(Premissas!$C$25)-MONTH(Premissas!$C$18))*(1+Premissas!$C$34))),"")</f>
        <v>1004510.61930328</v>
      </c>
      <c r="AB222" s="16" t="n">
        <f aca="false">IF($A222&gt;=Premissas!$C$25,Y222+AA222,"")</f>
        <v>400370.578645275</v>
      </c>
      <c r="AC222" s="20" t="n">
        <f aca="false">IF(AND($A222&gt;=Premissas!$C$27,W222&gt;=M222),$A222,"")</f>
        <v>52994</v>
      </c>
      <c r="AD222" s="20" t="str">
        <f aca="false">IF(AND($A222&gt;=Premissas!$C$27,Y222&gt;=0),$A222,"")</f>
        <v/>
      </c>
      <c r="AE222" s="20" t="n">
        <f aca="false">IF(AND($A222&gt;=Premissas!$C$25,N(AB222)&gt;=0),$A222,"")</f>
        <v>52994</v>
      </c>
    </row>
    <row r="223" customFormat="false" ht="15" hidden="false" customHeight="false" outlineLevel="0" collapsed="false">
      <c r="A223" s="20" t="n">
        <f aca="false">DATE(YEAR(A222),MONTH(A222)+1,1)</f>
        <v>53022</v>
      </c>
      <c r="B223" s="5" t="str">
        <f aca="false">IF($A223&lt;Premissas!$C$25,"Obra",IF($A223=Premissas!$C$25,"Chaves",IF($A223&lt;Premissas!$C$27,"Mobiliando","Airbnb")))</f>
        <v>Airbnb</v>
      </c>
      <c r="C223" s="35" t="n">
        <f aca="false">(YEAR($A223)-YEAR(Premissas!$C$18))*12+MONTH($A223)-MONTH(Premissas!$C$18)</f>
        <v>222</v>
      </c>
      <c r="D223" s="16" t="n">
        <f aca="false">($A223=Premissas!$C$19)*Premissas!$C$8+(($A223=EDATE(Premissas!$C$19,1))+($A223=EDATE(Premissas!$C$19,2)))*Premissas!$C$9+AND($A223&gt;=Premissas!$C$20,$A223&lt;EDATE(Premissas!$C$20,Premissas!$C$21))*Premissas!$C$10+(($A223=Premissas!$C$22)+($A223=Premissas!$C$23)+($A223=Premissas!$C$24))*Premissas!$C$11+($A223=Premissas!$C$25)*Premissas!$C$12</f>
        <v>0</v>
      </c>
      <c r="E223" s="36" t="n">
        <f aca="false">(1+Premissas!$C$57)^C223</f>
        <v>2.6925917030501</v>
      </c>
      <c r="F223" s="16" t="n">
        <f aca="false">D223*E223</f>
        <v>0</v>
      </c>
      <c r="G223" s="16" t="n">
        <f aca="false">($A223=Premissas!$C$25)*Premissas!$C$34*Premissas!$C$14*(1+Premissas!$C$57)^C223</f>
        <v>0</v>
      </c>
      <c r="H223" s="16" t="n">
        <f aca="false">IF(AND($A223&gt;Premissas!$C$25,$A223&lt;Premissas!$C$27),Premissas!$C$35/MAX(1,Premissas!$C$26),0)</f>
        <v>0</v>
      </c>
      <c r="I223" s="35" t="n">
        <f aca="false">IF(AND($A223&gt;Premissas!$C$25,((YEAR($A223)-YEAR(Premissas!$C$25))*12+MONTH($A223)-MONTH(Premissas!$C$25))&lt;=Premissas!$C$32),((YEAR($A223)-YEAR(Premissas!$C$25))*12+MONTH($A223)-MONTH(Premissas!$C$25)),0)</f>
        <v>0</v>
      </c>
      <c r="J223" s="16" t="n">
        <f aca="false">IF(I223&gt;0,N222*(1+Premissas!$C$59),0)</f>
        <v>0</v>
      </c>
      <c r="K223" s="16" t="n">
        <f aca="false">J223*Premissas!$C$58</f>
        <v>0</v>
      </c>
      <c r="L223" s="16" t="n">
        <f aca="false">IF(I223&gt;0,J223/(Premissas!$C$32-I223+1),0)</f>
        <v>0</v>
      </c>
      <c r="M223" s="16" t="n">
        <f aca="false">K223+L223</f>
        <v>0</v>
      </c>
      <c r="N223" s="16" t="n">
        <f aca="false">IF($A223=Premissas!$C$25,Premissas!$C$13*E223,IF(I223&gt;0,J223-L223,0))</f>
        <v>0</v>
      </c>
      <c r="O223" s="37" t="n">
        <f aca="false">IF($A223&gt;=Premissas!$C$27,Premissas!$C$39*IF(((YEAR($A223)-YEAR(Premissas!$C$27))*12+MONTH($A223)-MONTH(Premissas!$C$27))&lt;Premissas!$C$41,Premissas!$C$42,1),0)</f>
        <v>0.62</v>
      </c>
      <c r="P223" s="16" t="n">
        <f aca="false">O223*Premissas!$C$38*Premissas!$C$40*(1+Premissas!$C$60)^((YEAR($A223)-YEAR(Premissas!$C$19))*12+MONTH($A223)-MONTH(Premissas!$C$19))</f>
        <v>8723.27929306912</v>
      </c>
      <c r="Q223" s="16" t="n">
        <f aca="false">P223*Premissas!$C$43</f>
        <v>1395.72468689106</v>
      </c>
      <c r="R223" s="16" t="n">
        <f aca="false">P223*Premissas!$C$44</f>
        <v>1744.65585861382</v>
      </c>
      <c r="S223" s="16" t="n">
        <f aca="false">IF($A223&gt;=Premissas!$C$25,Premissas!$C$45*(1+Premissas!$C$60)^((YEAR($A223)-YEAR(Premissas!$C$19))*12+MONTH($A223)-MONTH(Premissas!$C$19)),0)</f>
        <v>1529.32666428281</v>
      </c>
      <c r="T223" s="16" t="n">
        <f aca="false">IF($A223&gt;=Premissas!$C$27,Premissas!$C$46*(1+Premissas!$C$60)^((YEAR($A223)-YEAR(Premissas!$C$19))*12+MONTH($A223)-MONTH(Premissas!$C$19)),0)</f>
        <v>611.730665713122</v>
      </c>
      <c r="U223" s="16" t="n">
        <f aca="false">IF($A223&gt;=Premissas!$C$27,Premissas!$C$47*(1+Premissas!$C$60)^((YEAR($A223)-YEAR(Premissas!$C$19))*12+MONTH($A223)-MONTH(Premissas!$C$19)),0)</f>
        <v>305.865332856561</v>
      </c>
      <c r="V223" s="16" t="n">
        <f aca="false">IF($A223&gt;=Premissas!$C$27,MAX(0,P223-Q223-R223-S223)*Premissas!$C$49,0)</f>
        <v>1114.73232290239</v>
      </c>
      <c r="W223" s="16" t="n">
        <f aca="false">P223-Q223-R223-S223-T223-U223-V223</f>
        <v>2021.24376180935</v>
      </c>
      <c r="X223" s="16" t="n">
        <f aca="false">W223-F223-G223-H223-M223</f>
        <v>2021.24376180935</v>
      </c>
      <c r="Y223" s="16" t="n">
        <f aca="false">Y222+X223</f>
        <v>-602118.796896194</v>
      </c>
      <c r="Z223" s="16" t="n">
        <f aca="false">Premissas!$C$14*(1+Premissas!$C$57)^((YEAR(Premissas!$C$19)-YEAR(Premissas!$C$18))*12+MONTH(Premissas!$C$19)-MONTH(Premissas!$C$18))*(1+Premissas!$C$61)^((YEAR($A223)-YEAR(Premissas!$C$19))*12+MONTH($A223)-MONTH(Premissas!$C$19))</f>
        <v>1160287.9631334</v>
      </c>
      <c r="AA223" s="16" t="n">
        <f aca="false">IF($A223&gt;=Premissas!$C$25,Z223*(1-Premissas!$C$53)-N223-Premissas!$C$54*MAX(0,Z223*(1-Premissas!$C$53)-(Premissas!$C$14*(1+Premissas!$C$57)^((YEAR(Premissas!$C$25)-YEAR(Premissas!$C$18))*12+MONTH(Premissas!$C$25)-MONTH(Premissas!$C$18))*(1+Premissas!$C$34))),"")</f>
        <v>1008272.29205525</v>
      </c>
      <c r="AB223" s="16" t="n">
        <f aca="false">IF($A223&gt;=Premissas!$C$25,Y223+AA223,"")</f>
        <v>406153.495159059</v>
      </c>
      <c r="AC223" s="20" t="n">
        <f aca="false">IF(AND($A223&gt;=Premissas!$C$27,W223&gt;=M223),$A223,"")</f>
        <v>53022</v>
      </c>
      <c r="AD223" s="20" t="str">
        <f aca="false">IF(AND($A223&gt;=Premissas!$C$27,Y223&gt;=0),$A223,"")</f>
        <v/>
      </c>
      <c r="AE223" s="20" t="n">
        <f aca="false">IF(AND($A223&gt;=Premissas!$C$25,N(AB223)&gt;=0),$A223,"")</f>
        <v>53022</v>
      </c>
    </row>
    <row r="224" customFormat="false" ht="15" hidden="false" customHeight="false" outlineLevel="0" collapsed="false">
      <c r="A224" s="20" t="n">
        <f aca="false">DATE(YEAR(A223),MONTH(A223)+1,1)</f>
        <v>53053</v>
      </c>
      <c r="B224" s="5" t="str">
        <f aca="false">IF($A224&lt;Premissas!$C$25,"Obra",IF($A224=Premissas!$C$25,"Chaves",IF($A224&lt;Premissas!$C$27,"Mobiliando","Airbnb")))</f>
        <v>Airbnb</v>
      </c>
      <c r="C224" s="35" t="n">
        <f aca="false">(YEAR($A224)-YEAR(Premissas!$C$18))*12+MONTH($A224)-MONTH(Premissas!$C$18)</f>
        <v>223</v>
      </c>
      <c r="D224" s="16" t="n">
        <f aca="false">($A224=Premissas!$C$19)*Premissas!$C$8+(($A224=EDATE(Premissas!$C$19,1))+($A224=EDATE(Premissas!$C$19,2)))*Premissas!$C$9+AND($A224&gt;=Premissas!$C$20,$A224&lt;EDATE(Premissas!$C$20,Premissas!$C$21))*Premissas!$C$10+(($A224=Premissas!$C$22)+($A224=Premissas!$C$23)+($A224=Premissas!$C$24))*Premissas!$C$11+($A224=Premissas!$C$25)*Premissas!$C$12</f>
        <v>0</v>
      </c>
      <c r="E224" s="36" t="n">
        <f aca="false">(1+Premissas!$C$57)^C224</f>
        <v>2.70463216245267</v>
      </c>
      <c r="F224" s="16" t="n">
        <f aca="false">D224*E224</f>
        <v>0</v>
      </c>
      <c r="G224" s="16" t="n">
        <f aca="false">($A224=Premissas!$C$25)*Premissas!$C$34*Premissas!$C$14*(1+Premissas!$C$57)^C224</f>
        <v>0</v>
      </c>
      <c r="H224" s="16" t="n">
        <f aca="false">IF(AND($A224&gt;Premissas!$C$25,$A224&lt;Premissas!$C$27),Premissas!$C$35/MAX(1,Premissas!$C$26),0)</f>
        <v>0</v>
      </c>
      <c r="I224" s="35" t="n">
        <f aca="false">IF(AND($A224&gt;Premissas!$C$25,((YEAR($A224)-YEAR(Premissas!$C$25))*12+MONTH($A224)-MONTH(Premissas!$C$25))&lt;=Premissas!$C$32),((YEAR($A224)-YEAR(Premissas!$C$25))*12+MONTH($A224)-MONTH(Premissas!$C$25)),0)</f>
        <v>0</v>
      </c>
      <c r="J224" s="16" t="n">
        <f aca="false">IF(I224&gt;0,N223*(1+Premissas!$C$59),0)</f>
        <v>0</v>
      </c>
      <c r="K224" s="16" t="n">
        <f aca="false">J224*Premissas!$C$58</f>
        <v>0</v>
      </c>
      <c r="L224" s="16" t="n">
        <f aca="false">IF(I224&gt;0,J224/(Premissas!$C$32-I224+1),0)</f>
        <v>0</v>
      </c>
      <c r="M224" s="16" t="n">
        <f aca="false">K224+L224</f>
        <v>0</v>
      </c>
      <c r="N224" s="16" t="n">
        <f aca="false">IF($A224=Premissas!$C$25,Premissas!$C$13*E224,IF(I224&gt;0,J224-L224,0))</f>
        <v>0</v>
      </c>
      <c r="O224" s="37" t="n">
        <f aca="false">IF($A224&gt;=Premissas!$C$27,Premissas!$C$39*IF(((YEAR($A224)-YEAR(Premissas!$C$27))*12+MONTH($A224)-MONTH(Premissas!$C$27))&lt;Premissas!$C$41,Premissas!$C$42,1),0)</f>
        <v>0.62</v>
      </c>
      <c r="P224" s="16" t="n">
        <f aca="false">O224*Premissas!$C$38*Premissas!$C$40*(1+Premissas!$C$60)^((YEAR($A224)-YEAR(Premissas!$C$19))*12+MONTH($A224)-MONTH(Premissas!$C$19))</f>
        <v>8751.83703952207</v>
      </c>
      <c r="Q224" s="16" t="n">
        <f aca="false">P224*Premissas!$C$43</f>
        <v>1400.29392632353</v>
      </c>
      <c r="R224" s="16" t="n">
        <f aca="false">P224*Premissas!$C$44</f>
        <v>1750.36740790441</v>
      </c>
      <c r="S224" s="16" t="n">
        <f aca="false">IF($A224&gt;=Premissas!$C$25,Premissas!$C$45*(1+Premissas!$C$60)^((YEAR($A224)-YEAR(Premissas!$C$19))*12+MONTH($A224)-MONTH(Premissas!$C$19)),0)</f>
        <v>1534.33328182365</v>
      </c>
      <c r="T224" s="16" t="n">
        <f aca="false">IF($A224&gt;=Premissas!$C$27,Premissas!$C$46*(1+Premissas!$C$60)^((YEAR($A224)-YEAR(Premissas!$C$19))*12+MONTH($A224)-MONTH(Premissas!$C$19)),0)</f>
        <v>613.733312729458</v>
      </c>
      <c r="U224" s="16" t="n">
        <f aca="false">IF($A224&gt;=Premissas!$C$27,Premissas!$C$47*(1+Premissas!$C$60)^((YEAR($A224)-YEAR(Premissas!$C$19))*12+MONTH($A224)-MONTH(Premissas!$C$19)),0)</f>
        <v>306.866656364729</v>
      </c>
      <c r="V224" s="16" t="n">
        <f aca="false">IF($A224&gt;=Premissas!$C$27,MAX(0,P224-Q224-R224-S224)*Premissas!$C$49,0)</f>
        <v>1118.38166645438</v>
      </c>
      <c r="W224" s="16" t="n">
        <f aca="false">P224-Q224-R224-S224-T224-U224-V224</f>
        <v>2027.86078792191</v>
      </c>
      <c r="X224" s="16" t="n">
        <f aca="false">W224-F224-G224-H224-M224</f>
        <v>2027.86078792191</v>
      </c>
      <c r="Y224" s="16" t="n">
        <f aca="false">Y223+X224</f>
        <v>-600090.936108272</v>
      </c>
      <c r="Z224" s="16" t="n">
        <f aca="false">Premissas!$C$14*(1+Premissas!$C$57)^((YEAR(Premissas!$C$19)-YEAR(Premissas!$C$18))*12+MONTH(Premissas!$C$19)-MONTH(Premissas!$C$18))*(1+Premissas!$C$61)^((YEAR($A224)-YEAR(Premissas!$C$19))*12+MONTH($A224)-MONTH(Premissas!$C$19))</f>
        <v>1165015.11991988</v>
      </c>
      <c r="AA224" s="16" t="n">
        <f aca="false">IF($A224&gt;=Premissas!$C$25,Z224*(1-Premissas!$C$53)-N224-Premissas!$C$54*MAX(0,Z224*(1-Premissas!$C$53)-(Premissas!$C$14*(1+Premissas!$C$57)^((YEAR(Premissas!$C$25)-YEAR(Premissas!$C$18))*12+MONTH(Premissas!$C$25)-MONTH(Premissas!$C$18))*(1+Premissas!$C$34))),"")</f>
        <v>1012049.29032765</v>
      </c>
      <c r="AB224" s="16" t="n">
        <f aca="false">IF($A224&gt;=Premissas!$C$25,Y224+AA224,"")</f>
        <v>411958.354219381</v>
      </c>
      <c r="AC224" s="20" t="n">
        <f aca="false">IF(AND($A224&gt;=Premissas!$C$27,W224&gt;=M224),$A224,"")</f>
        <v>53053</v>
      </c>
      <c r="AD224" s="20" t="str">
        <f aca="false">IF(AND($A224&gt;=Premissas!$C$27,Y224&gt;=0),$A224,"")</f>
        <v/>
      </c>
      <c r="AE224" s="20" t="n">
        <f aca="false">IF(AND($A224&gt;=Premissas!$C$25,N(AB224)&gt;=0),$A224,"")</f>
        <v>53053</v>
      </c>
    </row>
    <row r="225" customFormat="false" ht="15" hidden="false" customHeight="false" outlineLevel="0" collapsed="false">
      <c r="A225" s="20" t="n">
        <f aca="false">DATE(YEAR(A224),MONTH(A224)+1,1)</f>
        <v>53083</v>
      </c>
      <c r="B225" s="5" t="str">
        <f aca="false">IF($A225&lt;Premissas!$C$25,"Obra",IF($A225=Premissas!$C$25,"Chaves",IF($A225&lt;Premissas!$C$27,"Mobiliando","Airbnb")))</f>
        <v>Airbnb</v>
      </c>
      <c r="C225" s="35" t="n">
        <f aca="false">(YEAR($A225)-YEAR(Premissas!$C$18))*12+MONTH($A225)-MONTH(Premissas!$C$18)</f>
        <v>224</v>
      </c>
      <c r="D225" s="16" t="n">
        <f aca="false">($A225=Premissas!$C$19)*Premissas!$C$8+(($A225=EDATE(Premissas!$C$19,1))+($A225=EDATE(Premissas!$C$19,2)))*Premissas!$C$9+AND($A225&gt;=Premissas!$C$20,$A225&lt;EDATE(Premissas!$C$20,Premissas!$C$21))*Premissas!$C$10+(($A225=Premissas!$C$22)+($A225=Premissas!$C$23)+($A225=Premissas!$C$24))*Premissas!$C$11+($A225=Premissas!$C$25)*Premissas!$C$12</f>
        <v>0</v>
      </c>
      <c r="E225" s="36" t="n">
        <f aca="false">(1+Premissas!$C$57)^C225</f>
        <v>2.71672646316451</v>
      </c>
      <c r="F225" s="16" t="n">
        <f aca="false">D225*E225</f>
        <v>0</v>
      </c>
      <c r="G225" s="16" t="n">
        <f aca="false">($A225=Premissas!$C$25)*Premissas!$C$34*Premissas!$C$14*(1+Premissas!$C$57)^C225</f>
        <v>0</v>
      </c>
      <c r="H225" s="16" t="n">
        <f aca="false">IF(AND($A225&gt;Premissas!$C$25,$A225&lt;Premissas!$C$27),Premissas!$C$35/MAX(1,Premissas!$C$26),0)</f>
        <v>0</v>
      </c>
      <c r="I225" s="35" t="n">
        <f aca="false">IF(AND($A225&gt;Premissas!$C$25,((YEAR($A225)-YEAR(Premissas!$C$25))*12+MONTH($A225)-MONTH(Premissas!$C$25))&lt;=Premissas!$C$32),((YEAR($A225)-YEAR(Premissas!$C$25))*12+MONTH($A225)-MONTH(Premissas!$C$25)),0)</f>
        <v>0</v>
      </c>
      <c r="J225" s="16" t="n">
        <f aca="false">IF(I225&gt;0,N224*(1+Premissas!$C$59),0)</f>
        <v>0</v>
      </c>
      <c r="K225" s="16" t="n">
        <f aca="false">J225*Premissas!$C$58</f>
        <v>0</v>
      </c>
      <c r="L225" s="16" t="n">
        <f aca="false">IF(I225&gt;0,J225/(Premissas!$C$32-I225+1),0)</f>
        <v>0</v>
      </c>
      <c r="M225" s="16" t="n">
        <f aca="false">K225+L225</f>
        <v>0</v>
      </c>
      <c r="N225" s="16" t="n">
        <f aca="false">IF($A225=Premissas!$C$25,Premissas!$C$13*E225,IF(I225&gt;0,J225-L225,0))</f>
        <v>0</v>
      </c>
      <c r="O225" s="37" t="n">
        <f aca="false">IF($A225&gt;=Premissas!$C$27,Premissas!$C$39*IF(((YEAR($A225)-YEAR(Premissas!$C$27))*12+MONTH($A225)-MONTH(Premissas!$C$27))&lt;Premissas!$C$41,Premissas!$C$42,1),0)</f>
        <v>0.62</v>
      </c>
      <c r="P225" s="16" t="n">
        <f aca="false">O225*Premissas!$C$38*Premissas!$C$40*(1+Premissas!$C$60)^((YEAR($A225)-YEAR(Premissas!$C$19))*12+MONTH($A225)-MONTH(Premissas!$C$19))</f>
        <v>8780.48827660568</v>
      </c>
      <c r="Q225" s="16" t="n">
        <f aca="false">P225*Premissas!$C$43</f>
        <v>1404.87812425691</v>
      </c>
      <c r="R225" s="16" t="n">
        <f aca="false">P225*Premissas!$C$44</f>
        <v>1756.09765532114</v>
      </c>
      <c r="S225" s="16" t="n">
        <f aca="false">IF($A225&gt;=Premissas!$C$25,Premissas!$C$45*(1+Premissas!$C$60)^((YEAR($A225)-YEAR(Premissas!$C$19))*12+MONTH($A225)-MONTH(Premissas!$C$19)),0)</f>
        <v>1539.3562897275</v>
      </c>
      <c r="T225" s="16" t="n">
        <f aca="false">IF($A225&gt;=Premissas!$C$27,Premissas!$C$46*(1+Premissas!$C$60)^((YEAR($A225)-YEAR(Premissas!$C$19))*12+MONTH($A225)-MONTH(Premissas!$C$19)),0)</f>
        <v>615.742515891001</v>
      </c>
      <c r="U225" s="16" t="n">
        <f aca="false">IF($A225&gt;=Premissas!$C$27,Premissas!$C$47*(1+Premissas!$C$60)^((YEAR($A225)-YEAR(Premissas!$C$19))*12+MONTH($A225)-MONTH(Premissas!$C$19)),0)</f>
        <v>307.871257945501</v>
      </c>
      <c r="V225" s="16" t="n">
        <f aca="false">IF($A225&gt;=Premissas!$C$27,MAX(0,P225-Q225-R225-S225)*Premissas!$C$49,0)</f>
        <v>1122.04295700754</v>
      </c>
      <c r="W225" s="16" t="n">
        <f aca="false">P225-Q225-R225-S225-T225-U225-V225</f>
        <v>2034.49947645609</v>
      </c>
      <c r="X225" s="16" t="n">
        <f aca="false">W225-F225-G225-H225-M225</f>
        <v>2034.49947645609</v>
      </c>
      <c r="Y225" s="16" t="n">
        <f aca="false">Y224+X225</f>
        <v>-598056.436631816</v>
      </c>
      <c r="Z225" s="16" t="n">
        <f aca="false">Premissas!$C$14*(1+Premissas!$C$57)^((YEAR(Premissas!$C$19)-YEAR(Premissas!$C$18))*12+MONTH(Premissas!$C$19)-MONTH(Premissas!$C$18))*(1+Premissas!$C$61)^((YEAR($A225)-YEAR(Premissas!$C$19))*12+MONTH($A225)-MONTH(Premissas!$C$19))</f>
        <v>1169761.53572826</v>
      </c>
      <c r="AA225" s="16" t="n">
        <f aca="false">IF($A225&gt;=Premissas!$C$25,Z225*(1-Premissas!$C$53)-N225-Premissas!$C$54*MAX(0,Z225*(1-Premissas!$C$53)-(Premissas!$C$14*(1+Premissas!$C$57)^((YEAR(Premissas!$C$25)-YEAR(Premissas!$C$18))*12+MONTH(Premissas!$C$25)-MONTH(Premissas!$C$18))*(1+Premissas!$C$34))),"")</f>
        <v>1015841.67655854</v>
      </c>
      <c r="AB225" s="16" t="n">
        <f aca="false">IF($A225&gt;=Premissas!$C$25,Y225+AA225,"")</f>
        <v>417785.239926729</v>
      </c>
      <c r="AC225" s="20" t="n">
        <f aca="false">IF(AND($A225&gt;=Premissas!$C$27,W225&gt;=M225),$A225,"")</f>
        <v>53083</v>
      </c>
      <c r="AD225" s="20" t="str">
        <f aca="false">IF(AND($A225&gt;=Premissas!$C$27,Y225&gt;=0),$A225,"")</f>
        <v/>
      </c>
      <c r="AE225" s="20" t="n">
        <f aca="false">IF(AND($A225&gt;=Premissas!$C$25,N(AB225)&gt;=0),$A225,"")</f>
        <v>53083</v>
      </c>
    </row>
    <row r="226" customFormat="false" ht="15" hidden="false" customHeight="false" outlineLevel="0" collapsed="false">
      <c r="A226" s="20" t="n">
        <f aca="false">DATE(YEAR(A225),MONTH(A225)+1,1)</f>
        <v>53114</v>
      </c>
      <c r="B226" s="5" t="str">
        <f aca="false">IF($A226&lt;Premissas!$C$25,"Obra",IF($A226=Premissas!$C$25,"Chaves",IF($A226&lt;Premissas!$C$27,"Mobiliando","Airbnb")))</f>
        <v>Airbnb</v>
      </c>
      <c r="C226" s="35" t="n">
        <f aca="false">(YEAR($A226)-YEAR(Premissas!$C$18))*12+MONTH($A226)-MONTH(Premissas!$C$18)</f>
        <v>225</v>
      </c>
      <c r="D226" s="16" t="n">
        <f aca="false">($A226=Premissas!$C$19)*Premissas!$C$8+(($A226=EDATE(Premissas!$C$19,1))+($A226=EDATE(Premissas!$C$19,2)))*Premissas!$C$9+AND($A226&gt;=Premissas!$C$20,$A226&lt;EDATE(Premissas!$C$20,Premissas!$C$21))*Premissas!$C$10+(($A226=Premissas!$C$22)+($A226=Premissas!$C$23)+($A226=Premissas!$C$24))*Premissas!$C$11+($A226=Premissas!$C$25)*Premissas!$C$12</f>
        <v>0</v>
      </c>
      <c r="E226" s="36" t="n">
        <f aca="false">(1+Premissas!$C$57)^C226</f>
        <v>2.72887484594775</v>
      </c>
      <c r="F226" s="16" t="n">
        <f aca="false">D226*E226</f>
        <v>0</v>
      </c>
      <c r="G226" s="16" t="n">
        <f aca="false">($A226=Premissas!$C$25)*Premissas!$C$34*Premissas!$C$14*(1+Premissas!$C$57)^C226</f>
        <v>0</v>
      </c>
      <c r="H226" s="16" t="n">
        <f aca="false">IF(AND($A226&gt;Premissas!$C$25,$A226&lt;Premissas!$C$27),Premissas!$C$35/MAX(1,Premissas!$C$26),0)</f>
        <v>0</v>
      </c>
      <c r="I226" s="35" t="n">
        <f aca="false">IF(AND($A226&gt;Premissas!$C$25,((YEAR($A226)-YEAR(Premissas!$C$25))*12+MONTH($A226)-MONTH(Premissas!$C$25))&lt;=Premissas!$C$32),((YEAR($A226)-YEAR(Premissas!$C$25))*12+MONTH($A226)-MONTH(Premissas!$C$25)),0)</f>
        <v>0</v>
      </c>
      <c r="J226" s="16" t="n">
        <f aca="false">IF(I226&gt;0,N225*(1+Premissas!$C$59),0)</f>
        <v>0</v>
      </c>
      <c r="K226" s="16" t="n">
        <f aca="false">J226*Premissas!$C$58</f>
        <v>0</v>
      </c>
      <c r="L226" s="16" t="n">
        <f aca="false">IF(I226&gt;0,J226/(Premissas!$C$32-I226+1),0)</f>
        <v>0</v>
      </c>
      <c r="M226" s="16" t="n">
        <f aca="false">K226+L226</f>
        <v>0</v>
      </c>
      <c r="N226" s="16" t="n">
        <f aca="false">IF($A226=Premissas!$C$25,Premissas!$C$13*E226,IF(I226&gt;0,J226-L226,0))</f>
        <v>0</v>
      </c>
      <c r="O226" s="37" t="n">
        <f aca="false">IF($A226&gt;=Premissas!$C$27,Premissas!$C$39*IF(((YEAR($A226)-YEAR(Premissas!$C$27))*12+MONTH($A226)-MONTH(Premissas!$C$27))&lt;Premissas!$C$41,Premissas!$C$42,1),0)</f>
        <v>0.62</v>
      </c>
      <c r="P226" s="16" t="n">
        <f aca="false">O226*Premissas!$C$38*Premissas!$C$40*(1+Premissas!$C$60)^((YEAR($A226)-YEAR(Premissas!$C$19))*12+MONTH($A226)-MONTH(Premissas!$C$19))</f>
        <v>8809.23331038393</v>
      </c>
      <c r="Q226" s="16" t="n">
        <f aca="false">P226*Premissas!$C$43</f>
        <v>1409.47732966143</v>
      </c>
      <c r="R226" s="16" t="n">
        <f aca="false">P226*Premissas!$C$44</f>
        <v>1761.84666207679</v>
      </c>
      <c r="S226" s="16" t="n">
        <f aca="false">IF($A226&gt;=Premissas!$C$25,Premissas!$C$45*(1+Premissas!$C$60)^((YEAR($A226)-YEAR(Premissas!$C$19))*12+MONTH($A226)-MONTH(Premissas!$C$19)),0)</f>
        <v>1544.39574165216</v>
      </c>
      <c r="T226" s="16" t="n">
        <f aca="false">IF($A226&gt;=Premissas!$C$27,Premissas!$C$46*(1+Premissas!$C$60)^((YEAR($A226)-YEAR(Premissas!$C$19))*12+MONTH($A226)-MONTH(Premissas!$C$19)),0)</f>
        <v>617.758296660865</v>
      </c>
      <c r="U226" s="16" t="n">
        <f aca="false">IF($A226&gt;=Premissas!$C$27,Premissas!$C$47*(1+Premissas!$C$60)^((YEAR($A226)-YEAR(Premissas!$C$19))*12+MONTH($A226)-MONTH(Premissas!$C$19)),0)</f>
        <v>308.879148330433</v>
      </c>
      <c r="V226" s="16" t="n">
        <f aca="false">IF($A226&gt;=Premissas!$C$27,MAX(0,P226-Q226-R226-S226)*Premissas!$C$49,0)</f>
        <v>1125.71623367323</v>
      </c>
      <c r="W226" s="16" t="n">
        <f aca="false">P226-Q226-R226-S226-T226-U226-V226</f>
        <v>2041.15989832903</v>
      </c>
      <c r="X226" s="16" t="n">
        <f aca="false">W226-F226-G226-H226-M226</f>
        <v>2041.15989832903</v>
      </c>
      <c r="Y226" s="16" t="n">
        <f aca="false">Y225+X226</f>
        <v>-596015.276733487</v>
      </c>
      <c r="Z226" s="16" t="n">
        <f aca="false">Premissas!$C$14*(1+Premissas!$C$57)^((YEAR(Premissas!$C$19)-YEAR(Premissas!$C$18))*12+MONTH(Premissas!$C$19)-MONTH(Premissas!$C$18))*(1+Premissas!$C$61)^((YEAR($A226)-YEAR(Premissas!$C$19))*12+MONTH($A226)-MONTH(Premissas!$C$19))</f>
        <v>1174527.28902217</v>
      </c>
      <c r="AA226" s="16" t="n">
        <f aca="false">IF($A226&gt;=Premissas!$C$25,Z226*(1-Premissas!$C$53)-N226-Premissas!$C$54*MAX(0,Z226*(1-Premissas!$C$53)-(Premissas!$C$14*(1+Premissas!$C$57)^((YEAR(Premissas!$C$25)-YEAR(Premissas!$C$18))*12+MONTH(Premissas!$C$25)-MONTH(Premissas!$C$18))*(1+Premissas!$C$34))),"")</f>
        <v>1019649.51344038</v>
      </c>
      <c r="AB226" s="16" t="n">
        <f aca="false">IF($A226&gt;=Premissas!$C$25,Y226+AA226,"")</f>
        <v>423634.23670689</v>
      </c>
      <c r="AC226" s="20" t="n">
        <f aca="false">IF(AND($A226&gt;=Premissas!$C$27,W226&gt;=M226),$A226,"")</f>
        <v>53114</v>
      </c>
      <c r="AD226" s="20" t="str">
        <f aca="false">IF(AND($A226&gt;=Premissas!$C$27,Y226&gt;=0),$A226,"")</f>
        <v/>
      </c>
      <c r="AE226" s="20" t="n">
        <f aca="false">IF(AND($A226&gt;=Premissas!$C$25,N(AB226)&gt;=0),$A226,"")</f>
        <v>53114</v>
      </c>
    </row>
    <row r="227" customFormat="false" ht="15" hidden="false" customHeight="false" outlineLevel="0" collapsed="false">
      <c r="A227" s="20" t="n">
        <f aca="false">DATE(YEAR(A226),MONTH(A226)+1,1)</f>
        <v>53144</v>
      </c>
      <c r="B227" s="5" t="str">
        <f aca="false">IF($A227&lt;Premissas!$C$25,"Obra",IF($A227=Premissas!$C$25,"Chaves",IF($A227&lt;Premissas!$C$27,"Mobiliando","Airbnb")))</f>
        <v>Airbnb</v>
      </c>
      <c r="C227" s="35" t="n">
        <f aca="false">(YEAR($A227)-YEAR(Premissas!$C$18))*12+MONTH($A227)-MONTH(Premissas!$C$18)</f>
        <v>226</v>
      </c>
      <c r="D227" s="16" t="n">
        <f aca="false">($A227=Premissas!$C$19)*Premissas!$C$8+(($A227=EDATE(Premissas!$C$19,1))+($A227=EDATE(Premissas!$C$19,2)))*Premissas!$C$9+AND($A227&gt;=Premissas!$C$20,$A227&lt;EDATE(Premissas!$C$20,Premissas!$C$21))*Premissas!$C$10+(($A227=Premissas!$C$22)+($A227=Premissas!$C$23)+($A227=Premissas!$C$24))*Premissas!$C$11+($A227=Premissas!$C$25)*Premissas!$C$12</f>
        <v>0</v>
      </c>
      <c r="E227" s="36" t="n">
        <f aca="false">(1+Premissas!$C$57)^C227</f>
        <v>2.74107755264112</v>
      </c>
      <c r="F227" s="16" t="n">
        <f aca="false">D227*E227</f>
        <v>0</v>
      </c>
      <c r="G227" s="16" t="n">
        <f aca="false">($A227=Premissas!$C$25)*Premissas!$C$34*Premissas!$C$14*(1+Premissas!$C$57)^C227</f>
        <v>0</v>
      </c>
      <c r="H227" s="16" t="n">
        <f aca="false">IF(AND($A227&gt;Premissas!$C$25,$A227&lt;Premissas!$C$27),Premissas!$C$35/MAX(1,Premissas!$C$26),0)</f>
        <v>0</v>
      </c>
      <c r="I227" s="35" t="n">
        <f aca="false">IF(AND($A227&gt;Premissas!$C$25,((YEAR($A227)-YEAR(Premissas!$C$25))*12+MONTH($A227)-MONTH(Premissas!$C$25))&lt;=Premissas!$C$32),((YEAR($A227)-YEAR(Premissas!$C$25))*12+MONTH($A227)-MONTH(Premissas!$C$25)),0)</f>
        <v>0</v>
      </c>
      <c r="J227" s="16" t="n">
        <f aca="false">IF(I227&gt;0,N226*(1+Premissas!$C$59),0)</f>
        <v>0</v>
      </c>
      <c r="K227" s="16" t="n">
        <f aca="false">J227*Premissas!$C$58</f>
        <v>0</v>
      </c>
      <c r="L227" s="16" t="n">
        <f aca="false">IF(I227&gt;0,J227/(Premissas!$C$32-I227+1),0)</f>
        <v>0</v>
      </c>
      <c r="M227" s="16" t="n">
        <f aca="false">K227+L227</f>
        <v>0</v>
      </c>
      <c r="N227" s="16" t="n">
        <f aca="false">IF($A227=Premissas!$C$25,Premissas!$C$13*E227,IF(I227&gt;0,J227-L227,0))</f>
        <v>0</v>
      </c>
      <c r="O227" s="37" t="n">
        <f aca="false">IF($A227&gt;=Premissas!$C$27,Premissas!$C$39*IF(((YEAR($A227)-YEAR(Premissas!$C$27))*12+MONTH($A227)-MONTH(Premissas!$C$27))&lt;Premissas!$C$41,Premissas!$C$42,1),0)</f>
        <v>0.62</v>
      </c>
      <c r="P227" s="16" t="n">
        <f aca="false">O227*Premissas!$C$38*Premissas!$C$40*(1+Premissas!$C$60)^((YEAR($A227)-YEAR(Premissas!$C$19))*12+MONTH($A227)-MONTH(Premissas!$C$19))</f>
        <v>8838.07244792281</v>
      </c>
      <c r="Q227" s="16" t="n">
        <f aca="false">P227*Premissas!$C$43</f>
        <v>1414.09159166765</v>
      </c>
      <c r="R227" s="16" t="n">
        <f aca="false">P227*Premissas!$C$44</f>
        <v>1767.61448958456</v>
      </c>
      <c r="S227" s="16" t="n">
        <f aca="false">IF($A227&gt;=Premissas!$C$25,Premissas!$C$45*(1+Premissas!$C$60)^((YEAR($A227)-YEAR(Premissas!$C$19))*12+MONTH($A227)-MONTH(Premissas!$C$19)),0)</f>
        <v>1549.45169143107</v>
      </c>
      <c r="T227" s="16" t="n">
        <f aca="false">IF($A227&gt;=Premissas!$C$27,Premissas!$C$46*(1+Premissas!$C$60)^((YEAR($A227)-YEAR(Premissas!$C$19))*12+MONTH($A227)-MONTH(Premissas!$C$19)),0)</f>
        <v>619.780676572427</v>
      </c>
      <c r="U227" s="16" t="n">
        <f aca="false">IF($A227&gt;=Premissas!$C$27,Premissas!$C$47*(1+Premissas!$C$60)^((YEAR($A227)-YEAR(Premissas!$C$19))*12+MONTH($A227)-MONTH(Premissas!$C$19)),0)</f>
        <v>309.890338286214</v>
      </c>
      <c r="V227" s="16" t="n">
        <f aca="false">IF($A227&gt;=Premissas!$C$27,MAX(0,P227-Q227-R227-S227)*Premissas!$C$49,0)</f>
        <v>1129.40153569087</v>
      </c>
      <c r="W227" s="16" t="n">
        <f aca="false">P227-Q227-R227-S227-T227-U227-V227</f>
        <v>2047.84212469002</v>
      </c>
      <c r="X227" s="16" t="n">
        <f aca="false">W227-F227-G227-H227-M227</f>
        <v>2047.84212469002</v>
      </c>
      <c r="Y227" s="16" t="n">
        <f aca="false">Y226+X227</f>
        <v>-593967.434608797</v>
      </c>
      <c r="Z227" s="16" t="n">
        <f aca="false">Premissas!$C$14*(1+Premissas!$C$57)^((YEAR(Premissas!$C$19)-YEAR(Premissas!$C$18))*12+MONTH(Premissas!$C$19)-MONTH(Premissas!$C$18))*(1+Premissas!$C$61)^((YEAR($A227)-YEAR(Premissas!$C$19))*12+MONTH($A227)-MONTH(Premissas!$C$19))</f>
        <v>1179312.45858492</v>
      </c>
      <c r="AA227" s="16" t="n">
        <f aca="false">IF($A227&gt;=Premissas!$C$25,Z227*(1-Premissas!$C$53)-N227-Premissas!$C$54*MAX(0,Z227*(1-Premissas!$C$53)-(Premissas!$C$14*(1+Premissas!$C$57)^((YEAR(Premissas!$C$25)-YEAR(Premissas!$C$18))*12+MONTH(Premissas!$C$25)-MONTH(Premissas!$C$18))*(1+Premissas!$C$34))),"")</f>
        <v>1023472.86392101</v>
      </c>
      <c r="AB227" s="16" t="n">
        <f aca="false">IF($A227&gt;=Premissas!$C$25,Y227+AA227,"")</f>
        <v>429505.429312217</v>
      </c>
      <c r="AC227" s="20" t="n">
        <f aca="false">IF(AND($A227&gt;=Premissas!$C$27,W227&gt;=M227),$A227,"")</f>
        <v>53144</v>
      </c>
      <c r="AD227" s="20" t="str">
        <f aca="false">IF(AND($A227&gt;=Premissas!$C$27,Y227&gt;=0),$A227,"")</f>
        <v/>
      </c>
      <c r="AE227" s="20" t="n">
        <f aca="false">IF(AND($A227&gt;=Premissas!$C$25,N(AB227)&gt;=0),$A227,"")</f>
        <v>53144</v>
      </c>
    </row>
    <row r="228" customFormat="false" ht="15" hidden="false" customHeight="false" outlineLevel="0" collapsed="false">
      <c r="A228" s="20" t="n">
        <f aca="false">DATE(YEAR(A227),MONTH(A227)+1,1)</f>
        <v>53175</v>
      </c>
      <c r="B228" s="5" t="str">
        <f aca="false">IF($A228&lt;Premissas!$C$25,"Obra",IF($A228=Premissas!$C$25,"Chaves",IF($A228&lt;Premissas!$C$27,"Mobiliando","Airbnb")))</f>
        <v>Airbnb</v>
      </c>
      <c r="C228" s="35" t="n">
        <f aca="false">(YEAR($A228)-YEAR(Premissas!$C$18))*12+MONTH($A228)-MONTH(Premissas!$C$18)</f>
        <v>227</v>
      </c>
      <c r="D228" s="16" t="n">
        <f aca="false">($A228=Premissas!$C$19)*Premissas!$C$8+(($A228=EDATE(Premissas!$C$19,1))+($A228=EDATE(Premissas!$C$19,2)))*Premissas!$C$9+AND($A228&gt;=Premissas!$C$20,$A228&lt;EDATE(Premissas!$C$20,Premissas!$C$21))*Premissas!$C$10+(($A228=Premissas!$C$22)+($A228=Premissas!$C$23)+($A228=Premissas!$C$24))*Premissas!$C$11+($A228=Premissas!$C$25)*Premissas!$C$12</f>
        <v>0</v>
      </c>
      <c r="E228" s="36" t="n">
        <f aca="false">(1+Premissas!$C$57)^C228</f>
        <v>2.75333482616479</v>
      </c>
      <c r="F228" s="16" t="n">
        <f aca="false">D228*E228</f>
        <v>0</v>
      </c>
      <c r="G228" s="16" t="n">
        <f aca="false">($A228=Premissas!$C$25)*Premissas!$C$34*Premissas!$C$14*(1+Premissas!$C$57)^C228</f>
        <v>0</v>
      </c>
      <c r="H228" s="16" t="n">
        <f aca="false">IF(AND($A228&gt;Premissas!$C$25,$A228&lt;Premissas!$C$27),Premissas!$C$35/MAX(1,Premissas!$C$26),0)</f>
        <v>0</v>
      </c>
      <c r="I228" s="35" t="n">
        <f aca="false">IF(AND($A228&gt;Premissas!$C$25,((YEAR($A228)-YEAR(Premissas!$C$25))*12+MONTH($A228)-MONTH(Premissas!$C$25))&lt;=Premissas!$C$32),((YEAR($A228)-YEAR(Premissas!$C$25))*12+MONTH($A228)-MONTH(Premissas!$C$25)),0)</f>
        <v>0</v>
      </c>
      <c r="J228" s="16" t="n">
        <f aca="false">IF(I228&gt;0,N227*(1+Premissas!$C$59),0)</f>
        <v>0</v>
      </c>
      <c r="K228" s="16" t="n">
        <f aca="false">J228*Premissas!$C$58</f>
        <v>0</v>
      </c>
      <c r="L228" s="16" t="n">
        <f aca="false">IF(I228&gt;0,J228/(Premissas!$C$32-I228+1),0)</f>
        <v>0</v>
      </c>
      <c r="M228" s="16" t="n">
        <f aca="false">K228+L228</f>
        <v>0</v>
      </c>
      <c r="N228" s="16" t="n">
        <f aca="false">IF($A228=Premissas!$C$25,Premissas!$C$13*E228,IF(I228&gt;0,J228-L228,0))</f>
        <v>0</v>
      </c>
      <c r="O228" s="37" t="n">
        <f aca="false">IF($A228&gt;=Premissas!$C$27,Premissas!$C$39*IF(((YEAR($A228)-YEAR(Premissas!$C$27))*12+MONTH($A228)-MONTH(Premissas!$C$27))&lt;Premissas!$C$41,Premissas!$C$42,1),0)</f>
        <v>0.62</v>
      </c>
      <c r="P228" s="16" t="n">
        <f aca="false">O228*Premissas!$C$38*Premissas!$C$40*(1+Premissas!$C$60)^((YEAR($A228)-YEAR(Premissas!$C$19))*12+MONTH($A228)-MONTH(Premissas!$C$19))</f>
        <v>8867.00599729353</v>
      </c>
      <c r="Q228" s="16" t="n">
        <f aca="false">P228*Premissas!$C$43</f>
        <v>1418.72095956697</v>
      </c>
      <c r="R228" s="16" t="n">
        <f aca="false">P228*Premissas!$C$44</f>
        <v>1773.40119945871</v>
      </c>
      <c r="S228" s="16" t="n">
        <f aca="false">IF($A228&gt;=Premissas!$C$25,Premissas!$C$45*(1+Premissas!$C$60)^((YEAR($A228)-YEAR(Premissas!$C$19))*12+MONTH($A228)-MONTH(Premissas!$C$19)),0)</f>
        <v>1554.5241930739</v>
      </c>
      <c r="T228" s="16" t="n">
        <f aca="false">IF($A228&gt;=Premissas!$C$27,Premissas!$C$46*(1+Premissas!$C$60)^((YEAR($A228)-YEAR(Premissas!$C$19))*12+MONTH($A228)-MONTH(Premissas!$C$19)),0)</f>
        <v>621.80967722956</v>
      </c>
      <c r="U228" s="16" t="n">
        <f aca="false">IF($A228&gt;=Premissas!$C$27,Premissas!$C$47*(1+Premissas!$C$60)^((YEAR($A228)-YEAR(Premissas!$C$19))*12+MONTH($A228)-MONTH(Premissas!$C$19)),0)</f>
        <v>310.90483861478</v>
      </c>
      <c r="V228" s="16" t="n">
        <f aca="false">IF($A228&gt;=Premissas!$C$27,MAX(0,P228-Q228-R228-S228)*Premissas!$C$49,0)</f>
        <v>1133.09890242834</v>
      </c>
      <c r="W228" s="16" t="n">
        <f aca="false">P228-Q228-R228-S228-T228-U228-V228</f>
        <v>2054.54622692128</v>
      </c>
      <c r="X228" s="16" t="n">
        <f aca="false">W228-F228-G228-H228-M228</f>
        <v>2054.54622692128</v>
      </c>
      <c r="Y228" s="16" t="n">
        <f aca="false">Y227+X228</f>
        <v>-591912.888381876</v>
      </c>
      <c r="Z228" s="16" t="n">
        <f aca="false">Premissas!$C$14*(1+Premissas!$C$57)^((YEAR(Premissas!$C$19)-YEAR(Premissas!$C$18))*12+MONTH(Premissas!$C$19)-MONTH(Premissas!$C$18))*(1+Premissas!$C$61)^((YEAR($A228)-YEAR(Premissas!$C$19))*12+MONTH($A228)-MONTH(Premissas!$C$19))</f>
        <v>1184117.12352079</v>
      </c>
      <c r="AA228" s="16" t="n">
        <f aca="false">IF($A228&gt;=Premissas!$C$25,Z228*(1-Premissas!$C$53)-N228-Premissas!$C$54*MAX(0,Z228*(1-Premissas!$C$53)-(Premissas!$C$14*(1+Premissas!$C$57)^((YEAR(Premissas!$C$25)-YEAR(Premissas!$C$18))*12+MONTH(Premissas!$C$25)-MONTH(Premissas!$C$18))*(1+Premissas!$C$34))),"")</f>
        <v>1027311.79120478</v>
      </c>
      <c r="AB228" s="16" t="n">
        <f aca="false">IF($A228&gt;=Premissas!$C$25,Y228+AA228,"")</f>
        <v>435398.902822901</v>
      </c>
      <c r="AC228" s="20" t="n">
        <f aca="false">IF(AND($A228&gt;=Premissas!$C$27,W228&gt;=M228),$A228,"")</f>
        <v>53175</v>
      </c>
      <c r="AD228" s="20" t="str">
        <f aca="false">IF(AND($A228&gt;=Premissas!$C$27,Y228&gt;=0),$A228,"")</f>
        <v/>
      </c>
      <c r="AE228" s="20" t="n">
        <f aca="false">IF(AND($A228&gt;=Premissas!$C$25,N(AB228)&gt;=0),$A228,"")</f>
        <v>53175</v>
      </c>
    </row>
    <row r="229" customFormat="false" ht="15" hidden="false" customHeight="false" outlineLevel="0" collapsed="false">
      <c r="A229" s="20" t="n">
        <f aca="false">DATE(YEAR(A228),MONTH(A228)+1,1)</f>
        <v>53206</v>
      </c>
      <c r="B229" s="5" t="str">
        <f aca="false">IF($A229&lt;Premissas!$C$25,"Obra",IF($A229=Premissas!$C$25,"Chaves",IF($A229&lt;Premissas!$C$27,"Mobiliando","Airbnb")))</f>
        <v>Airbnb</v>
      </c>
      <c r="C229" s="35" t="n">
        <f aca="false">(YEAR($A229)-YEAR(Premissas!$C$18))*12+MONTH($A229)-MONTH(Premissas!$C$18)</f>
        <v>228</v>
      </c>
      <c r="D229" s="16" t="n">
        <f aca="false">($A229=Premissas!$C$19)*Premissas!$C$8+(($A229=EDATE(Premissas!$C$19,1))+($A229=EDATE(Premissas!$C$19,2)))*Premissas!$C$9+AND($A229&gt;=Premissas!$C$20,$A229&lt;EDATE(Premissas!$C$20,Premissas!$C$21))*Premissas!$C$10+(($A229=Premissas!$C$22)+($A229=Premissas!$C$23)+($A229=Premissas!$C$24))*Premissas!$C$11+($A229=Premissas!$C$25)*Premissas!$C$12</f>
        <v>0</v>
      </c>
      <c r="E229" s="36" t="n">
        <f aca="false">(1+Premissas!$C$57)^C229</f>
        <v>2.76564691052521</v>
      </c>
      <c r="F229" s="16" t="n">
        <f aca="false">D229*E229</f>
        <v>0</v>
      </c>
      <c r="G229" s="16" t="n">
        <f aca="false">($A229=Premissas!$C$25)*Premissas!$C$34*Premissas!$C$14*(1+Premissas!$C$57)^C229</f>
        <v>0</v>
      </c>
      <c r="H229" s="16" t="n">
        <f aca="false">IF(AND($A229&gt;Premissas!$C$25,$A229&lt;Premissas!$C$27),Premissas!$C$35/MAX(1,Premissas!$C$26),0)</f>
        <v>0</v>
      </c>
      <c r="I229" s="35" t="n">
        <f aca="false">IF(AND($A229&gt;Premissas!$C$25,((YEAR($A229)-YEAR(Premissas!$C$25))*12+MONTH($A229)-MONTH(Premissas!$C$25))&lt;=Premissas!$C$32),((YEAR($A229)-YEAR(Premissas!$C$25))*12+MONTH($A229)-MONTH(Premissas!$C$25)),0)</f>
        <v>0</v>
      </c>
      <c r="J229" s="16" t="n">
        <f aca="false">IF(I229&gt;0,N228*(1+Premissas!$C$59),0)</f>
        <v>0</v>
      </c>
      <c r="K229" s="16" t="n">
        <f aca="false">J229*Premissas!$C$58</f>
        <v>0</v>
      </c>
      <c r="L229" s="16" t="n">
        <f aca="false">IF(I229&gt;0,J229/(Premissas!$C$32-I229+1),0)</f>
        <v>0</v>
      </c>
      <c r="M229" s="16" t="n">
        <f aca="false">K229+L229</f>
        <v>0</v>
      </c>
      <c r="N229" s="16" t="n">
        <f aca="false">IF($A229=Premissas!$C$25,Premissas!$C$13*E229,IF(I229&gt;0,J229-L229,0))</f>
        <v>0</v>
      </c>
      <c r="O229" s="37" t="n">
        <f aca="false">IF($A229&gt;=Premissas!$C$27,Premissas!$C$39*IF(((YEAR($A229)-YEAR(Premissas!$C$27))*12+MONTH($A229)-MONTH(Premissas!$C$27))&lt;Premissas!$C$41,Premissas!$C$42,1),0)</f>
        <v>0.62</v>
      </c>
      <c r="P229" s="16" t="n">
        <f aca="false">O229*Premissas!$C$38*Premissas!$C$40*(1+Premissas!$C$60)^((YEAR($A229)-YEAR(Premissas!$C$19))*12+MONTH($A229)-MONTH(Premissas!$C$19))</f>
        <v>8896.03426757587</v>
      </c>
      <c r="Q229" s="16" t="n">
        <f aca="false">P229*Premissas!$C$43</f>
        <v>1423.36548281214</v>
      </c>
      <c r="R229" s="16" t="n">
        <f aca="false">P229*Premissas!$C$44</f>
        <v>1779.20685351517</v>
      </c>
      <c r="S229" s="16" t="n">
        <f aca="false">IF($A229&gt;=Premissas!$C$25,Premissas!$C$45*(1+Premissas!$C$60)^((YEAR($A229)-YEAR(Premissas!$C$19))*12+MONTH($A229)-MONTH(Premissas!$C$19)),0)</f>
        <v>1559.61330076716</v>
      </c>
      <c r="T229" s="16" t="n">
        <f aca="false">IF($A229&gt;=Premissas!$C$27,Premissas!$C$46*(1+Premissas!$C$60)^((YEAR($A229)-YEAR(Premissas!$C$19))*12+MONTH($A229)-MONTH(Premissas!$C$19)),0)</f>
        <v>623.845320306863</v>
      </c>
      <c r="U229" s="16" t="n">
        <f aca="false">IF($A229&gt;=Premissas!$C$27,Premissas!$C$47*(1+Premissas!$C$60)^((YEAR($A229)-YEAR(Premissas!$C$19))*12+MONTH($A229)-MONTH(Premissas!$C$19)),0)</f>
        <v>311.922660153432</v>
      </c>
      <c r="V229" s="16" t="n">
        <f aca="false">IF($A229&gt;=Premissas!$C$27,MAX(0,P229-Q229-R229-S229)*Premissas!$C$49,0)</f>
        <v>1136.80837338238</v>
      </c>
      <c r="W229" s="16" t="n">
        <f aca="false">P229-Q229-R229-S229-T229-U229-V229</f>
        <v>2061.27227663872</v>
      </c>
      <c r="X229" s="16" t="n">
        <f aca="false">W229-F229-G229-H229-M229</f>
        <v>2061.27227663872</v>
      </c>
      <c r="Y229" s="16" t="n">
        <f aca="false">Y228+X229</f>
        <v>-589851.616105237</v>
      </c>
      <c r="Z229" s="16" t="n">
        <f aca="false">Premissas!$C$14*(1+Premissas!$C$57)^((YEAR(Premissas!$C$19)-YEAR(Premissas!$C$18))*12+MONTH(Premissas!$C$19)-MONTH(Premissas!$C$18))*(1+Premissas!$C$61)^((YEAR($A229)-YEAR(Premissas!$C$19))*12+MONTH($A229)-MONTH(Premissas!$C$19))</f>
        <v>1188941.36325635</v>
      </c>
      <c r="AA229" s="16" t="n">
        <f aca="false">IF($A229&gt;=Premissas!$C$25,Z229*(1-Premissas!$C$53)-N229-Premissas!$C$54*MAX(0,Z229*(1-Premissas!$C$53)-(Premissas!$C$14*(1+Premissas!$C$57)^((YEAR(Premissas!$C$25)-YEAR(Premissas!$C$18))*12+MONTH(Premissas!$C$25)-MONTH(Premissas!$C$18))*(1+Premissas!$C$34))),"")</f>
        <v>1031166.35875349</v>
      </c>
      <c r="AB229" s="16" t="n">
        <f aca="false">IF($A229&gt;=Premissas!$C$25,Y229+AA229,"")</f>
        <v>441314.742648253</v>
      </c>
      <c r="AC229" s="20" t="n">
        <f aca="false">IF(AND($A229&gt;=Premissas!$C$27,W229&gt;=M229),$A229,"")</f>
        <v>53206</v>
      </c>
      <c r="AD229" s="20" t="str">
        <f aca="false">IF(AND($A229&gt;=Premissas!$C$27,Y229&gt;=0),$A229,"")</f>
        <v/>
      </c>
      <c r="AE229" s="20" t="n">
        <f aca="false">IF(AND($A229&gt;=Premissas!$C$25,N(AB229)&gt;=0),$A229,"")</f>
        <v>53206</v>
      </c>
    </row>
    <row r="230" customFormat="false" ht="15" hidden="false" customHeight="false" outlineLevel="0" collapsed="false">
      <c r="A230" s="20" t="n">
        <f aca="false">DATE(YEAR(A229),MONTH(A229)+1,1)</f>
        <v>53236</v>
      </c>
      <c r="B230" s="5" t="str">
        <f aca="false">IF($A230&lt;Premissas!$C$25,"Obra",IF($A230=Premissas!$C$25,"Chaves",IF($A230&lt;Premissas!$C$27,"Mobiliando","Airbnb")))</f>
        <v>Airbnb</v>
      </c>
      <c r="C230" s="35" t="n">
        <f aca="false">(YEAR($A230)-YEAR(Premissas!$C$18))*12+MONTH($A230)-MONTH(Premissas!$C$18)</f>
        <v>229</v>
      </c>
      <c r="D230" s="16" t="n">
        <f aca="false">($A230=Premissas!$C$19)*Premissas!$C$8+(($A230=EDATE(Premissas!$C$19,1))+($A230=EDATE(Premissas!$C$19,2)))*Premissas!$C$9+AND($A230&gt;=Premissas!$C$20,$A230&lt;EDATE(Premissas!$C$20,Premissas!$C$21))*Premissas!$C$10+(($A230=Premissas!$C$22)+($A230=Premissas!$C$23)+($A230=Premissas!$C$24))*Premissas!$C$11+($A230=Premissas!$C$25)*Premissas!$C$12</f>
        <v>0</v>
      </c>
      <c r="E230" s="36" t="n">
        <f aca="false">(1+Premissas!$C$57)^C230</f>
        <v>2.77801405081993</v>
      </c>
      <c r="F230" s="16" t="n">
        <f aca="false">D230*E230</f>
        <v>0</v>
      </c>
      <c r="G230" s="16" t="n">
        <f aca="false">($A230=Premissas!$C$25)*Premissas!$C$34*Premissas!$C$14*(1+Premissas!$C$57)^C230</f>
        <v>0</v>
      </c>
      <c r="H230" s="16" t="n">
        <f aca="false">IF(AND($A230&gt;Premissas!$C$25,$A230&lt;Premissas!$C$27),Premissas!$C$35/MAX(1,Premissas!$C$26),0)</f>
        <v>0</v>
      </c>
      <c r="I230" s="35" t="n">
        <f aca="false">IF(AND($A230&gt;Premissas!$C$25,((YEAR($A230)-YEAR(Premissas!$C$25))*12+MONTH($A230)-MONTH(Premissas!$C$25))&lt;=Premissas!$C$32),((YEAR($A230)-YEAR(Premissas!$C$25))*12+MONTH($A230)-MONTH(Premissas!$C$25)),0)</f>
        <v>0</v>
      </c>
      <c r="J230" s="16" t="n">
        <f aca="false">IF(I230&gt;0,N229*(1+Premissas!$C$59),0)</f>
        <v>0</v>
      </c>
      <c r="K230" s="16" t="n">
        <f aca="false">J230*Premissas!$C$58</f>
        <v>0</v>
      </c>
      <c r="L230" s="16" t="n">
        <f aca="false">IF(I230&gt;0,J230/(Premissas!$C$32-I230+1),0)</f>
        <v>0</v>
      </c>
      <c r="M230" s="16" t="n">
        <f aca="false">K230+L230</f>
        <v>0</v>
      </c>
      <c r="N230" s="16" t="n">
        <f aca="false">IF($A230=Premissas!$C$25,Premissas!$C$13*E230,IF(I230&gt;0,J230-L230,0))</f>
        <v>0</v>
      </c>
      <c r="O230" s="37" t="n">
        <f aca="false">IF($A230&gt;=Premissas!$C$27,Premissas!$C$39*IF(((YEAR($A230)-YEAR(Premissas!$C$27))*12+MONTH($A230)-MONTH(Premissas!$C$27))&lt;Premissas!$C$41,Premissas!$C$42,1),0)</f>
        <v>0.62</v>
      </c>
      <c r="P230" s="16" t="n">
        <f aca="false">O230*Premissas!$C$38*Premissas!$C$40*(1+Premissas!$C$60)^((YEAR($A230)-YEAR(Premissas!$C$19))*12+MONTH($A230)-MONTH(Premissas!$C$19))</f>
        <v>8925.15756886143</v>
      </c>
      <c r="Q230" s="16" t="n">
        <f aca="false">P230*Premissas!$C$43</f>
        <v>1428.02521101783</v>
      </c>
      <c r="R230" s="16" t="n">
        <f aca="false">P230*Premissas!$C$44</f>
        <v>1785.03151377229</v>
      </c>
      <c r="S230" s="16" t="n">
        <f aca="false">IF($A230&gt;=Premissas!$C$25,Premissas!$C$45*(1+Premissas!$C$60)^((YEAR($A230)-YEAR(Premissas!$C$19))*12+MONTH($A230)-MONTH(Premissas!$C$19)),0)</f>
        <v>1564.71906887473</v>
      </c>
      <c r="T230" s="16" t="n">
        <f aca="false">IF($A230&gt;=Premissas!$C$27,Premissas!$C$46*(1+Premissas!$C$60)^((YEAR($A230)-YEAR(Premissas!$C$19))*12+MONTH($A230)-MONTH(Premissas!$C$19)),0)</f>
        <v>625.88762754989</v>
      </c>
      <c r="U230" s="16" t="n">
        <f aca="false">IF($A230&gt;=Premissas!$C$27,Premissas!$C$47*(1+Premissas!$C$60)^((YEAR($A230)-YEAR(Premissas!$C$19))*12+MONTH($A230)-MONTH(Premissas!$C$19)),0)</f>
        <v>312.943813774945</v>
      </c>
      <c r="V230" s="16" t="n">
        <f aca="false">IF($A230&gt;=Premissas!$C$27,MAX(0,P230-Q230-R230-S230)*Premissas!$C$49,0)</f>
        <v>1140.52998817906</v>
      </c>
      <c r="W230" s="16" t="n">
        <f aca="false">P230-Q230-R230-S230-T230-U230-V230</f>
        <v>2068.02034569269</v>
      </c>
      <c r="X230" s="16" t="n">
        <f aca="false">W230-F230-G230-H230-M230</f>
        <v>2068.02034569269</v>
      </c>
      <c r="Y230" s="16" t="n">
        <f aca="false">Y229+X230</f>
        <v>-587783.595759544</v>
      </c>
      <c r="Z230" s="16" t="n">
        <f aca="false">Premissas!$C$14*(1+Premissas!$C$57)^((YEAR(Premissas!$C$19)-YEAR(Premissas!$C$18))*12+MONTH(Premissas!$C$19)-MONTH(Premissas!$C$18))*(1+Premissas!$C$61)^((YEAR($A230)-YEAR(Premissas!$C$19))*12+MONTH($A230)-MONTH(Premissas!$C$19))</f>
        <v>1193785.25754176</v>
      </c>
      <c r="AA230" s="16" t="n">
        <f aca="false">IF($A230&gt;=Premissas!$C$25,Z230*(1-Premissas!$C$53)-N230-Premissas!$C$54*MAX(0,Z230*(1-Premissas!$C$53)-(Premissas!$C$14*(1+Premissas!$C$57)^((YEAR(Premissas!$C$25)-YEAR(Premissas!$C$18))*12+MONTH(Premissas!$C$25)-MONTH(Premissas!$C$18))*(1+Premissas!$C$34))),"")</f>
        <v>1035036.63028753</v>
      </c>
      <c r="AB230" s="16" t="n">
        <f aca="false">IF($A230&gt;=Premissas!$C$25,Y230+AA230,"")</f>
        <v>447253.034527985</v>
      </c>
      <c r="AC230" s="20" t="n">
        <f aca="false">IF(AND($A230&gt;=Premissas!$C$27,W230&gt;=M230),$A230,"")</f>
        <v>53236</v>
      </c>
      <c r="AD230" s="20" t="str">
        <f aca="false">IF(AND($A230&gt;=Premissas!$C$27,Y230&gt;=0),$A230,"")</f>
        <v/>
      </c>
      <c r="AE230" s="20" t="n">
        <f aca="false">IF(AND($A230&gt;=Premissas!$C$25,N(AB230)&gt;=0),$A230,"")</f>
        <v>53236</v>
      </c>
    </row>
    <row r="231" customFormat="false" ht="15" hidden="false" customHeight="false" outlineLevel="0" collapsed="false">
      <c r="A231" s="20" t="n">
        <f aca="false">DATE(YEAR(A230),MONTH(A230)+1,1)</f>
        <v>53267</v>
      </c>
      <c r="B231" s="5" t="str">
        <f aca="false">IF($A231&lt;Premissas!$C$25,"Obra",IF($A231=Premissas!$C$25,"Chaves",IF($A231&lt;Premissas!$C$27,"Mobiliando","Airbnb")))</f>
        <v>Airbnb</v>
      </c>
      <c r="C231" s="35" t="n">
        <f aca="false">(YEAR($A231)-YEAR(Premissas!$C$18))*12+MONTH($A231)-MONTH(Premissas!$C$18)</f>
        <v>230</v>
      </c>
      <c r="D231" s="16" t="n">
        <f aca="false">($A231=Premissas!$C$19)*Premissas!$C$8+(($A231=EDATE(Premissas!$C$19,1))+($A231=EDATE(Premissas!$C$19,2)))*Premissas!$C$9+AND($A231&gt;=Premissas!$C$20,$A231&lt;EDATE(Premissas!$C$20,Premissas!$C$21))*Premissas!$C$10+(($A231=Premissas!$C$22)+($A231=Premissas!$C$23)+($A231=Premissas!$C$24))*Premissas!$C$11+($A231=Premissas!$C$25)*Premissas!$C$12</f>
        <v>0</v>
      </c>
      <c r="E231" s="36" t="n">
        <f aca="false">(1+Premissas!$C$57)^C231</f>
        <v>2.79043649324251</v>
      </c>
      <c r="F231" s="16" t="n">
        <f aca="false">D231*E231</f>
        <v>0</v>
      </c>
      <c r="G231" s="16" t="n">
        <f aca="false">($A231=Premissas!$C$25)*Premissas!$C$34*Premissas!$C$14*(1+Premissas!$C$57)^C231</f>
        <v>0</v>
      </c>
      <c r="H231" s="16" t="n">
        <f aca="false">IF(AND($A231&gt;Premissas!$C$25,$A231&lt;Premissas!$C$27),Premissas!$C$35/MAX(1,Premissas!$C$26),0)</f>
        <v>0</v>
      </c>
      <c r="I231" s="35" t="n">
        <f aca="false">IF(AND($A231&gt;Premissas!$C$25,((YEAR($A231)-YEAR(Premissas!$C$25))*12+MONTH($A231)-MONTH(Premissas!$C$25))&lt;=Premissas!$C$32),((YEAR($A231)-YEAR(Premissas!$C$25))*12+MONTH($A231)-MONTH(Premissas!$C$25)),0)</f>
        <v>0</v>
      </c>
      <c r="J231" s="16" t="n">
        <f aca="false">IF(I231&gt;0,N230*(1+Premissas!$C$59),0)</f>
        <v>0</v>
      </c>
      <c r="K231" s="16" t="n">
        <f aca="false">J231*Premissas!$C$58</f>
        <v>0</v>
      </c>
      <c r="L231" s="16" t="n">
        <f aca="false">IF(I231&gt;0,J231/(Premissas!$C$32-I231+1),0)</f>
        <v>0</v>
      </c>
      <c r="M231" s="16" t="n">
        <f aca="false">K231+L231</f>
        <v>0</v>
      </c>
      <c r="N231" s="16" t="n">
        <f aca="false">IF($A231=Premissas!$C$25,Premissas!$C$13*E231,IF(I231&gt;0,J231-L231,0))</f>
        <v>0</v>
      </c>
      <c r="O231" s="37" t="n">
        <f aca="false">IF($A231&gt;=Premissas!$C$27,Premissas!$C$39*IF(((YEAR($A231)-YEAR(Premissas!$C$27))*12+MONTH($A231)-MONTH(Premissas!$C$27))&lt;Premissas!$C$41,Premissas!$C$42,1),0)</f>
        <v>0.62</v>
      </c>
      <c r="P231" s="16" t="n">
        <f aca="false">O231*Premissas!$C$38*Premissas!$C$40*(1+Premissas!$C$60)^((YEAR($A231)-YEAR(Premissas!$C$19))*12+MONTH($A231)-MONTH(Premissas!$C$19))</f>
        <v>8954.37621225701</v>
      </c>
      <c r="Q231" s="16" t="n">
        <f aca="false">P231*Premissas!$C$43</f>
        <v>1432.70019396112</v>
      </c>
      <c r="R231" s="16" t="n">
        <f aca="false">P231*Premissas!$C$44</f>
        <v>1790.8752424514</v>
      </c>
      <c r="S231" s="16" t="n">
        <f aca="false">IF($A231&gt;=Premissas!$C$25,Premissas!$C$45*(1+Premissas!$C$60)^((YEAR($A231)-YEAR(Premissas!$C$19))*12+MONTH($A231)-MONTH(Premissas!$C$19)),0)</f>
        <v>1569.84155193847</v>
      </c>
      <c r="T231" s="16" t="n">
        <f aca="false">IF($A231&gt;=Premissas!$C$27,Premissas!$C$46*(1+Premissas!$C$60)^((YEAR($A231)-YEAR(Premissas!$C$19))*12+MONTH($A231)-MONTH(Premissas!$C$19)),0)</f>
        <v>627.936620775386</v>
      </c>
      <c r="U231" s="16" t="n">
        <f aca="false">IF($A231&gt;=Premissas!$C$27,Premissas!$C$47*(1+Premissas!$C$60)^((YEAR($A231)-YEAR(Premissas!$C$19))*12+MONTH($A231)-MONTH(Premissas!$C$19)),0)</f>
        <v>313.968310387693</v>
      </c>
      <c r="V231" s="16" t="n">
        <f aca="false">IF($A231&gt;=Premissas!$C$27,MAX(0,P231-Q231-R231-S231)*Premissas!$C$49,0)</f>
        <v>1144.26378657416</v>
      </c>
      <c r="W231" s="16" t="n">
        <f aca="false">P231-Q231-R231-S231-T231-U231-V231</f>
        <v>2074.79050616878</v>
      </c>
      <c r="X231" s="16" t="n">
        <f aca="false">W231-F231-G231-H231-M231</f>
        <v>2074.79050616878</v>
      </c>
      <c r="Y231" s="16" t="n">
        <f aca="false">Y230+X231</f>
        <v>-585708.805253375</v>
      </c>
      <c r="Z231" s="16" t="n">
        <f aca="false">Premissas!$C$14*(1+Premissas!$C$57)^((YEAR(Premissas!$C$19)-YEAR(Premissas!$C$18))*12+MONTH(Premissas!$C$19)-MONTH(Premissas!$C$18))*(1+Premissas!$C$61)^((YEAR($A231)-YEAR(Premissas!$C$19))*12+MONTH($A231)-MONTH(Premissas!$C$19))</f>
        <v>1198648.88645208</v>
      </c>
      <c r="AA231" s="16" t="n">
        <f aca="false">IF($A231&gt;=Premissas!$C$25,Z231*(1-Premissas!$C$53)-N231-Premissas!$C$54*MAX(0,Z231*(1-Premissas!$C$53)-(Premissas!$C$14*(1+Premissas!$C$57)^((YEAR(Premissas!$C$25)-YEAR(Premissas!$C$18))*12+MONTH(Premissas!$C$25)-MONTH(Premissas!$C$18))*(1+Premissas!$C$34))),"")</f>
        <v>1038922.66978687</v>
      </c>
      <c r="AB231" s="16" t="n">
        <f aca="false">IF($A231&gt;=Premissas!$C$25,Y231+AA231,"")</f>
        <v>453213.864533499</v>
      </c>
      <c r="AC231" s="20" t="n">
        <f aca="false">IF(AND($A231&gt;=Premissas!$C$27,W231&gt;=M231),$A231,"")</f>
        <v>53267</v>
      </c>
      <c r="AD231" s="20" t="str">
        <f aca="false">IF(AND($A231&gt;=Premissas!$C$27,Y231&gt;=0),$A231,"")</f>
        <v/>
      </c>
      <c r="AE231" s="20" t="n">
        <f aca="false">IF(AND($A231&gt;=Premissas!$C$25,N(AB231)&gt;=0),$A231,"")</f>
        <v>53267</v>
      </c>
    </row>
    <row r="232" customFormat="false" ht="15" hidden="false" customHeight="false" outlineLevel="0" collapsed="false">
      <c r="A232" s="20" t="n">
        <f aca="false">DATE(YEAR(A231),MONTH(A231)+1,1)</f>
        <v>53297</v>
      </c>
      <c r="B232" s="5" t="str">
        <f aca="false">IF($A232&lt;Premissas!$C$25,"Obra",IF($A232=Premissas!$C$25,"Chaves",IF($A232&lt;Premissas!$C$27,"Mobiliando","Airbnb")))</f>
        <v>Airbnb</v>
      </c>
      <c r="C232" s="35" t="n">
        <f aca="false">(YEAR($A232)-YEAR(Premissas!$C$18))*12+MONTH($A232)-MONTH(Premissas!$C$18)</f>
        <v>231</v>
      </c>
      <c r="D232" s="16" t="n">
        <f aca="false">($A232=Premissas!$C$19)*Premissas!$C$8+(($A232=EDATE(Premissas!$C$19,1))+($A232=EDATE(Premissas!$C$19,2)))*Premissas!$C$9+AND($A232&gt;=Premissas!$C$20,$A232&lt;EDATE(Premissas!$C$20,Premissas!$C$21))*Premissas!$C$10+(($A232=Premissas!$C$22)+($A232=Premissas!$C$23)+($A232=Premissas!$C$24))*Premissas!$C$11+($A232=Premissas!$C$25)*Premissas!$C$12</f>
        <v>0</v>
      </c>
      <c r="E232" s="36" t="n">
        <f aca="false">(1+Premissas!$C$57)^C232</f>
        <v>2.80291448508742</v>
      </c>
      <c r="F232" s="16" t="n">
        <f aca="false">D232*E232</f>
        <v>0</v>
      </c>
      <c r="G232" s="16" t="n">
        <f aca="false">($A232=Premissas!$C$25)*Premissas!$C$34*Premissas!$C$14*(1+Premissas!$C$57)^C232</f>
        <v>0</v>
      </c>
      <c r="H232" s="16" t="n">
        <f aca="false">IF(AND($A232&gt;Premissas!$C$25,$A232&lt;Premissas!$C$27),Premissas!$C$35/MAX(1,Premissas!$C$26),0)</f>
        <v>0</v>
      </c>
      <c r="I232" s="35" t="n">
        <f aca="false">IF(AND($A232&gt;Premissas!$C$25,((YEAR($A232)-YEAR(Premissas!$C$25))*12+MONTH($A232)-MONTH(Premissas!$C$25))&lt;=Premissas!$C$32),((YEAR($A232)-YEAR(Premissas!$C$25))*12+MONTH($A232)-MONTH(Premissas!$C$25)),0)</f>
        <v>0</v>
      </c>
      <c r="J232" s="16" t="n">
        <f aca="false">IF(I232&gt;0,N231*(1+Premissas!$C$59),0)</f>
        <v>0</v>
      </c>
      <c r="K232" s="16" t="n">
        <f aca="false">J232*Premissas!$C$58</f>
        <v>0</v>
      </c>
      <c r="L232" s="16" t="n">
        <f aca="false">IF(I232&gt;0,J232/(Premissas!$C$32-I232+1),0)</f>
        <v>0</v>
      </c>
      <c r="M232" s="16" t="n">
        <f aca="false">K232+L232</f>
        <v>0</v>
      </c>
      <c r="N232" s="16" t="n">
        <f aca="false">IF($A232=Premissas!$C$25,Premissas!$C$13*E232,IF(I232&gt;0,J232-L232,0))</f>
        <v>0</v>
      </c>
      <c r="O232" s="37" t="n">
        <f aca="false">IF($A232&gt;=Premissas!$C$27,Premissas!$C$39*IF(((YEAR($A232)-YEAR(Premissas!$C$27))*12+MONTH($A232)-MONTH(Premissas!$C$27))&lt;Premissas!$C$41,Premissas!$C$42,1),0)</f>
        <v>0.62</v>
      </c>
      <c r="P232" s="16" t="n">
        <f aca="false">O232*Premissas!$C$38*Premissas!$C$40*(1+Premissas!$C$60)^((YEAR($A232)-YEAR(Premissas!$C$19))*12+MONTH($A232)-MONTH(Premissas!$C$19))</f>
        <v>8983.69050988785</v>
      </c>
      <c r="Q232" s="16" t="n">
        <f aca="false">P232*Premissas!$C$43</f>
        <v>1437.39048158206</v>
      </c>
      <c r="R232" s="16" t="n">
        <f aca="false">P232*Premissas!$C$44</f>
        <v>1796.73810197757</v>
      </c>
      <c r="S232" s="16" t="n">
        <f aca="false">IF($A232&gt;=Premissas!$C$25,Premissas!$C$45*(1+Premissas!$C$60)^((YEAR($A232)-YEAR(Premissas!$C$19))*12+MONTH($A232)-MONTH(Premissas!$C$19)),0)</f>
        <v>1574.9808046788</v>
      </c>
      <c r="T232" s="16" t="n">
        <f aca="false">IF($A232&gt;=Premissas!$C$27,Premissas!$C$46*(1+Premissas!$C$60)^((YEAR($A232)-YEAR(Premissas!$C$19))*12+MONTH($A232)-MONTH(Premissas!$C$19)),0)</f>
        <v>629.992321871518</v>
      </c>
      <c r="U232" s="16" t="n">
        <f aca="false">IF($A232&gt;=Premissas!$C$27,Premissas!$C$47*(1+Premissas!$C$60)^((YEAR($A232)-YEAR(Premissas!$C$19))*12+MONTH($A232)-MONTH(Premissas!$C$19)),0)</f>
        <v>314.996160935759</v>
      </c>
      <c r="V232" s="16" t="n">
        <f aca="false">IF($A232&gt;=Premissas!$C$27,MAX(0,P232-Q232-R232-S232)*Premissas!$C$49,0)</f>
        <v>1148.00980845359</v>
      </c>
      <c r="W232" s="16" t="n">
        <f aca="false">P232-Q232-R232-S232-T232-U232-V232</f>
        <v>2081.58283038856</v>
      </c>
      <c r="X232" s="16" t="n">
        <f aca="false">W232-F232-G232-H232-M232</f>
        <v>2081.58283038856</v>
      </c>
      <c r="Y232" s="16" t="n">
        <f aca="false">Y231+X232</f>
        <v>-583627.222422987</v>
      </c>
      <c r="Z232" s="16" t="n">
        <f aca="false">Premissas!$C$14*(1+Premissas!$C$57)^((YEAR(Premissas!$C$19)-YEAR(Premissas!$C$18))*12+MONTH(Premissas!$C$19)-MONTH(Premissas!$C$18))*(1+Premissas!$C$61)^((YEAR($A232)-YEAR(Premissas!$C$19))*12+MONTH($A232)-MONTH(Premissas!$C$19))</f>
        <v>1203532.33038862</v>
      </c>
      <c r="AA232" s="16" t="n">
        <f aca="false">IF($A232&gt;=Premissas!$C$25,Z232*(1-Premissas!$C$53)-N232-Premissas!$C$54*MAX(0,Z232*(1-Premissas!$C$53)-(Premissas!$C$14*(1+Premissas!$C$57)^((YEAR(Premissas!$C$25)-YEAR(Premissas!$C$18))*12+MONTH(Premissas!$C$25)-MONTH(Premissas!$C$18))*(1+Premissas!$C$34))),"")</f>
        <v>1042824.54149217</v>
      </c>
      <c r="AB232" s="16" t="n">
        <f aca="false">IF($A232&gt;=Premissas!$C$25,Y232+AA232,"")</f>
        <v>459197.319069182</v>
      </c>
      <c r="AC232" s="20" t="n">
        <f aca="false">IF(AND($A232&gt;=Premissas!$C$27,W232&gt;=M232),$A232,"")</f>
        <v>53297</v>
      </c>
      <c r="AD232" s="20" t="str">
        <f aca="false">IF(AND($A232&gt;=Premissas!$C$27,Y232&gt;=0),$A232,"")</f>
        <v/>
      </c>
      <c r="AE232" s="20" t="n">
        <f aca="false">IF(AND($A232&gt;=Premissas!$C$25,N(AB232)&gt;=0),$A232,"")</f>
        <v>53297</v>
      </c>
    </row>
    <row r="233" customFormat="false" ht="15" hidden="false" customHeight="false" outlineLevel="0" collapsed="false">
      <c r="A233" s="29" t="n">
        <f aca="false">DATE(YEAR(A232),MONTH(A232)+1,1)</f>
        <v>53328</v>
      </c>
      <c r="B233" s="30" t="str">
        <f aca="false">IF($A233&lt;Premissas!$C$25,"Obra",IF($A233=Premissas!$C$25,"Chaves",IF($A233&lt;Premissas!$C$27,"Mobiliando","Airbnb")))</f>
        <v>Airbnb</v>
      </c>
      <c r="C233" s="31" t="n">
        <f aca="false">(YEAR($A233)-YEAR(Premissas!$C$18))*12+MONTH($A233)-MONTH(Premissas!$C$18)</f>
        <v>232</v>
      </c>
      <c r="D233" s="32" t="n">
        <f aca="false">($A233=Premissas!$C$19)*Premissas!$C$8+(($A233=EDATE(Premissas!$C$19,1))+($A233=EDATE(Premissas!$C$19,2)))*Premissas!$C$9+AND($A233&gt;=Premissas!$C$20,$A233&lt;EDATE(Premissas!$C$20,Premissas!$C$21))*Premissas!$C$10+(($A233=Premissas!$C$22)+($A233=Premissas!$C$23)+($A233=Premissas!$C$24))*Premissas!$C$11+($A233=Premissas!$C$25)*Premissas!$C$12</f>
        <v>0</v>
      </c>
      <c r="E233" s="33" t="n">
        <f aca="false">(1+Premissas!$C$57)^C233</f>
        <v>2.81544827475495</v>
      </c>
      <c r="F233" s="32" t="n">
        <f aca="false">D233*E233</f>
        <v>0</v>
      </c>
      <c r="G233" s="32" t="n">
        <f aca="false">($A233=Premissas!$C$25)*Premissas!$C$34*Premissas!$C$14*(1+Premissas!$C$57)^C233</f>
        <v>0</v>
      </c>
      <c r="H233" s="32" t="n">
        <f aca="false">IF(AND($A233&gt;Premissas!$C$25,$A233&lt;Premissas!$C$27),Premissas!$C$35/MAX(1,Premissas!$C$26),0)</f>
        <v>0</v>
      </c>
      <c r="I233" s="31" t="n">
        <f aca="false">IF(AND($A233&gt;Premissas!$C$25,((YEAR($A233)-YEAR(Premissas!$C$25))*12+MONTH($A233)-MONTH(Premissas!$C$25))&lt;=Premissas!$C$32),((YEAR($A233)-YEAR(Premissas!$C$25))*12+MONTH($A233)-MONTH(Premissas!$C$25)),0)</f>
        <v>0</v>
      </c>
      <c r="J233" s="32" t="n">
        <f aca="false">IF(I233&gt;0,N232*(1+Premissas!$C$59),0)</f>
        <v>0</v>
      </c>
      <c r="K233" s="32" t="n">
        <f aca="false">J233*Premissas!$C$58</f>
        <v>0</v>
      </c>
      <c r="L233" s="32" t="n">
        <f aca="false">IF(I233&gt;0,J233/(Premissas!$C$32-I233+1),0)</f>
        <v>0</v>
      </c>
      <c r="M233" s="32" t="n">
        <f aca="false">K233+L233</f>
        <v>0</v>
      </c>
      <c r="N233" s="32" t="n">
        <f aca="false">IF($A233=Premissas!$C$25,Premissas!$C$13*E233,IF(I233&gt;0,J233-L233,0))</f>
        <v>0</v>
      </c>
      <c r="O233" s="34" t="n">
        <f aca="false">IF($A233&gt;=Premissas!$C$27,Premissas!$C$39*IF(((YEAR($A233)-YEAR(Premissas!$C$27))*12+MONTH($A233)-MONTH(Premissas!$C$27))&lt;Premissas!$C$41,Premissas!$C$42,1),0)</f>
        <v>0.62</v>
      </c>
      <c r="P233" s="32" t="n">
        <f aca="false">O233*Premissas!$C$38*Premissas!$C$40*(1+Premissas!$C$60)^((YEAR($A233)-YEAR(Premissas!$C$19))*12+MONTH($A233)-MONTH(Premissas!$C$19))</f>
        <v>9013.10077490103</v>
      </c>
      <c r="Q233" s="32" t="n">
        <f aca="false">P233*Premissas!$C$43</f>
        <v>1442.09612398417</v>
      </c>
      <c r="R233" s="32" t="n">
        <f aca="false">P233*Premissas!$C$44</f>
        <v>1802.62015498021</v>
      </c>
      <c r="S233" s="32" t="n">
        <f aca="false">IF($A233&gt;=Premissas!$C$25,Premissas!$C$45*(1+Premissas!$C$60)^((YEAR($A233)-YEAR(Premissas!$C$19))*12+MONTH($A233)-MONTH(Premissas!$C$19)),0)</f>
        <v>1580.13688199527</v>
      </c>
      <c r="T233" s="32" t="n">
        <f aca="false">IF($A233&gt;=Premissas!$C$27,Premissas!$C$46*(1+Premissas!$C$60)^((YEAR($A233)-YEAR(Premissas!$C$19))*12+MONTH($A233)-MONTH(Premissas!$C$19)),0)</f>
        <v>632.054752798109</v>
      </c>
      <c r="U233" s="32" t="n">
        <f aca="false">IF($A233&gt;=Premissas!$C$27,Premissas!$C$47*(1+Premissas!$C$60)^((YEAR($A233)-YEAR(Premissas!$C$19))*12+MONTH($A233)-MONTH(Premissas!$C$19)),0)</f>
        <v>316.027376399054</v>
      </c>
      <c r="V233" s="32" t="n">
        <f aca="false">IF($A233&gt;=Premissas!$C$27,MAX(0,P233-Q233-R233-S233)*Premissas!$C$49,0)</f>
        <v>1151.76809383388</v>
      </c>
      <c r="W233" s="32" t="n">
        <f aca="false">P233-Q233-R233-S233-T233-U233-V233</f>
        <v>2088.39739091034</v>
      </c>
      <c r="X233" s="32" t="n">
        <f aca="false">W233-F233-G233-H233-M233</f>
        <v>2088.39739091034</v>
      </c>
      <c r="Y233" s="32" t="n">
        <f aca="false">Y232+X233</f>
        <v>-581538.825032076</v>
      </c>
      <c r="Z233" s="32" t="n">
        <f aca="false">Premissas!$C$14*(1+Premissas!$C$57)^((YEAR(Premissas!$C$19)-YEAR(Premissas!$C$18))*12+MONTH(Premissas!$C$19)-MONTH(Premissas!$C$18))*(1+Premissas!$C$61)^((YEAR($A233)-YEAR(Premissas!$C$19))*12+MONTH($A233)-MONTH(Premissas!$C$19))</f>
        <v>1208435.67008024</v>
      </c>
      <c r="AA233" s="32" t="n">
        <f aca="false">IF($A233&gt;=Premissas!$C$25,Z233*(1-Premissas!$C$53)-N233-Premissas!$C$54*MAX(0,Z233*(1-Premissas!$C$53)-(Premissas!$C$14*(1+Premissas!$C$57)^((YEAR(Premissas!$C$25)-YEAR(Premissas!$C$18))*12+MONTH(Premissas!$C$25)-MONTH(Premissas!$C$18))*(1+Premissas!$C$34))),"")</f>
        <v>1046742.30990578</v>
      </c>
      <c r="AB233" s="32" t="n">
        <f aca="false">IF($A233&gt;=Premissas!$C$25,Y233+AA233,"")</f>
        <v>465203.484873701</v>
      </c>
      <c r="AC233" s="29" t="n">
        <f aca="false">IF(AND($A233&gt;=Premissas!$C$27,W233&gt;=M233),$A233,"")</f>
        <v>53328</v>
      </c>
      <c r="AD233" s="29" t="str">
        <f aca="false">IF(AND($A233&gt;=Premissas!$C$27,Y233&gt;=0),$A233,"")</f>
        <v/>
      </c>
      <c r="AE233" s="29" t="n">
        <f aca="false">IF(AND($A233&gt;=Premissas!$C$25,N(AB233)&gt;=0),$A233,"")</f>
        <v>53328</v>
      </c>
    </row>
    <row r="234" customFormat="false" ht="15" hidden="false" customHeight="false" outlineLevel="0" collapsed="false">
      <c r="A234" s="20" t="n">
        <f aca="false">DATE(YEAR(A233),MONTH(A233)+1,1)</f>
        <v>53359</v>
      </c>
      <c r="B234" s="5" t="str">
        <f aca="false">IF($A234&lt;Premissas!$C$25,"Obra",IF($A234=Premissas!$C$25,"Chaves",IF($A234&lt;Premissas!$C$27,"Mobiliando","Airbnb")))</f>
        <v>Airbnb</v>
      </c>
      <c r="C234" s="35" t="n">
        <f aca="false">(YEAR($A234)-YEAR(Premissas!$C$18))*12+MONTH($A234)-MONTH(Premissas!$C$18)</f>
        <v>233</v>
      </c>
      <c r="D234" s="16" t="n">
        <f aca="false">($A234=Premissas!$C$19)*Premissas!$C$8+(($A234=EDATE(Premissas!$C$19,1))+($A234=EDATE(Premissas!$C$19,2)))*Premissas!$C$9+AND($A234&gt;=Premissas!$C$20,$A234&lt;EDATE(Premissas!$C$20,Premissas!$C$21))*Premissas!$C$10+(($A234=Premissas!$C$22)+($A234=Premissas!$C$23)+($A234=Premissas!$C$24))*Premissas!$C$11+($A234=Premissas!$C$25)*Premissas!$C$12</f>
        <v>0</v>
      </c>
      <c r="E234" s="36" t="n">
        <f aca="false">(1+Premissas!$C$57)^C234</f>
        <v>2.82803811175616</v>
      </c>
      <c r="F234" s="16" t="n">
        <f aca="false">D234*E234</f>
        <v>0</v>
      </c>
      <c r="G234" s="16" t="n">
        <f aca="false">($A234=Premissas!$C$25)*Premissas!$C$34*Premissas!$C$14*(1+Premissas!$C$57)^C234</f>
        <v>0</v>
      </c>
      <c r="H234" s="16" t="n">
        <f aca="false">IF(AND($A234&gt;Premissas!$C$25,$A234&lt;Premissas!$C$27),Premissas!$C$35/MAX(1,Premissas!$C$26),0)</f>
        <v>0</v>
      </c>
      <c r="I234" s="35" t="n">
        <f aca="false">IF(AND($A234&gt;Premissas!$C$25,((YEAR($A234)-YEAR(Premissas!$C$25))*12+MONTH($A234)-MONTH(Premissas!$C$25))&lt;=Premissas!$C$32),((YEAR($A234)-YEAR(Premissas!$C$25))*12+MONTH($A234)-MONTH(Premissas!$C$25)),0)</f>
        <v>0</v>
      </c>
      <c r="J234" s="16" t="n">
        <f aca="false">IF(I234&gt;0,N233*(1+Premissas!$C$59),0)</f>
        <v>0</v>
      </c>
      <c r="K234" s="16" t="n">
        <f aca="false">J234*Premissas!$C$58</f>
        <v>0</v>
      </c>
      <c r="L234" s="16" t="n">
        <f aca="false">IF(I234&gt;0,J234/(Premissas!$C$32-I234+1),0)</f>
        <v>0</v>
      </c>
      <c r="M234" s="16" t="n">
        <f aca="false">K234+L234</f>
        <v>0</v>
      </c>
      <c r="N234" s="16" t="n">
        <f aca="false">IF($A234=Premissas!$C$25,Premissas!$C$13*E234,IF(I234&gt;0,J234-L234,0))</f>
        <v>0</v>
      </c>
      <c r="O234" s="37" t="n">
        <f aca="false">IF($A234&gt;=Premissas!$C$27,Premissas!$C$39*IF(((YEAR($A234)-YEAR(Premissas!$C$27))*12+MONTH($A234)-MONTH(Premissas!$C$27))&lt;Premissas!$C$41,Premissas!$C$42,1),0)</f>
        <v>0.62</v>
      </c>
      <c r="P234" s="16" t="n">
        <f aca="false">O234*Premissas!$C$38*Premissas!$C$40*(1+Premissas!$C$60)^((YEAR($A234)-YEAR(Premissas!$C$19))*12+MONTH($A234)-MONTH(Premissas!$C$19))</f>
        <v>9042.6073214688</v>
      </c>
      <c r="Q234" s="16" t="n">
        <f aca="false">P234*Premissas!$C$43</f>
        <v>1446.81717143501</v>
      </c>
      <c r="R234" s="16" t="n">
        <f aca="false">P234*Premissas!$C$44</f>
        <v>1808.52146429376</v>
      </c>
      <c r="S234" s="16" t="n">
        <f aca="false">IF($A234&gt;=Premissas!$C$25,Premissas!$C$45*(1+Premissas!$C$60)^((YEAR($A234)-YEAR(Premissas!$C$19))*12+MONTH($A234)-MONTH(Premissas!$C$19)),0)</f>
        <v>1585.30983896718</v>
      </c>
      <c r="T234" s="16" t="n">
        <f aca="false">IF($A234&gt;=Premissas!$C$27,Premissas!$C$46*(1+Premissas!$C$60)^((YEAR($A234)-YEAR(Premissas!$C$19))*12+MONTH($A234)-MONTH(Premissas!$C$19)),0)</f>
        <v>634.123935586872</v>
      </c>
      <c r="U234" s="16" t="n">
        <f aca="false">IF($A234&gt;=Premissas!$C$27,Premissas!$C$47*(1+Premissas!$C$60)^((YEAR($A234)-YEAR(Premissas!$C$19))*12+MONTH($A234)-MONTH(Premissas!$C$19)),0)</f>
        <v>317.061967793436</v>
      </c>
      <c r="V234" s="16" t="n">
        <f aca="false">IF($A234&gt;=Premissas!$C$27,MAX(0,P234-Q234-R234-S234)*Premissas!$C$49,0)</f>
        <v>1155.53868286253</v>
      </c>
      <c r="W234" s="16" t="n">
        <f aca="false">P234-Q234-R234-S234-T234-U234-V234</f>
        <v>2095.23426053001</v>
      </c>
      <c r="X234" s="16" t="n">
        <f aca="false">W234-F234-G234-H234-M234</f>
        <v>2095.23426053001</v>
      </c>
      <c r="Y234" s="16" t="n">
        <f aca="false">Y233+X234</f>
        <v>-579443.590771547</v>
      </c>
      <c r="Z234" s="16" t="n">
        <f aca="false">Premissas!$C$14*(1+Premissas!$C$57)^((YEAR(Premissas!$C$19)-YEAR(Premissas!$C$18))*12+MONTH(Premissas!$C$19)-MONTH(Premissas!$C$18))*(1+Premissas!$C$61)^((YEAR($A234)-YEAR(Premissas!$C$19))*12+MONTH($A234)-MONTH(Premissas!$C$19))</f>
        <v>1213358.98658472</v>
      </c>
      <c r="AA234" s="16" t="n">
        <f aca="false">IF($A234&gt;=Premissas!$C$25,Z234*(1-Premissas!$C$53)-N234-Premissas!$C$54*MAX(0,Z234*(1-Premissas!$C$53)-(Premissas!$C$14*(1+Premissas!$C$57)^((YEAR(Premissas!$C$25)-YEAR(Premissas!$C$18))*12+MONTH(Premissas!$C$25)-MONTH(Premissas!$C$18))*(1+Premissas!$C$34))),"")</f>
        <v>1050676.03979286</v>
      </c>
      <c r="AB234" s="16" t="n">
        <f aca="false">IF($A234&gt;=Premissas!$C$25,Y234+AA234,"")</f>
        <v>471232.449021313</v>
      </c>
      <c r="AC234" s="20" t="n">
        <f aca="false">IF(AND($A234&gt;=Premissas!$C$27,W234&gt;=M234),$A234,"")</f>
        <v>53359</v>
      </c>
      <c r="AD234" s="20" t="str">
        <f aca="false">IF(AND($A234&gt;=Premissas!$C$27,Y234&gt;=0),$A234,"")</f>
        <v/>
      </c>
      <c r="AE234" s="20" t="n">
        <f aca="false">IF(AND($A234&gt;=Premissas!$C$25,N(AB234)&gt;=0),$A234,"")</f>
        <v>53359</v>
      </c>
    </row>
    <row r="235" customFormat="false" ht="15" hidden="false" customHeight="false" outlineLevel="0" collapsed="false">
      <c r="A235" s="20" t="n">
        <f aca="false">DATE(YEAR(A234),MONTH(A234)+1,1)</f>
        <v>53387</v>
      </c>
      <c r="B235" s="5" t="str">
        <f aca="false">IF($A235&lt;Premissas!$C$25,"Obra",IF($A235=Premissas!$C$25,"Chaves",IF($A235&lt;Premissas!$C$27,"Mobiliando","Airbnb")))</f>
        <v>Airbnb</v>
      </c>
      <c r="C235" s="35" t="n">
        <f aca="false">(YEAR($A235)-YEAR(Premissas!$C$18))*12+MONTH($A235)-MONTH(Premissas!$C$18)</f>
        <v>234</v>
      </c>
      <c r="D235" s="16" t="n">
        <f aca="false">($A235=Premissas!$C$19)*Premissas!$C$8+(($A235=EDATE(Premissas!$C$19,1))+($A235=EDATE(Premissas!$C$19,2)))*Premissas!$C$9+AND($A235&gt;=Premissas!$C$20,$A235&lt;EDATE(Premissas!$C$20,Premissas!$C$21))*Premissas!$C$10+(($A235=Premissas!$C$22)+($A235=Premissas!$C$23)+($A235=Premissas!$C$24))*Premissas!$C$11+($A235=Premissas!$C$25)*Premissas!$C$12</f>
        <v>0</v>
      </c>
      <c r="E235" s="36" t="n">
        <f aca="false">(1+Premissas!$C$57)^C235</f>
        <v>2.84068424671786</v>
      </c>
      <c r="F235" s="16" t="n">
        <f aca="false">D235*E235</f>
        <v>0</v>
      </c>
      <c r="G235" s="16" t="n">
        <f aca="false">($A235=Premissas!$C$25)*Premissas!$C$34*Premissas!$C$14*(1+Premissas!$C$57)^C235</f>
        <v>0</v>
      </c>
      <c r="H235" s="16" t="n">
        <f aca="false">IF(AND($A235&gt;Premissas!$C$25,$A235&lt;Premissas!$C$27),Premissas!$C$35/MAX(1,Premissas!$C$26),0)</f>
        <v>0</v>
      </c>
      <c r="I235" s="35" t="n">
        <f aca="false">IF(AND($A235&gt;Premissas!$C$25,((YEAR($A235)-YEAR(Premissas!$C$25))*12+MONTH($A235)-MONTH(Premissas!$C$25))&lt;=Premissas!$C$32),((YEAR($A235)-YEAR(Premissas!$C$25))*12+MONTH($A235)-MONTH(Premissas!$C$25)),0)</f>
        <v>0</v>
      </c>
      <c r="J235" s="16" t="n">
        <f aca="false">IF(I235&gt;0,N234*(1+Premissas!$C$59),0)</f>
        <v>0</v>
      </c>
      <c r="K235" s="16" t="n">
        <f aca="false">J235*Premissas!$C$58</f>
        <v>0</v>
      </c>
      <c r="L235" s="16" t="n">
        <f aca="false">IF(I235&gt;0,J235/(Premissas!$C$32-I235+1),0)</f>
        <v>0</v>
      </c>
      <c r="M235" s="16" t="n">
        <f aca="false">K235+L235</f>
        <v>0</v>
      </c>
      <c r="N235" s="16" t="n">
        <f aca="false">IF($A235=Premissas!$C$25,Premissas!$C$13*E235,IF(I235&gt;0,J235-L235,0))</f>
        <v>0</v>
      </c>
      <c r="O235" s="37" t="n">
        <f aca="false">IF($A235&gt;=Premissas!$C$27,Premissas!$C$39*IF(((YEAR($A235)-YEAR(Premissas!$C$27))*12+MONTH($A235)-MONTH(Premissas!$C$27))&lt;Premissas!$C$41,Premissas!$C$42,1),0)</f>
        <v>0.62</v>
      </c>
      <c r="P235" s="16" t="n">
        <f aca="false">O235*Premissas!$C$38*Premissas!$C$40*(1+Premissas!$C$60)^((YEAR($A235)-YEAR(Premissas!$C$19))*12+MONTH($A235)-MONTH(Premissas!$C$19))</f>
        <v>9072.21046479189</v>
      </c>
      <c r="Q235" s="16" t="n">
        <f aca="false">P235*Premissas!$C$43</f>
        <v>1451.5536743667</v>
      </c>
      <c r="R235" s="16" t="n">
        <f aca="false">P235*Premissas!$C$44</f>
        <v>1814.44209295838</v>
      </c>
      <c r="S235" s="16" t="n">
        <f aca="false">IF($A235&gt;=Premissas!$C$25,Premissas!$C$45*(1+Premissas!$C$60)^((YEAR($A235)-YEAR(Premissas!$C$19))*12+MONTH($A235)-MONTH(Premissas!$C$19)),0)</f>
        <v>1590.49973085412</v>
      </c>
      <c r="T235" s="16" t="n">
        <f aca="false">IF($A235&gt;=Premissas!$C$27,Premissas!$C$46*(1+Premissas!$C$60)^((YEAR($A235)-YEAR(Premissas!$C$19))*12+MONTH($A235)-MONTH(Premissas!$C$19)),0)</f>
        <v>636.199892341647</v>
      </c>
      <c r="U235" s="16" t="n">
        <f aca="false">IF($A235&gt;=Premissas!$C$27,Premissas!$C$47*(1+Premissas!$C$60)^((YEAR($A235)-YEAR(Premissas!$C$19))*12+MONTH($A235)-MONTH(Premissas!$C$19)),0)</f>
        <v>318.099946170824</v>
      </c>
      <c r="V235" s="16" t="n">
        <f aca="false">IF($A235&gt;=Premissas!$C$27,MAX(0,P235-Q235-R235-S235)*Premissas!$C$49,0)</f>
        <v>1159.32161581849</v>
      </c>
      <c r="W235" s="16" t="n">
        <f aca="false">P235-Q235-R235-S235-T235-U235-V235</f>
        <v>2102.09351228173</v>
      </c>
      <c r="X235" s="16" t="n">
        <f aca="false">W235-F235-G235-H235-M235</f>
        <v>2102.09351228173</v>
      </c>
      <c r="Y235" s="16" t="n">
        <f aca="false">Y234+X235</f>
        <v>-577341.497259265</v>
      </c>
      <c r="Z235" s="16" t="n">
        <f aca="false">Premissas!$C$14*(1+Premissas!$C$57)^((YEAR(Premissas!$C$19)-YEAR(Premissas!$C$18))*12+MONTH(Premissas!$C$19)-MONTH(Premissas!$C$18))*(1+Premissas!$C$61)^((YEAR($A235)-YEAR(Premissas!$C$19))*12+MONTH($A235)-MONTH(Premissas!$C$19))</f>
        <v>1218302.36129007</v>
      </c>
      <c r="AA235" s="16" t="n">
        <f aca="false">IF($A235&gt;=Premissas!$C$25,Z235*(1-Premissas!$C$53)-N235-Premissas!$C$54*MAX(0,Z235*(1-Premissas!$C$53)-(Premissas!$C$14*(1+Premissas!$C$57)^((YEAR(Premissas!$C$25)-YEAR(Premissas!$C$18))*12+MONTH(Premissas!$C$25)-MONTH(Premissas!$C$18))*(1+Premissas!$C$34))),"")</f>
        <v>1054625.79618243</v>
      </c>
      <c r="AB235" s="16" t="n">
        <f aca="false">IF($A235&gt;=Premissas!$C$25,Y235+AA235,"")</f>
        <v>477284.298923168</v>
      </c>
      <c r="AC235" s="20" t="n">
        <f aca="false">IF(AND($A235&gt;=Premissas!$C$27,W235&gt;=M235),$A235,"")</f>
        <v>53387</v>
      </c>
      <c r="AD235" s="20" t="str">
        <f aca="false">IF(AND($A235&gt;=Premissas!$C$27,Y235&gt;=0),$A235,"")</f>
        <v/>
      </c>
      <c r="AE235" s="20" t="n">
        <f aca="false">IF(AND($A235&gt;=Premissas!$C$25,N(AB235)&gt;=0),$A235,"")</f>
        <v>53387</v>
      </c>
    </row>
    <row r="236" customFormat="false" ht="15" hidden="false" customHeight="false" outlineLevel="0" collapsed="false">
      <c r="A236" s="20" t="n">
        <f aca="false">DATE(YEAR(A235),MONTH(A235)+1,1)</f>
        <v>53418</v>
      </c>
      <c r="B236" s="5" t="str">
        <f aca="false">IF($A236&lt;Premissas!$C$25,"Obra",IF($A236=Premissas!$C$25,"Chaves",IF($A236&lt;Premissas!$C$27,"Mobiliando","Airbnb")))</f>
        <v>Airbnb</v>
      </c>
      <c r="C236" s="35" t="n">
        <f aca="false">(YEAR($A236)-YEAR(Premissas!$C$18))*12+MONTH($A236)-MONTH(Premissas!$C$18)</f>
        <v>235</v>
      </c>
      <c r="D236" s="16" t="n">
        <f aca="false">($A236=Premissas!$C$19)*Premissas!$C$8+(($A236=EDATE(Premissas!$C$19,1))+($A236=EDATE(Premissas!$C$19,2)))*Premissas!$C$9+AND($A236&gt;=Premissas!$C$20,$A236&lt;EDATE(Premissas!$C$20,Premissas!$C$21))*Premissas!$C$10+(($A236=Premissas!$C$22)+($A236=Premissas!$C$23)+($A236=Premissas!$C$24))*Premissas!$C$11+($A236=Premissas!$C$25)*Premissas!$C$12</f>
        <v>0</v>
      </c>
      <c r="E236" s="36" t="n">
        <f aca="false">(1+Premissas!$C$57)^C236</f>
        <v>2.85338693138757</v>
      </c>
      <c r="F236" s="16" t="n">
        <f aca="false">D236*E236</f>
        <v>0</v>
      </c>
      <c r="G236" s="16" t="n">
        <f aca="false">($A236=Premissas!$C$25)*Premissas!$C$34*Premissas!$C$14*(1+Premissas!$C$57)^C236</f>
        <v>0</v>
      </c>
      <c r="H236" s="16" t="n">
        <f aca="false">IF(AND($A236&gt;Premissas!$C$25,$A236&lt;Premissas!$C$27),Premissas!$C$35/MAX(1,Premissas!$C$26),0)</f>
        <v>0</v>
      </c>
      <c r="I236" s="35" t="n">
        <f aca="false">IF(AND($A236&gt;Premissas!$C$25,((YEAR($A236)-YEAR(Premissas!$C$25))*12+MONTH($A236)-MONTH(Premissas!$C$25))&lt;=Premissas!$C$32),((YEAR($A236)-YEAR(Premissas!$C$25))*12+MONTH($A236)-MONTH(Premissas!$C$25)),0)</f>
        <v>0</v>
      </c>
      <c r="J236" s="16" t="n">
        <f aca="false">IF(I236&gt;0,N235*(1+Premissas!$C$59),0)</f>
        <v>0</v>
      </c>
      <c r="K236" s="16" t="n">
        <f aca="false">J236*Premissas!$C$58</f>
        <v>0</v>
      </c>
      <c r="L236" s="16" t="n">
        <f aca="false">IF(I236&gt;0,J236/(Premissas!$C$32-I236+1),0)</f>
        <v>0</v>
      </c>
      <c r="M236" s="16" t="n">
        <f aca="false">K236+L236</f>
        <v>0</v>
      </c>
      <c r="N236" s="16" t="n">
        <f aca="false">IF($A236=Premissas!$C$25,Premissas!$C$13*E236,IF(I236&gt;0,J236-L236,0))</f>
        <v>0</v>
      </c>
      <c r="O236" s="37" t="n">
        <f aca="false">IF($A236&gt;=Premissas!$C$27,Premissas!$C$39*IF(((YEAR($A236)-YEAR(Premissas!$C$27))*12+MONTH($A236)-MONTH(Premissas!$C$27))&lt;Premissas!$C$41,Premissas!$C$42,1),0)</f>
        <v>0.62</v>
      </c>
      <c r="P236" s="16" t="n">
        <f aca="false">O236*Premissas!$C$38*Premissas!$C$40*(1+Premissas!$C$60)^((YEAR($A236)-YEAR(Premissas!$C$19))*12+MONTH($A236)-MONTH(Premissas!$C$19))</f>
        <v>9101.91052110296</v>
      </c>
      <c r="Q236" s="16" t="n">
        <f aca="false">P236*Premissas!$C$43</f>
        <v>1456.30568337647</v>
      </c>
      <c r="R236" s="16" t="n">
        <f aca="false">P236*Premissas!$C$44</f>
        <v>1820.38210422059</v>
      </c>
      <c r="S236" s="16" t="n">
        <f aca="false">IF($A236&gt;=Premissas!$C$25,Premissas!$C$45*(1+Premissas!$C$60)^((YEAR($A236)-YEAR(Premissas!$C$19))*12+MONTH($A236)-MONTH(Premissas!$C$19)),0)</f>
        <v>1595.70661309659</v>
      </c>
      <c r="T236" s="16" t="n">
        <f aca="false">IF($A236&gt;=Premissas!$C$27,Premissas!$C$46*(1+Premissas!$C$60)^((YEAR($A236)-YEAR(Premissas!$C$19))*12+MONTH($A236)-MONTH(Premissas!$C$19)),0)</f>
        <v>638.282645238637</v>
      </c>
      <c r="U236" s="16" t="n">
        <f aca="false">IF($A236&gt;=Premissas!$C$27,Premissas!$C$47*(1+Premissas!$C$60)^((YEAR($A236)-YEAR(Premissas!$C$19))*12+MONTH($A236)-MONTH(Premissas!$C$19)),0)</f>
        <v>319.141322619318</v>
      </c>
      <c r="V236" s="16" t="n">
        <f aca="false">IF($A236&gt;=Premissas!$C$27,MAX(0,P236-Q236-R236-S236)*Premissas!$C$49,0)</f>
        <v>1163.11693311256</v>
      </c>
      <c r="W236" s="16" t="n">
        <f aca="false">P236-Q236-R236-S236-T236-U236-V236</f>
        <v>2108.97521943879</v>
      </c>
      <c r="X236" s="16" t="n">
        <f aca="false">W236-F236-G236-H236-M236</f>
        <v>2108.97521943879</v>
      </c>
      <c r="Y236" s="16" t="n">
        <f aca="false">Y235+X236</f>
        <v>-575232.522039826</v>
      </c>
      <c r="Z236" s="16" t="n">
        <f aca="false">Premissas!$C$14*(1+Premissas!$C$57)^((YEAR(Premissas!$C$19)-YEAR(Premissas!$C$18))*12+MONTH(Premissas!$C$19)-MONTH(Premissas!$C$18))*(1+Premissas!$C$61)^((YEAR($A236)-YEAR(Premissas!$C$19))*12+MONTH($A236)-MONTH(Premissas!$C$19))</f>
        <v>1223265.87591588</v>
      </c>
      <c r="AA236" s="16" t="n">
        <f aca="false">IF($A236&gt;=Premissas!$C$25,Z236*(1-Premissas!$C$53)-N236-Premissas!$C$54*MAX(0,Z236*(1-Premissas!$C$53)-(Premissas!$C$14*(1+Premissas!$C$57)^((YEAR(Premissas!$C$25)-YEAR(Premissas!$C$18))*12+MONTH(Premissas!$C$25)-MONTH(Premissas!$C$18))*(1+Premissas!$C$34))),"")</f>
        <v>1058591.64436845</v>
      </c>
      <c r="AB236" s="16" t="n">
        <f aca="false">IF($A236&gt;=Premissas!$C$25,Y236+AA236,"")</f>
        <v>483359.122328627</v>
      </c>
      <c r="AC236" s="20" t="n">
        <f aca="false">IF(AND($A236&gt;=Premissas!$C$27,W236&gt;=M236),$A236,"")</f>
        <v>53418</v>
      </c>
      <c r="AD236" s="20" t="str">
        <f aca="false">IF(AND($A236&gt;=Premissas!$C$27,Y236&gt;=0),$A236,"")</f>
        <v/>
      </c>
      <c r="AE236" s="20" t="n">
        <f aca="false">IF(AND($A236&gt;=Premissas!$C$25,N(AB236)&gt;=0),$A236,"")</f>
        <v>53418</v>
      </c>
    </row>
    <row r="237" customFormat="false" ht="15" hidden="false" customHeight="false" outlineLevel="0" collapsed="false">
      <c r="A237" s="20" t="n">
        <f aca="false">DATE(YEAR(A236),MONTH(A236)+1,1)</f>
        <v>53448</v>
      </c>
      <c r="B237" s="5" t="str">
        <f aca="false">IF($A237&lt;Premissas!$C$25,"Obra",IF($A237=Premissas!$C$25,"Chaves",IF($A237&lt;Premissas!$C$27,"Mobiliando","Airbnb")))</f>
        <v>Airbnb</v>
      </c>
      <c r="C237" s="35" t="n">
        <f aca="false">(YEAR($A237)-YEAR(Premissas!$C$18))*12+MONTH($A237)-MONTH(Premissas!$C$18)</f>
        <v>236</v>
      </c>
      <c r="D237" s="16" t="n">
        <f aca="false">($A237=Premissas!$C$19)*Premissas!$C$8+(($A237=EDATE(Premissas!$C$19,1))+($A237=EDATE(Premissas!$C$19,2)))*Premissas!$C$9+AND($A237&gt;=Premissas!$C$20,$A237&lt;EDATE(Premissas!$C$20,Premissas!$C$21))*Premissas!$C$10+(($A237=Premissas!$C$22)+($A237=Premissas!$C$23)+($A237=Premissas!$C$24))*Premissas!$C$11+($A237=Premissas!$C$25)*Premissas!$C$12</f>
        <v>0</v>
      </c>
      <c r="E237" s="36" t="n">
        <f aca="false">(1+Premissas!$C$57)^C237</f>
        <v>2.86614641863856</v>
      </c>
      <c r="F237" s="16" t="n">
        <f aca="false">D237*E237</f>
        <v>0</v>
      </c>
      <c r="G237" s="16" t="n">
        <f aca="false">($A237=Premissas!$C$25)*Premissas!$C$34*Premissas!$C$14*(1+Premissas!$C$57)^C237</f>
        <v>0</v>
      </c>
      <c r="H237" s="16" t="n">
        <f aca="false">IF(AND($A237&gt;Premissas!$C$25,$A237&lt;Premissas!$C$27),Premissas!$C$35/MAX(1,Premissas!$C$26),0)</f>
        <v>0</v>
      </c>
      <c r="I237" s="35" t="n">
        <f aca="false">IF(AND($A237&gt;Premissas!$C$25,((YEAR($A237)-YEAR(Premissas!$C$25))*12+MONTH($A237)-MONTH(Premissas!$C$25))&lt;=Premissas!$C$32),((YEAR($A237)-YEAR(Premissas!$C$25))*12+MONTH($A237)-MONTH(Premissas!$C$25)),0)</f>
        <v>0</v>
      </c>
      <c r="J237" s="16" t="n">
        <f aca="false">IF(I237&gt;0,N236*(1+Premissas!$C$59),0)</f>
        <v>0</v>
      </c>
      <c r="K237" s="16" t="n">
        <f aca="false">J237*Premissas!$C$58</f>
        <v>0</v>
      </c>
      <c r="L237" s="16" t="n">
        <f aca="false">IF(I237&gt;0,J237/(Premissas!$C$32-I237+1),0)</f>
        <v>0</v>
      </c>
      <c r="M237" s="16" t="n">
        <f aca="false">K237+L237</f>
        <v>0</v>
      </c>
      <c r="N237" s="16" t="n">
        <f aca="false">IF($A237=Premissas!$C$25,Premissas!$C$13*E237,IF(I237&gt;0,J237-L237,0))</f>
        <v>0</v>
      </c>
      <c r="O237" s="37" t="n">
        <f aca="false">IF($A237&gt;=Premissas!$C$27,Premissas!$C$39*IF(((YEAR($A237)-YEAR(Premissas!$C$27))*12+MONTH($A237)-MONTH(Premissas!$C$27))&lt;Premissas!$C$41,Premissas!$C$42,1),0)</f>
        <v>0.62</v>
      </c>
      <c r="P237" s="16" t="n">
        <f aca="false">O237*Premissas!$C$38*Premissas!$C$40*(1+Premissas!$C$60)^((YEAR($A237)-YEAR(Premissas!$C$19))*12+MONTH($A237)-MONTH(Premissas!$C$19))</f>
        <v>9131.70780766991</v>
      </c>
      <c r="Q237" s="16" t="n">
        <f aca="false">P237*Premissas!$C$43</f>
        <v>1461.07324922719</v>
      </c>
      <c r="R237" s="16" t="n">
        <f aca="false">P237*Premissas!$C$44</f>
        <v>1826.34156153398</v>
      </c>
      <c r="S237" s="16" t="n">
        <f aca="false">IF($A237&gt;=Premissas!$C$25,Premissas!$C$45*(1+Premissas!$C$60)^((YEAR($A237)-YEAR(Premissas!$C$19))*12+MONTH($A237)-MONTH(Premissas!$C$19)),0)</f>
        <v>1600.9305413166</v>
      </c>
      <c r="T237" s="16" t="n">
        <f aca="false">IF($A237&gt;=Premissas!$C$27,Premissas!$C$46*(1+Premissas!$C$60)^((YEAR($A237)-YEAR(Premissas!$C$19))*12+MONTH($A237)-MONTH(Premissas!$C$19)),0)</f>
        <v>640.372216526642</v>
      </c>
      <c r="U237" s="16" t="n">
        <f aca="false">IF($A237&gt;=Premissas!$C$27,Premissas!$C$47*(1+Premissas!$C$60)^((YEAR($A237)-YEAR(Premissas!$C$19))*12+MONTH($A237)-MONTH(Premissas!$C$19)),0)</f>
        <v>320.186108263321</v>
      </c>
      <c r="V237" s="16" t="n">
        <f aca="false">IF($A237&gt;=Premissas!$C$27,MAX(0,P237-Q237-R237-S237)*Premissas!$C$49,0)</f>
        <v>1166.92467528784</v>
      </c>
      <c r="W237" s="16" t="n">
        <f aca="false">P237-Q237-R237-S237-T237-U237-V237</f>
        <v>2115.87945551434</v>
      </c>
      <c r="X237" s="16" t="n">
        <f aca="false">W237-F237-G237-H237-M237</f>
        <v>2115.87945551434</v>
      </c>
      <c r="Y237" s="16" t="n">
        <f aca="false">Y236+X237</f>
        <v>-573116.642584312</v>
      </c>
      <c r="Z237" s="16" t="n">
        <f aca="false">Premissas!$C$14*(1+Premissas!$C$57)^((YEAR(Premissas!$C$19)-YEAR(Premissas!$C$18))*12+MONTH(Premissas!$C$19)-MONTH(Premissas!$C$18))*(1+Premissas!$C$61)^((YEAR($A237)-YEAR(Premissas!$C$19))*12+MONTH($A237)-MONTH(Premissas!$C$19))</f>
        <v>1228249.61251467</v>
      </c>
      <c r="AA237" s="16" t="n">
        <f aca="false">IF($A237&gt;=Premissas!$C$25,Z237*(1-Premissas!$C$53)-N237-Premissas!$C$54*MAX(0,Z237*(1-Premissas!$C$53)-(Premissas!$C$14*(1+Premissas!$C$57)^((YEAR(Premissas!$C$25)-YEAR(Premissas!$C$18))*12+MONTH(Premissas!$C$25)-MONTH(Premissas!$C$18))*(1+Premissas!$C$34))),"")</f>
        <v>1062573.64991089</v>
      </c>
      <c r="AB237" s="16" t="n">
        <f aca="false">IF($A237&gt;=Premissas!$C$25,Y237+AA237,"")</f>
        <v>489457.007326578</v>
      </c>
      <c r="AC237" s="20" t="n">
        <f aca="false">IF(AND($A237&gt;=Premissas!$C$27,W237&gt;=M237),$A237,"")</f>
        <v>53448</v>
      </c>
      <c r="AD237" s="20" t="str">
        <f aca="false">IF(AND($A237&gt;=Premissas!$C$27,Y237&gt;=0),$A237,"")</f>
        <v/>
      </c>
      <c r="AE237" s="20" t="n">
        <f aca="false">IF(AND($A237&gt;=Premissas!$C$25,N(AB237)&gt;=0),$A237,"")</f>
        <v>53448</v>
      </c>
    </row>
    <row r="238" customFormat="false" ht="15" hidden="false" customHeight="false" outlineLevel="0" collapsed="false">
      <c r="A238" s="20" t="n">
        <f aca="false">DATE(YEAR(A237),MONTH(A237)+1,1)</f>
        <v>53479</v>
      </c>
      <c r="B238" s="5" t="str">
        <f aca="false">IF($A238&lt;Premissas!$C$25,"Obra",IF($A238=Premissas!$C$25,"Chaves",IF($A238&lt;Premissas!$C$27,"Mobiliando","Airbnb")))</f>
        <v>Airbnb</v>
      </c>
      <c r="C238" s="35" t="n">
        <f aca="false">(YEAR($A238)-YEAR(Premissas!$C$18))*12+MONTH($A238)-MONTH(Premissas!$C$18)</f>
        <v>237</v>
      </c>
      <c r="D238" s="16" t="n">
        <f aca="false">($A238=Premissas!$C$19)*Premissas!$C$8+(($A238=EDATE(Premissas!$C$19,1))+($A238=EDATE(Premissas!$C$19,2)))*Premissas!$C$9+AND($A238&gt;=Premissas!$C$20,$A238&lt;EDATE(Premissas!$C$20,Premissas!$C$21))*Premissas!$C$10+(($A238=Premissas!$C$22)+($A238=Premissas!$C$23)+($A238=Premissas!$C$24))*Premissas!$C$11+($A238=Premissas!$C$25)*Premissas!$C$12</f>
        <v>0</v>
      </c>
      <c r="E238" s="36" t="n">
        <f aca="false">(1+Premissas!$C$57)^C238</f>
        <v>2.87896296247487</v>
      </c>
      <c r="F238" s="16" t="n">
        <f aca="false">D238*E238</f>
        <v>0</v>
      </c>
      <c r="G238" s="16" t="n">
        <f aca="false">($A238=Premissas!$C$25)*Premissas!$C$34*Premissas!$C$14*(1+Premissas!$C$57)^C238</f>
        <v>0</v>
      </c>
      <c r="H238" s="16" t="n">
        <f aca="false">IF(AND($A238&gt;Premissas!$C$25,$A238&lt;Premissas!$C$27),Premissas!$C$35/MAX(1,Premissas!$C$26),0)</f>
        <v>0</v>
      </c>
      <c r="I238" s="35" t="n">
        <f aca="false">IF(AND($A238&gt;Premissas!$C$25,((YEAR($A238)-YEAR(Premissas!$C$25))*12+MONTH($A238)-MONTH(Premissas!$C$25))&lt;=Premissas!$C$32),((YEAR($A238)-YEAR(Premissas!$C$25))*12+MONTH($A238)-MONTH(Premissas!$C$25)),0)</f>
        <v>0</v>
      </c>
      <c r="J238" s="16" t="n">
        <f aca="false">IF(I238&gt;0,N237*(1+Premissas!$C$59),0)</f>
        <v>0</v>
      </c>
      <c r="K238" s="16" t="n">
        <f aca="false">J238*Premissas!$C$58</f>
        <v>0</v>
      </c>
      <c r="L238" s="16" t="n">
        <f aca="false">IF(I238&gt;0,J238/(Premissas!$C$32-I238+1),0)</f>
        <v>0</v>
      </c>
      <c r="M238" s="16" t="n">
        <f aca="false">K238+L238</f>
        <v>0</v>
      </c>
      <c r="N238" s="16" t="n">
        <f aca="false">IF($A238=Premissas!$C$25,Premissas!$C$13*E238,IF(I238&gt;0,J238-L238,0))</f>
        <v>0</v>
      </c>
      <c r="O238" s="37" t="n">
        <f aca="false">IF($A238&gt;=Premissas!$C$27,Premissas!$C$39*IF(((YEAR($A238)-YEAR(Premissas!$C$27))*12+MONTH($A238)-MONTH(Premissas!$C$27))&lt;Premissas!$C$41,Premissas!$C$42,1),0)</f>
        <v>0.62</v>
      </c>
      <c r="P238" s="16" t="n">
        <f aca="false">O238*Premissas!$C$38*Premissas!$C$40*(1+Premissas!$C$60)^((YEAR($A238)-YEAR(Premissas!$C$19))*12+MONTH($A238)-MONTH(Premissas!$C$19))</f>
        <v>9161.6026427993</v>
      </c>
      <c r="Q238" s="16" t="n">
        <f aca="false">P238*Premissas!$C$43</f>
        <v>1465.85642284789</v>
      </c>
      <c r="R238" s="16" t="n">
        <f aca="false">P238*Premissas!$C$44</f>
        <v>1832.32052855986</v>
      </c>
      <c r="S238" s="16" t="n">
        <f aca="false">IF($A238&gt;=Premissas!$C$25,Premissas!$C$45*(1+Premissas!$C$60)^((YEAR($A238)-YEAR(Premissas!$C$19))*12+MONTH($A238)-MONTH(Premissas!$C$19)),0)</f>
        <v>1606.17157131825</v>
      </c>
      <c r="T238" s="16" t="n">
        <f aca="false">IF($A238&gt;=Premissas!$C$27,Premissas!$C$46*(1+Premissas!$C$60)^((YEAR($A238)-YEAR(Premissas!$C$19))*12+MONTH($A238)-MONTH(Premissas!$C$19)),0)</f>
        <v>642.4686285273</v>
      </c>
      <c r="U238" s="16" t="n">
        <f aca="false">IF($A238&gt;=Premissas!$C$27,Premissas!$C$47*(1+Premissas!$C$60)^((YEAR($A238)-YEAR(Premissas!$C$19))*12+MONTH($A238)-MONTH(Premissas!$C$19)),0)</f>
        <v>321.23431426365</v>
      </c>
      <c r="V238" s="16" t="n">
        <f aca="false">IF($A238&gt;=Premissas!$C$27,MAX(0,P238-Q238-R238-S238)*Premissas!$C$49,0)</f>
        <v>1170.74488302016</v>
      </c>
      <c r="W238" s="16" t="n">
        <f aca="false">P238-Q238-R238-S238-T238-U238-V238</f>
        <v>2122.80629426219</v>
      </c>
      <c r="X238" s="16" t="n">
        <f aca="false">W238-F238-G238-H238-M238</f>
        <v>2122.80629426219</v>
      </c>
      <c r="Y238" s="16" t="n">
        <f aca="false">Y237+X238</f>
        <v>-570993.836290049</v>
      </c>
      <c r="Z238" s="16" t="n">
        <f aca="false">Premissas!$C$14*(1+Premissas!$C$57)^((YEAR(Premissas!$C$19)-YEAR(Premissas!$C$18))*12+MONTH(Premissas!$C$19)-MONTH(Premissas!$C$18))*(1+Premissas!$C$61)^((YEAR($A238)-YEAR(Premissas!$C$19))*12+MONTH($A238)-MONTH(Premissas!$C$19))</f>
        <v>1233253.65347328</v>
      </c>
      <c r="AA238" s="16" t="n">
        <f aca="false">IF($A238&gt;=Premissas!$C$25,Z238*(1-Premissas!$C$53)-N238-Premissas!$C$54*MAX(0,Z238*(1-Premissas!$C$53)-(Premissas!$C$14*(1+Premissas!$C$57)^((YEAR(Premissas!$C$25)-YEAR(Premissas!$C$18))*12+MONTH(Premissas!$C$25)-MONTH(Premissas!$C$18))*(1+Premissas!$C$34))),"")</f>
        <v>1066571.87863681</v>
      </c>
      <c r="AB238" s="16" t="n">
        <f aca="false">IF($A238&gt;=Premissas!$C$25,Y238+AA238,"")</f>
        <v>495578.042346763</v>
      </c>
      <c r="AC238" s="20" t="n">
        <f aca="false">IF(AND($A238&gt;=Premissas!$C$27,W238&gt;=M238),$A238,"")</f>
        <v>53479</v>
      </c>
      <c r="AD238" s="20" t="str">
        <f aca="false">IF(AND($A238&gt;=Premissas!$C$27,Y238&gt;=0),$A238,"")</f>
        <v/>
      </c>
      <c r="AE238" s="20" t="n">
        <f aca="false">IF(AND($A238&gt;=Premissas!$C$25,N(AB238)&gt;=0),$A238,"")</f>
        <v>53479</v>
      </c>
    </row>
    <row r="239" customFormat="false" ht="15" hidden="false" customHeight="false" outlineLevel="0" collapsed="false">
      <c r="A239" s="20" t="n">
        <f aca="false">DATE(YEAR(A238),MONTH(A238)+1,1)</f>
        <v>53509</v>
      </c>
      <c r="B239" s="5" t="str">
        <f aca="false">IF($A239&lt;Premissas!$C$25,"Obra",IF($A239=Premissas!$C$25,"Chaves",IF($A239&lt;Premissas!$C$27,"Mobiliando","Airbnb")))</f>
        <v>Airbnb</v>
      </c>
      <c r="C239" s="35" t="n">
        <f aca="false">(YEAR($A239)-YEAR(Premissas!$C$18))*12+MONTH($A239)-MONTH(Premissas!$C$18)</f>
        <v>238</v>
      </c>
      <c r="D239" s="16" t="n">
        <f aca="false">($A239=Premissas!$C$19)*Premissas!$C$8+(($A239=EDATE(Premissas!$C$19,1))+($A239=EDATE(Premissas!$C$19,2)))*Premissas!$C$9+AND($A239&gt;=Premissas!$C$20,$A239&lt;EDATE(Premissas!$C$20,Premissas!$C$21))*Premissas!$C$10+(($A239=Premissas!$C$22)+($A239=Premissas!$C$23)+($A239=Premissas!$C$24))*Premissas!$C$11+($A239=Premissas!$C$25)*Premissas!$C$12</f>
        <v>0</v>
      </c>
      <c r="E239" s="36" t="n">
        <f aca="false">(1+Premissas!$C$57)^C239</f>
        <v>2.89183681803638</v>
      </c>
      <c r="F239" s="16" t="n">
        <f aca="false">D239*E239</f>
        <v>0</v>
      </c>
      <c r="G239" s="16" t="n">
        <f aca="false">($A239=Premissas!$C$25)*Premissas!$C$34*Premissas!$C$14*(1+Premissas!$C$57)^C239</f>
        <v>0</v>
      </c>
      <c r="H239" s="16" t="n">
        <f aca="false">IF(AND($A239&gt;Premissas!$C$25,$A239&lt;Premissas!$C$27),Premissas!$C$35/MAX(1,Premissas!$C$26),0)</f>
        <v>0</v>
      </c>
      <c r="I239" s="35" t="n">
        <f aca="false">IF(AND($A239&gt;Premissas!$C$25,((YEAR($A239)-YEAR(Premissas!$C$25))*12+MONTH($A239)-MONTH(Premissas!$C$25))&lt;=Premissas!$C$32),((YEAR($A239)-YEAR(Premissas!$C$25))*12+MONTH($A239)-MONTH(Premissas!$C$25)),0)</f>
        <v>0</v>
      </c>
      <c r="J239" s="16" t="n">
        <f aca="false">IF(I239&gt;0,N238*(1+Premissas!$C$59),0)</f>
        <v>0</v>
      </c>
      <c r="K239" s="16" t="n">
        <f aca="false">J239*Premissas!$C$58</f>
        <v>0</v>
      </c>
      <c r="L239" s="16" t="n">
        <f aca="false">IF(I239&gt;0,J239/(Premissas!$C$32-I239+1),0)</f>
        <v>0</v>
      </c>
      <c r="M239" s="16" t="n">
        <f aca="false">K239+L239</f>
        <v>0</v>
      </c>
      <c r="N239" s="16" t="n">
        <f aca="false">IF($A239=Premissas!$C$25,Premissas!$C$13*E239,IF(I239&gt;0,J239-L239,0))</f>
        <v>0</v>
      </c>
      <c r="O239" s="37" t="n">
        <f aca="false">IF($A239&gt;=Premissas!$C$27,Premissas!$C$39*IF(((YEAR($A239)-YEAR(Premissas!$C$27))*12+MONTH($A239)-MONTH(Premissas!$C$27))&lt;Premissas!$C$41,Premissas!$C$42,1),0)</f>
        <v>0.62</v>
      </c>
      <c r="P239" s="16" t="n">
        <f aca="false">O239*Premissas!$C$38*Premissas!$C$40*(1+Premissas!$C$60)^((YEAR($A239)-YEAR(Premissas!$C$19))*12+MONTH($A239)-MONTH(Premissas!$C$19))</f>
        <v>9191.59534583973</v>
      </c>
      <c r="Q239" s="16" t="n">
        <f aca="false">P239*Premissas!$C$43</f>
        <v>1470.65525533436</v>
      </c>
      <c r="R239" s="16" t="n">
        <f aca="false">P239*Premissas!$C$44</f>
        <v>1838.31906916795</v>
      </c>
      <c r="S239" s="16" t="n">
        <f aca="false">IF($A239&gt;=Premissas!$C$25,Premissas!$C$45*(1+Premissas!$C$60)^((YEAR($A239)-YEAR(Premissas!$C$19))*12+MONTH($A239)-MONTH(Premissas!$C$19)),0)</f>
        <v>1611.42975908831</v>
      </c>
      <c r="T239" s="16" t="n">
        <f aca="false">IF($A239&gt;=Premissas!$C$27,Premissas!$C$46*(1+Premissas!$C$60)^((YEAR($A239)-YEAR(Premissas!$C$19))*12+MONTH($A239)-MONTH(Premissas!$C$19)),0)</f>
        <v>644.571903635325</v>
      </c>
      <c r="U239" s="16" t="n">
        <f aca="false">IF($A239&gt;=Premissas!$C$27,Premissas!$C$47*(1+Premissas!$C$60)^((YEAR($A239)-YEAR(Premissas!$C$19))*12+MONTH($A239)-MONTH(Premissas!$C$19)),0)</f>
        <v>322.285951817662</v>
      </c>
      <c r="V239" s="16" t="n">
        <f aca="false">IF($A239&gt;=Premissas!$C$27,MAX(0,P239-Q239-R239-S239)*Premissas!$C$49,0)</f>
        <v>1174.57759711851</v>
      </c>
      <c r="W239" s="16" t="n">
        <f aca="false">P239-Q239-R239-S239-T239-U239-V239</f>
        <v>2129.75580967762</v>
      </c>
      <c r="X239" s="16" t="n">
        <f aca="false">W239-F239-G239-H239-M239</f>
        <v>2129.75580967762</v>
      </c>
      <c r="Y239" s="16" t="n">
        <f aca="false">Y238+X239</f>
        <v>-568864.080480372</v>
      </c>
      <c r="Z239" s="16" t="n">
        <f aca="false">Premissas!$C$14*(1+Premissas!$C$57)^((YEAR(Premissas!$C$19)-YEAR(Premissas!$C$18))*12+MONTH(Premissas!$C$19)-MONTH(Premissas!$C$18))*(1+Premissas!$C$61)^((YEAR($A239)-YEAR(Premissas!$C$19))*12+MONTH($A239)-MONTH(Premissas!$C$19))</f>
        <v>1238278.08151416</v>
      </c>
      <c r="AA239" s="16" t="n">
        <f aca="false">IF($A239&gt;=Premissas!$C$25,Z239*(1-Premissas!$C$53)-N239-Premissas!$C$54*MAX(0,Z239*(1-Premissas!$C$53)-(Premissas!$C$14*(1+Premissas!$C$57)^((YEAR(Premissas!$C$25)-YEAR(Premissas!$C$18))*12+MONTH(Premissas!$C$25)-MONTH(Premissas!$C$18))*(1+Premissas!$C$34))),"")</f>
        <v>1070586.39664148</v>
      </c>
      <c r="AB239" s="16" t="n">
        <f aca="false">IF($A239&gt;=Premissas!$C$25,Y239+AA239,"")</f>
        <v>501722.31616111</v>
      </c>
      <c r="AC239" s="20" t="n">
        <f aca="false">IF(AND($A239&gt;=Premissas!$C$27,W239&gt;=M239),$A239,"")</f>
        <v>53509</v>
      </c>
      <c r="AD239" s="20" t="str">
        <f aca="false">IF(AND($A239&gt;=Premissas!$C$27,Y239&gt;=0),$A239,"")</f>
        <v/>
      </c>
      <c r="AE239" s="20" t="n">
        <f aca="false">IF(AND($A239&gt;=Premissas!$C$25,N(AB239)&gt;=0),$A239,"")</f>
        <v>53509</v>
      </c>
    </row>
    <row r="240" customFormat="false" ht="15" hidden="false" customHeight="false" outlineLevel="0" collapsed="false">
      <c r="A240" s="20" t="n">
        <f aca="false">DATE(YEAR(A239),MONTH(A239)+1,1)</f>
        <v>53540</v>
      </c>
      <c r="B240" s="5" t="str">
        <f aca="false">IF($A240&lt;Premissas!$C$25,"Obra",IF($A240=Premissas!$C$25,"Chaves",IF($A240&lt;Premissas!$C$27,"Mobiliando","Airbnb")))</f>
        <v>Airbnb</v>
      </c>
      <c r="C240" s="35" t="n">
        <f aca="false">(YEAR($A240)-YEAR(Premissas!$C$18))*12+MONTH($A240)-MONTH(Premissas!$C$18)</f>
        <v>239</v>
      </c>
      <c r="D240" s="16" t="n">
        <f aca="false">($A240=Premissas!$C$19)*Premissas!$C$8+(($A240=EDATE(Premissas!$C$19,1))+($A240=EDATE(Premissas!$C$19,2)))*Premissas!$C$9+AND($A240&gt;=Premissas!$C$20,$A240&lt;EDATE(Premissas!$C$20,Premissas!$C$21))*Premissas!$C$10+(($A240=Premissas!$C$22)+($A240=Premissas!$C$23)+($A240=Premissas!$C$24))*Premissas!$C$11+($A240=Premissas!$C$25)*Premissas!$C$12</f>
        <v>0</v>
      </c>
      <c r="E240" s="36" t="n">
        <f aca="false">(1+Premissas!$C$57)^C240</f>
        <v>2.90476824160386</v>
      </c>
      <c r="F240" s="16" t="n">
        <f aca="false">D240*E240</f>
        <v>0</v>
      </c>
      <c r="G240" s="16" t="n">
        <f aca="false">($A240=Premissas!$C$25)*Premissas!$C$34*Premissas!$C$14*(1+Premissas!$C$57)^C240</f>
        <v>0</v>
      </c>
      <c r="H240" s="16" t="n">
        <f aca="false">IF(AND($A240&gt;Premissas!$C$25,$A240&lt;Premissas!$C$27),Premissas!$C$35/MAX(1,Premissas!$C$26),0)</f>
        <v>0</v>
      </c>
      <c r="I240" s="35" t="n">
        <f aca="false">IF(AND($A240&gt;Premissas!$C$25,((YEAR($A240)-YEAR(Premissas!$C$25))*12+MONTH($A240)-MONTH(Premissas!$C$25))&lt;=Premissas!$C$32),((YEAR($A240)-YEAR(Premissas!$C$25))*12+MONTH($A240)-MONTH(Premissas!$C$25)),0)</f>
        <v>0</v>
      </c>
      <c r="J240" s="16" t="n">
        <f aca="false">IF(I240&gt;0,N239*(1+Premissas!$C$59),0)</f>
        <v>0</v>
      </c>
      <c r="K240" s="16" t="n">
        <f aca="false">J240*Premissas!$C$58</f>
        <v>0</v>
      </c>
      <c r="L240" s="16" t="n">
        <f aca="false">IF(I240&gt;0,J240/(Premissas!$C$32-I240+1),0)</f>
        <v>0</v>
      </c>
      <c r="M240" s="16" t="n">
        <f aca="false">K240+L240</f>
        <v>0</v>
      </c>
      <c r="N240" s="16" t="n">
        <f aca="false">IF($A240=Premissas!$C$25,Premissas!$C$13*E240,IF(I240&gt;0,J240-L240,0))</f>
        <v>0</v>
      </c>
      <c r="O240" s="37" t="n">
        <f aca="false">IF($A240&gt;=Premissas!$C$27,Premissas!$C$39*IF(((YEAR($A240)-YEAR(Premissas!$C$27))*12+MONTH($A240)-MONTH(Premissas!$C$27))&lt;Premissas!$C$41,Premissas!$C$42,1),0)</f>
        <v>0.62</v>
      </c>
      <c r="P240" s="16" t="n">
        <f aca="false">O240*Premissas!$C$38*Premissas!$C$40*(1+Premissas!$C$60)^((YEAR($A240)-YEAR(Premissas!$C$19))*12+MONTH($A240)-MONTH(Premissas!$C$19))</f>
        <v>9221.68623718528</v>
      </c>
      <c r="Q240" s="16" t="n">
        <f aca="false">P240*Premissas!$C$43</f>
        <v>1475.46979794964</v>
      </c>
      <c r="R240" s="16" t="n">
        <f aca="false">P240*Premissas!$C$44</f>
        <v>1844.33724743706</v>
      </c>
      <c r="S240" s="16" t="n">
        <f aca="false">IF($A240&gt;=Premissas!$C$25,Premissas!$C$45*(1+Premissas!$C$60)^((YEAR($A240)-YEAR(Premissas!$C$19))*12+MONTH($A240)-MONTH(Premissas!$C$19)),0)</f>
        <v>1616.70516079686</v>
      </c>
      <c r="T240" s="16" t="n">
        <f aca="false">IF($A240&gt;=Premissas!$C$27,Premissas!$C$46*(1+Premissas!$C$60)^((YEAR($A240)-YEAR(Premissas!$C$19))*12+MONTH($A240)-MONTH(Premissas!$C$19)),0)</f>
        <v>646.682064318743</v>
      </c>
      <c r="U240" s="16" t="n">
        <f aca="false">IF($A240&gt;=Premissas!$C$27,Premissas!$C$47*(1+Premissas!$C$60)^((YEAR($A240)-YEAR(Premissas!$C$19))*12+MONTH($A240)-MONTH(Premissas!$C$19)),0)</f>
        <v>323.341032159372</v>
      </c>
      <c r="V240" s="16" t="n">
        <f aca="false">IF($A240&gt;=Premissas!$C$27,MAX(0,P240-Q240-R240-S240)*Premissas!$C$49,0)</f>
        <v>1178.42285852547</v>
      </c>
      <c r="W240" s="16" t="n">
        <f aca="false">P240-Q240-R240-S240-T240-U240-V240</f>
        <v>2136.72807599813</v>
      </c>
      <c r="X240" s="16" t="n">
        <f aca="false">W240-F240-G240-H240-M240</f>
        <v>2136.72807599813</v>
      </c>
      <c r="Y240" s="16" t="n">
        <f aca="false">Y239+X240</f>
        <v>-566727.352404374</v>
      </c>
      <c r="Z240" s="16" t="n">
        <f aca="false">Premissas!$C$14*(1+Premissas!$C$57)^((YEAR(Premissas!$C$19)-YEAR(Premissas!$C$18))*12+MONTH(Premissas!$C$19)-MONTH(Premissas!$C$18))*(1+Premissas!$C$61)^((YEAR($A240)-YEAR(Premissas!$C$19))*12+MONTH($A240)-MONTH(Premissas!$C$19))</f>
        <v>1243322.97969683</v>
      </c>
      <c r="AA240" s="16" t="n">
        <f aca="false">IF($A240&gt;=Premissas!$C$25,Z240*(1-Premissas!$C$53)-N240-Premissas!$C$54*MAX(0,Z240*(1-Premissas!$C$53)-(Premissas!$C$14*(1+Premissas!$C$57)^((YEAR(Premissas!$C$25)-YEAR(Premissas!$C$18))*12+MONTH(Premissas!$C$25)-MONTH(Premissas!$C$18))*(1+Premissas!$C$34))),"")</f>
        <v>1074617.27028943</v>
      </c>
      <c r="AB240" s="16" t="n">
        <f aca="false">IF($A240&gt;=Premissas!$C$25,Y240+AA240,"")</f>
        <v>507889.917885059</v>
      </c>
      <c r="AC240" s="20" t="n">
        <f aca="false">IF(AND($A240&gt;=Premissas!$C$27,W240&gt;=M240),$A240,"")</f>
        <v>53540</v>
      </c>
      <c r="AD240" s="20" t="str">
        <f aca="false">IF(AND($A240&gt;=Premissas!$C$27,Y240&gt;=0),$A240,"")</f>
        <v/>
      </c>
      <c r="AE240" s="20" t="n">
        <f aca="false">IF(AND($A240&gt;=Premissas!$C$25,N(AB240)&gt;=0),$A240,"")</f>
        <v>53540</v>
      </c>
    </row>
    <row r="241" customFormat="false" ht="15" hidden="false" customHeight="false" outlineLevel="0" collapsed="false">
      <c r="A241" s="20" t="n">
        <f aca="false">DATE(YEAR(A240),MONTH(A240)+1,1)</f>
        <v>53571</v>
      </c>
      <c r="B241" s="5" t="str">
        <f aca="false">IF($A241&lt;Premissas!$C$25,"Obra",IF($A241=Premissas!$C$25,"Chaves",IF($A241&lt;Premissas!$C$27,"Mobiliando","Airbnb")))</f>
        <v>Airbnb</v>
      </c>
      <c r="C241" s="35" t="n">
        <f aca="false">(YEAR($A241)-YEAR(Premissas!$C$18))*12+MONTH($A241)-MONTH(Premissas!$C$18)</f>
        <v>240</v>
      </c>
      <c r="D241" s="16" t="n">
        <f aca="false">($A241=Premissas!$C$19)*Premissas!$C$8+(($A241=EDATE(Premissas!$C$19,1))+($A241=EDATE(Premissas!$C$19,2)))*Premissas!$C$9+AND($A241&gt;=Premissas!$C$20,$A241&lt;EDATE(Premissas!$C$20,Premissas!$C$21))*Premissas!$C$10+(($A241=Premissas!$C$22)+($A241=Premissas!$C$23)+($A241=Premissas!$C$24))*Premissas!$C$11+($A241=Premissas!$C$25)*Premissas!$C$12</f>
        <v>0</v>
      </c>
      <c r="E241" s="36" t="n">
        <f aca="false">(1+Premissas!$C$57)^C241</f>
        <v>2.9177574906041</v>
      </c>
      <c r="F241" s="16" t="n">
        <f aca="false">D241*E241</f>
        <v>0</v>
      </c>
      <c r="G241" s="16" t="n">
        <f aca="false">($A241=Premissas!$C$25)*Premissas!$C$34*Premissas!$C$14*(1+Premissas!$C$57)^C241</f>
        <v>0</v>
      </c>
      <c r="H241" s="16" t="n">
        <f aca="false">IF(AND($A241&gt;Premissas!$C$25,$A241&lt;Premissas!$C$27),Premissas!$C$35/MAX(1,Premissas!$C$26),0)</f>
        <v>0</v>
      </c>
      <c r="I241" s="35" t="n">
        <f aca="false">IF(AND($A241&gt;Premissas!$C$25,((YEAR($A241)-YEAR(Premissas!$C$25))*12+MONTH($A241)-MONTH(Premissas!$C$25))&lt;=Premissas!$C$32),((YEAR($A241)-YEAR(Premissas!$C$25))*12+MONTH($A241)-MONTH(Premissas!$C$25)),0)</f>
        <v>0</v>
      </c>
      <c r="J241" s="16" t="n">
        <f aca="false">IF(I241&gt;0,N240*(1+Premissas!$C$59),0)</f>
        <v>0</v>
      </c>
      <c r="K241" s="16" t="n">
        <f aca="false">J241*Premissas!$C$58</f>
        <v>0</v>
      </c>
      <c r="L241" s="16" t="n">
        <f aca="false">IF(I241&gt;0,J241/(Premissas!$C$32-I241+1),0)</f>
        <v>0</v>
      </c>
      <c r="M241" s="16" t="n">
        <f aca="false">K241+L241</f>
        <v>0</v>
      </c>
      <c r="N241" s="16" t="n">
        <f aca="false">IF($A241=Premissas!$C$25,Premissas!$C$13*E241,IF(I241&gt;0,J241-L241,0))</f>
        <v>0</v>
      </c>
      <c r="O241" s="37" t="n">
        <f aca="false">IF($A241&gt;=Premissas!$C$27,Premissas!$C$39*IF(((YEAR($A241)-YEAR(Premissas!$C$27))*12+MONTH($A241)-MONTH(Premissas!$C$27))&lt;Premissas!$C$41,Premissas!$C$42,1),0)</f>
        <v>0.62</v>
      </c>
      <c r="P241" s="16" t="n">
        <f aca="false">O241*Premissas!$C$38*Premissas!$C$40*(1+Premissas!$C$60)^((YEAR($A241)-YEAR(Premissas!$C$19))*12+MONTH($A241)-MONTH(Premissas!$C$19))</f>
        <v>9251.87563827891</v>
      </c>
      <c r="Q241" s="16" t="n">
        <f aca="false">P241*Premissas!$C$43</f>
        <v>1480.30010212463</v>
      </c>
      <c r="R241" s="16" t="n">
        <f aca="false">P241*Premissas!$C$44</f>
        <v>1850.37512765578</v>
      </c>
      <c r="S241" s="16" t="n">
        <f aca="false">IF($A241&gt;=Premissas!$C$25,Premissas!$C$45*(1+Premissas!$C$60)^((YEAR($A241)-YEAR(Premissas!$C$19))*12+MONTH($A241)-MONTH(Premissas!$C$19)),0)</f>
        <v>1621.99783279785</v>
      </c>
      <c r="T241" s="16" t="n">
        <f aca="false">IF($A241&gt;=Premissas!$C$27,Premissas!$C$46*(1+Premissas!$C$60)^((YEAR($A241)-YEAR(Premissas!$C$19))*12+MONTH($A241)-MONTH(Premissas!$C$19)),0)</f>
        <v>648.799133119138</v>
      </c>
      <c r="U241" s="16" t="n">
        <f aca="false">IF($A241&gt;=Premissas!$C$27,Premissas!$C$47*(1+Premissas!$C$60)^((YEAR($A241)-YEAR(Premissas!$C$19))*12+MONTH($A241)-MONTH(Premissas!$C$19)),0)</f>
        <v>324.399566559569</v>
      </c>
      <c r="V241" s="16" t="n">
        <f aca="false">IF($A241&gt;=Premissas!$C$27,MAX(0,P241-Q241-R241-S241)*Premissas!$C$49,0)</f>
        <v>1182.28070831768</v>
      </c>
      <c r="W241" s="16" t="n">
        <f aca="false">P241-Q241-R241-S241-T241-U241-V241</f>
        <v>2143.72316770427</v>
      </c>
      <c r="X241" s="16" t="n">
        <f aca="false">W241-F241-G241-H241-M241</f>
        <v>2143.72316770427</v>
      </c>
      <c r="Y241" s="16" t="n">
        <f aca="false">Y240+X241</f>
        <v>-564583.629236669</v>
      </c>
      <c r="Z241" s="16" t="n">
        <f aca="false">Premissas!$C$14*(1+Premissas!$C$57)^((YEAR(Premissas!$C$19)-YEAR(Premissas!$C$18))*12+MONTH(Premissas!$C$19)-MONTH(Premissas!$C$18))*(1+Premissas!$C$61)^((YEAR($A241)-YEAR(Premissas!$C$19))*12+MONTH($A241)-MONTH(Premissas!$C$19))</f>
        <v>1248388.43141917</v>
      </c>
      <c r="AA241" s="16" t="n">
        <f aca="false">IF($A241&gt;=Premissas!$C$25,Z241*(1-Premissas!$C$53)-N241-Premissas!$C$54*MAX(0,Z241*(1-Premissas!$C$53)-(Premissas!$C$14*(1+Premissas!$C$57)^((YEAR(Premissas!$C$25)-YEAR(Premissas!$C$18))*12+MONTH(Premissas!$C$25)-MONTH(Premissas!$C$18))*(1+Premissas!$C$34))),"")</f>
        <v>1078664.56621558</v>
      </c>
      <c r="AB241" s="16" t="n">
        <f aca="false">IF($A241&gt;=Premissas!$C$25,Y241+AA241,"")</f>
        <v>514080.936978912</v>
      </c>
      <c r="AC241" s="20" t="n">
        <f aca="false">IF(AND($A241&gt;=Premissas!$C$27,W241&gt;=M241),$A241,"")</f>
        <v>53571</v>
      </c>
      <c r="AD241" s="20" t="str">
        <f aca="false">IF(AND($A241&gt;=Premissas!$C$27,Y241&gt;=0),$A241,"")</f>
        <v/>
      </c>
      <c r="AE241" s="20" t="n">
        <f aca="false">IF(AND($A241&gt;=Premissas!$C$25,N(AB241)&gt;=0),$A241,"")</f>
        <v>53571</v>
      </c>
    </row>
    <row r="242" customFormat="false" ht="15" hidden="false" customHeight="false" outlineLevel="0" collapsed="false">
      <c r="A242" s="20" t="n">
        <f aca="false">DATE(YEAR(A241),MONTH(A241)+1,1)</f>
        <v>53601</v>
      </c>
      <c r="B242" s="5" t="str">
        <f aca="false">IF($A242&lt;Premissas!$C$25,"Obra",IF($A242=Premissas!$C$25,"Chaves",IF($A242&lt;Premissas!$C$27,"Mobiliando","Airbnb")))</f>
        <v>Airbnb</v>
      </c>
      <c r="C242" s="35" t="n">
        <f aca="false">(YEAR($A242)-YEAR(Premissas!$C$18))*12+MONTH($A242)-MONTH(Premissas!$C$18)</f>
        <v>241</v>
      </c>
      <c r="D242" s="16" t="n">
        <f aca="false">($A242=Premissas!$C$19)*Premissas!$C$8+(($A242=EDATE(Premissas!$C$19,1))+($A242=EDATE(Premissas!$C$19,2)))*Premissas!$C$9+AND($A242&gt;=Premissas!$C$20,$A242&lt;EDATE(Premissas!$C$20,Premissas!$C$21))*Premissas!$C$10+(($A242=Premissas!$C$22)+($A242=Premissas!$C$23)+($A242=Premissas!$C$24))*Premissas!$C$11+($A242=Premissas!$C$25)*Premissas!$C$12</f>
        <v>0</v>
      </c>
      <c r="E242" s="36" t="n">
        <f aca="false">(1+Premissas!$C$57)^C242</f>
        <v>2.93080482361503</v>
      </c>
      <c r="F242" s="16" t="n">
        <f aca="false">D242*E242</f>
        <v>0</v>
      </c>
      <c r="G242" s="16" t="n">
        <f aca="false">($A242=Premissas!$C$25)*Premissas!$C$34*Premissas!$C$14*(1+Premissas!$C$57)^C242</f>
        <v>0</v>
      </c>
      <c r="H242" s="16" t="n">
        <f aca="false">IF(AND($A242&gt;Premissas!$C$25,$A242&lt;Premissas!$C$27),Premissas!$C$35/MAX(1,Premissas!$C$26),0)</f>
        <v>0</v>
      </c>
      <c r="I242" s="35" t="n">
        <f aca="false">IF(AND($A242&gt;Premissas!$C$25,((YEAR($A242)-YEAR(Premissas!$C$25))*12+MONTH($A242)-MONTH(Premissas!$C$25))&lt;=Premissas!$C$32),((YEAR($A242)-YEAR(Premissas!$C$25))*12+MONTH($A242)-MONTH(Premissas!$C$25)),0)</f>
        <v>0</v>
      </c>
      <c r="J242" s="16" t="n">
        <f aca="false">IF(I242&gt;0,N241*(1+Premissas!$C$59),0)</f>
        <v>0</v>
      </c>
      <c r="K242" s="16" t="n">
        <f aca="false">J242*Premissas!$C$58</f>
        <v>0</v>
      </c>
      <c r="L242" s="16" t="n">
        <f aca="false">IF(I242&gt;0,J242/(Premissas!$C$32-I242+1),0)</f>
        <v>0</v>
      </c>
      <c r="M242" s="16" t="n">
        <f aca="false">K242+L242</f>
        <v>0</v>
      </c>
      <c r="N242" s="16" t="n">
        <f aca="false">IF($A242=Premissas!$C$25,Premissas!$C$13*E242,IF(I242&gt;0,J242-L242,0))</f>
        <v>0</v>
      </c>
      <c r="O242" s="37" t="n">
        <f aca="false">IF($A242&gt;=Premissas!$C$27,Premissas!$C$39*IF(((YEAR($A242)-YEAR(Premissas!$C$27))*12+MONTH($A242)-MONTH(Premissas!$C$27))&lt;Premissas!$C$41,Premissas!$C$42,1),0)</f>
        <v>0.62</v>
      </c>
      <c r="P242" s="16" t="n">
        <f aca="false">O242*Premissas!$C$38*Premissas!$C$40*(1+Premissas!$C$60)^((YEAR($A242)-YEAR(Premissas!$C$19))*12+MONTH($A242)-MONTH(Premissas!$C$19))</f>
        <v>9282.1638716159</v>
      </c>
      <c r="Q242" s="16" t="n">
        <f aca="false">P242*Premissas!$C$43</f>
        <v>1485.14621945854</v>
      </c>
      <c r="R242" s="16" t="n">
        <f aca="false">P242*Premissas!$C$44</f>
        <v>1856.43277432318</v>
      </c>
      <c r="S242" s="16" t="n">
        <f aca="false">IF($A242&gt;=Premissas!$C$25,Premissas!$C$45*(1+Premissas!$C$60)^((YEAR($A242)-YEAR(Premissas!$C$19))*12+MONTH($A242)-MONTH(Premissas!$C$19)),0)</f>
        <v>1627.30783162972</v>
      </c>
      <c r="T242" s="16" t="n">
        <f aca="false">IF($A242&gt;=Premissas!$C$27,Premissas!$C$46*(1+Premissas!$C$60)^((YEAR($A242)-YEAR(Premissas!$C$19))*12+MONTH($A242)-MONTH(Premissas!$C$19)),0)</f>
        <v>650.923132651886</v>
      </c>
      <c r="U242" s="16" t="n">
        <f aca="false">IF($A242&gt;=Premissas!$C$27,Premissas!$C$47*(1+Premissas!$C$60)^((YEAR($A242)-YEAR(Premissas!$C$19))*12+MONTH($A242)-MONTH(Premissas!$C$19)),0)</f>
        <v>325.461566325943</v>
      </c>
      <c r="V242" s="16" t="n">
        <f aca="false">IF($A242&gt;=Premissas!$C$27,MAX(0,P242-Q242-R242-S242)*Premissas!$C$49,0)</f>
        <v>1186.15118770623</v>
      </c>
      <c r="W242" s="16" t="n">
        <f aca="false">P242-Q242-R242-S242-T242-U242-V242</f>
        <v>2150.7411595204</v>
      </c>
      <c r="X242" s="16" t="n">
        <f aca="false">W242-F242-G242-H242-M242</f>
        <v>2150.7411595204</v>
      </c>
      <c r="Y242" s="16" t="n">
        <f aca="false">Y241+X242</f>
        <v>-562432.888077149</v>
      </c>
      <c r="Z242" s="16" t="n">
        <f aca="false">Premissas!$C$14*(1+Premissas!$C$57)^((YEAR(Premissas!$C$19)-YEAR(Premissas!$C$18))*12+MONTH(Premissas!$C$19)-MONTH(Premissas!$C$18))*(1+Premissas!$C$61)^((YEAR($A242)-YEAR(Premissas!$C$19))*12+MONTH($A242)-MONTH(Premissas!$C$19))</f>
        <v>1253474.52041885</v>
      </c>
      <c r="AA242" s="16" t="n">
        <f aca="false">IF($A242&gt;=Premissas!$C$25,Z242*(1-Premissas!$C$53)-N242-Premissas!$C$54*MAX(0,Z242*(1-Premissas!$C$53)-(Premissas!$C$14*(1+Premissas!$C$57)^((YEAR(Premissas!$C$25)-YEAR(Premissas!$C$18))*12+MONTH(Premissas!$C$25)-MONTH(Premissas!$C$18))*(1+Premissas!$C$34))),"")</f>
        <v>1082728.35132632</v>
      </c>
      <c r="AB242" s="16" t="n">
        <f aca="false">IF($A242&gt;=Premissas!$C$25,Y242+AA242,"")</f>
        <v>520295.463249174</v>
      </c>
      <c r="AC242" s="20" t="n">
        <f aca="false">IF(AND($A242&gt;=Premissas!$C$27,W242&gt;=M242),$A242,"")</f>
        <v>53601</v>
      </c>
      <c r="AD242" s="20" t="str">
        <f aca="false">IF(AND($A242&gt;=Premissas!$C$27,Y242&gt;=0),$A242,"")</f>
        <v/>
      </c>
      <c r="AE242" s="20" t="n">
        <f aca="false">IF(AND($A242&gt;=Premissas!$C$25,N(AB242)&gt;=0),$A242,"")</f>
        <v>53601</v>
      </c>
    </row>
    <row r="243" customFormat="false" ht="15" hidden="false" customHeight="false" outlineLevel="0" collapsed="false">
      <c r="A243" s="20" t="n">
        <f aca="false">DATE(YEAR(A242),MONTH(A242)+1,1)</f>
        <v>53632</v>
      </c>
      <c r="B243" s="5" t="str">
        <f aca="false">IF($A243&lt;Premissas!$C$25,"Obra",IF($A243=Premissas!$C$25,"Chaves",IF($A243&lt;Premissas!$C$27,"Mobiliando","Airbnb")))</f>
        <v>Airbnb</v>
      </c>
      <c r="C243" s="35" t="n">
        <f aca="false">(YEAR($A243)-YEAR(Premissas!$C$18))*12+MONTH($A243)-MONTH(Premissas!$C$18)</f>
        <v>242</v>
      </c>
      <c r="D243" s="16" t="n">
        <f aca="false">($A243=Premissas!$C$19)*Premissas!$C$8+(($A243=EDATE(Premissas!$C$19,1))+($A243=EDATE(Premissas!$C$19,2)))*Premissas!$C$9+AND($A243&gt;=Premissas!$C$20,$A243&lt;EDATE(Premissas!$C$20,Premissas!$C$21))*Premissas!$C$10+(($A243=Premissas!$C$22)+($A243=Premissas!$C$23)+($A243=Premissas!$C$24))*Premissas!$C$11+($A243=Premissas!$C$25)*Premissas!$C$12</f>
        <v>0</v>
      </c>
      <c r="E243" s="36" t="n">
        <f aca="false">(1+Premissas!$C$57)^C243</f>
        <v>2.94391050037085</v>
      </c>
      <c r="F243" s="16" t="n">
        <f aca="false">D243*E243</f>
        <v>0</v>
      </c>
      <c r="G243" s="16" t="n">
        <f aca="false">($A243=Premissas!$C$25)*Premissas!$C$34*Premissas!$C$14*(1+Premissas!$C$57)^C243</f>
        <v>0</v>
      </c>
      <c r="H243" s="16" t="n">
        <f aca="false">IF(AND($A243&gt;Premissas!$C$25,$A243&lt;Premissas!$C$27),Premissas!$C$35/MAX(1,Premissas!$C$26),0)</f>
        <v>0</v>
      </c>
      <c r="I243" s="35" t="n">
        <f aca="false">IF(AND($A243&gt;Premissas!$C$25,((YEAR($A243)-YEAR(Premissas!$C$25))*12+MONTH($A243)-MONTH(Premissas!$C$25))&lt;=Premissas!$C$32),((YEAR($A243)-YEAR(Premissas!$C$25))*12+MONTH($A243)-MONTH(Premissas!$C$25)),0)</f>
        <v>0</v>
      </c>
      <c r="J243" s="16" t="n">
        <f aca="false">IF(I243&gt;0,N242*(1+Premissas!$C$59),0)</f>
        <v>0</v>
      </c>
      <c r="K243" s="16" t="n">
        <f aca="false">J243*Premissas!$C$58</f>
        <v>0</v>
      </c>
      <c r="L243" s="16" t="n">
        <f aca="false">IF(I243&gt;0,J243/(Premissas!$C$32-I243+1),0)</f>
        <v>0</v>
      </c>
      <c r="M243" s="16" t="n">
        <f aca="false">K243+L243</f>
        <v>0</v>
      </c>
      <c r="N243" s="16" t="n">
        <f aca="false">IF($A243=Premissas!$C$25,Premissas!$C$13*E243,IF(I243&gt;0,J243-L243,0))</f>
        <v>0</v>
      </c>
      <c r="O243" s="37" t="n">
        <f aca="false">IF($A243&gt;=Premissas!$C$27,Premissas!$C$39*IF(((YEAR($A243)-YEAR(Premissas!$C$27))*12+MONTH($A243)-MONTH(Premissas!$C$27))&lt;Premissas!$C$41,Premissas!$C$42,1),0)</f>
        <v>0.62</v>
      </c>
      <c r="P243" s="16" t="n">
        <f aca="false">O243*Premissas!$C$38*Premissas!$C$40*(1+Premissas!$C$60)^((YEAR($A243)-YEAR(Premissas!$C$19))*12+MONTH($A243)-MONTH(Premissas!$C$19))</f>
        <v>9312.5512607473</v>
      </c>
      <c r="Q243" s="16" t="n">
        <f aca="false">P243*Premissas!$C$43</f>
        <v>1490.00820171957</v>
      </c>
      <c r="R243" s="16" t="n">
        <f aca="false">P243*Premissas!$C$44</f>
        <v>1862.51025214946</v>
      </c>
      <c r="S243" s="16" t="n">
        <f aca="false">IF($A243&gt;=Premissas!$C$25,Premissas!$C$45*(1+Premissas!$C$60)^((YEAR($A243)-YEAR(Premissas!$C$19))*12+MONTH($A243)-MONTH(Premissas!$C$19)),0)</f>
        <v>1632.63521401601</v>
      </c>
      <c r="T243" s="16" t="n">
        <f aca="false">IF($A243&gt;=Premissas!$C$27,Premissas!$C$46*(1+Premissas!$C$60)^((YEAR($A243)-YEAR(Premissas!$C$19))*12+MONTH($A243)-MONTH(Premissas!$C$19)),0)</f>
        <v>653.054085606402</v>
      </c>
      <c r="U243" s="16" t="n">
        <f aca="false">IF($A243&gt;=Premissas!$C$27,Premissas!$C$47*(1+Premissas!$C$60)^((YEAR($A243)-YEAR(Premissas!$C$19))*12+MONTH($A243)-MONTH(Premissas!$C$19)),0)</f>
        <v>326.527042803201</v>
      </c>
      <c r="V243" s="16" t="n">
        <f aca="false">IF($A243&gt;=Premissas!$C$27,MAX(0,P243-Q243-R243-S243)*Premissas!$C$49,0)</f>
        <v>1190.03433803712</v>
      </c>
      <c r="W243" s="16" t="n">
        <f aca="false">P243-Q243-R243-S243-T243-U243-V243</f>
        <v>2157.78212641554</v>
      </c>
      <c r="X243" s="16" t="n">
        <f aca="false">W243-F243-G243-H243-M243</f>
        <v>2157.78212641554</v>
      </c>
      <c r="Y243" s="16" t="n">
        <f aca="false">Y242+X243</f>
        <v>-560275.105950733</v>
      </c>
      <c r="Z243" s="16" t="n">
        <f aca="false">Premissas!$C$14*(1+Premissas!$C$57)^((YEAR(Premissas!$C$19)-YEAR(Premissas!$C$18))*12+MONTH(Premissas!$C$19)-MONTH(Premissas!$C$18))*(1+Premissas!$C$61)^((YEAR($A243)-YEAR(Premissas!$C$19))*12+MONTH($A243)-MONTH(Premissas!$C$19))</f>
        <v>1258581.33077468</v>
      </c>
      <c r="AA243" s="16" t="n">
        <f aca="false">IF($A243&gt;=Premissas!$C$25,Z243*(1-Premissas!$C$53)-N243-Premissas!$C$54*MAX(0,Z243*(1-Premissas!$C$53)-(Premissas!$C$14*(1+Premissas!$C$57)^((YEAR(Premissas!$C$25)-YEAR(Premissas!$C$18))*12+MONTH(Premissas!$C$25)-MONTH(Premissas!$C$18))*(1+Premissas!$C$34))),"")</f>
        <v>1086808.69280064</v>
      </c>
      <c r="AB243" s="16" t="n">
        <f aca="false">IF($A243&gt;=Premissas!$C$25,Y243+AA243,"")</f>
        <v>526533.586849903</v>
      </c>
      <c r="AC243" s="20" t="n">
        <f aca="false">IF(AND($A243&gt;=Premissas!$C$27,W243&gt;=M243),$A243,"")</f>
        <v>53632</v>
      </c>
      <c r="AD243" s="20" t="str">
        <f aca="false">IF(AND($A243&gt;=Premissas!$C$27,Y243&gt;=0),$A243,"")</f>
        <v/>
      </c>
      <c r="AE243" s="20" t="n">
        <f aca="false">IF(AND($A243&gt;=Premissas!$C$25,N(AB243)&gt;=0),$A243,"")</f>
        <v>53632</v>
      </c>
    </row>
    <row r="244" customFormat="false" ht="15" hidden="false" customHeight="false" outlineLevel="0" collapsed="false">
      <c r="A244" s="20" t="n">
        <f aca="false">DATE(YEAR(A243),MONTH(A243)+1,1)</f>
        <v>53662</v>
      </c>
      <c r="B244" s="5" t="str">
        <f aca="false">IF($A244&lt;Premissas!$C$25,"Obra",IF($A244=Premissas!$C$25,"Chaves",IF($A244&lt;Premissas!$C$27,"Mobiliando","Airbnb")))</f>
        <v>Airbnb</v>
      </c>
      <c r="C244" s="35" t="n">
        <f aca="false">(YEAR($A244)-YEAR(Premissas!$C$18))*12+MONTH($A244)-MONTH(Premissas!$C$18)</f>
        <v>243</v>
      </c>
      <c r="D244" s="16" t="n">
        <f aca="false">($A244=Premissas!$C$19)*Premissas!$C$8+(($A244=EDATE(Premissas!$C$19,1))+($A244=EDATE(Premissas!$C$19,2)))*Premissas!$C$9+AND($A244&gt;=Premissas!$C$20,$A244&lt;EDATE(Premissas!$C$20,Premissas!$C$21))*Premissas!$C$10+(($A244=Premissas!$C$22)+($A244=Premissas!$C$23)+($A244=Premissas!$C$24))*Premissas!$C$11+($A244=Premissas!$C$25)*Premissas!$C$12</f>
        <v>0</v>
      </c>
      <c r="E244" s="36" t="n">
        <f aca="false">(1+Premissas!$C$57)^C244</f>
        <v>2.95707478176723</v>
      </c>
      <c r="F244" s="16" t="n">
        <f aca="false">D244*E244</f>
        <v>0</v>
      </c>
      <c r="G244" s="16" t="n">
        <f aca="false">($A244=Premissas!$C$25)*Premissas!$C$34*Premissas!$C$14*(1+Premissas!$C$57)^C244</f>
        <v>0</v>
      </c>
      <c r="H244" s="16" t="n">
        <f aca="false">IF(AND($A244&gt;Premissas!$C$25,$A244&lt;Premissas!$C$27),Premissas!$C$35/MAX(1,Premissas!$C$26),0)</f>
        <v>0</v>
      </c>
      <c r="I244" s="35" t="n">
        <f aca="false">IF(AND($A244&gt;Premissas!$C$25,((YEAR($A244)-YEAR(Premissas!$C$25))*12+MONTH($A244)-MONTH(Premissas!$C$25))&lt;=Premissas!$C$32),((YEAR($A244)-YEAR(Premissas!$C$25))*12+MONTH($A244)-MONTH(Premissas!$C$25)),0)</f>
        <v>0</v>
      </c>
      <c r="J244" s="16" t="n">
        <f aca="false">IF(I244&gt;0,N243*(1+Premissas!$C$59),0)</f>
        <v>0</v>
      </c>
      <c r="K244" s="16" t="n">
        <f aca="false">J244*Premissas!$C$58</f>
        <v>0</v>
      </c>
      <c r="L244" s="16" t="n">
        <f aca="false">IF(I244&gt;0,J244/(Premissas!$C$32-I244+1),0)</f>
        <v>0</v>
      </c>
      <c r="M244" s="16" t="n">
        <f aca="false">K244+L244</f>
        <v>0</v>
      </c>
      <c r="N244" s="16" t="n">
        <f aca="false">IF($A244=Premissas!$C$25,Premissas!$C$13*E244,IF(I244&gt;0,J244-L244,0))</f>
        <v>0</v>
      </c>
      <c r="O244" s="37" t="n">
        <f aca="false">IF($A244&gt;=Premissas!$C$27,Premissas!$C$39*IF(((YEAR($A244)-YEAR(Premissas!$C$27))*12+MONTH($A244)-MONTH(Premissas!$C$27))&lt;Premissas!$C$41,Premissas!$C$42,1),0)</f>
        <v>0.62</v>
      </c>
      <c r="P244" s="16" t="n">
        <f aca="false">O244*Premissas!$C$38*Premissas!$C$40*(1+Premissas!$C$60)^((YEAR($A244)-YEAR(Premissas!$C$19))*12+MONTH($A244)-MONTH(Premissas!$C$19))</f>
        <v>9343.03813028337</v>
      </c>
      <c r="Q244" s="16" t="n">
        <f aca="false">P244*Premissas!$C$43</f>
        <v>1494.88610084534</v>
      </c>
      <c r="R244" s="16" t="n">
        <f aca="false">P244*Premissas!$C$44</f>
        <v>1868.60762605667</v>
      </c>
      <c r="S244" s="16" t="n">
        <f aca="false">IF($A244&gt;=Premissas!$C$25,Premissas!$C$45*(1+Premissas!$C$60)^((YEAR($A244)-YEAR(Premissas!$C$19))*12+MONTH($A244)-MONTH(Premissas!$C$19)),0)</f>
        <v>1637.98003686595</v>
      </c>
      <c r="T244" s="16" t="n">
        <f aca="false">IF($A244&gt;=Premissas!$C$27,Premissas!$C$46*(1+Premissas!$C$60)^((YEAR($A244)-YEAR(Premissas!$C$19))*12+MONTH($A244)-MONTH(Premissas!$C$19)),0)</f>
        <v>655.192014746379</v>
      </c>
      <c r="U244" s="16" t="n">
        <f aca="false">IF($A244&gt;=Premissas!$C$27,Premissas!$C$47*(1+Premissas!$C$60)^((YEAR($A244)-YEAR(Premissas!$C$19))*12+MONTH($A244)-MONTH(Premissas!$C$19)),0)</f>
        <v>327.59600737319</v>
      </c>
      <c r="V244" s="16" t="n">
        <f aca="false">IF($A244&gt;=Premissas!$C$27,MAX(0,P244-Q244-R244-S244)*Premissas!$C$49,0)</f>
        <v>1193.93020079174</v>
      </c>
      <c r="W244" s="16" t="n">
        <f aca="false">P244-Q244-R244-S244-T244-U244-V244</f>
        <v>2164.8461436041</v>
      </c>
      <c r="X244" s="16" t="n">
        <f aca="false">W244-F244-G244-H244-M244</f>
        <v>2164.8461436041</v>
      </c>
      <c r="Y244" s="16" t="n">
        <f aca="false">Y243+X244</f>
        <v>-558110.259807129</v>
      </c>
      <c r="Z244" s="16" t="n">
        <f aca="false">Premissas!$C$14*(1+Premissas!$C$57)^((YEAR(Premissas!$C$19)-YEAR(Premissas!$C$18))*12+MONTH(Premissas!$C$19)-MONTH(Premissas!$C$18))*(1+Premissas!$C$61)^((YEAR($A244)-YEAR(Premissas!$C$19))*12+MONTH($A244)-MONTH(Premissas!$C$19))</f>
        <v>1263708.94690805</v>
      </c>
      <c r="AA244" s="16" t="n">
        <f aca="false">IF($A244&gt;=Premissas!$C$25,Z244*(1-Premissas!$C$53)-N244-Premissas!$C$54*MAX(0,Z244*(1-Premissas!$C$53)-(Premissas!$C$14*(1+Premissas!$C$57)^((YEAR(Premissas!$C$25)-YEAR(Premissas!$C$18))*12+MONTH(Premissas!$C$25)-MONTH(Premissas!$C$18))*(1+Premissas!$C$34))),"")</f>
        <v>1090905.65809119</v>
      </c>
      <c r="AB244" s="16" t="n">
        <f aca="false">IF($A244&gt;=Premissas!$C$25,Y244+AA244,"")</f>
        <v>532795.398284065</v>
      </c>
      <c r="AC244" s="20" t="n">
        <f aca="false">IF(AND($A244&gt;=Premissas!$C$27,W244&gt;=M244),$A244,"")</f>
        <v>53662</v>
      </c>
      <c r="AD244" s="20" t="str">
        <f aca="false">IF(AND($A244&gt;=Premissas!$C$27,Y244&gt;=0),$A244,"")</f>
        <v/>
      </c>
      <c r="AE244" s="20" t="n">
        <f aca="false">IF(AND($A244&gt;=Premissas!$C$25,N(AB244)&gt;=0),$A244,"")</f>
        <v>53662</v>
      </c>
    </row>
    <row r="245" customFormat="false" ht="15" hidden="false" customHeight="false" outlineLevel="0" collapsed="false">
      <c r="A245" s="29" t="n">
        <f aca="false">DATE(YEAR(A244),MONTH(A244)+1,1)</f>
        <v>53693</v>
      </c>
      <c r="B245" s="30" t="str">
        <f aca="false">IF($A245&lt;Premissas!$C$25,"Obra",IF($A245=Premissas!$C$25,"Chaves",IF($A245&lt;Premissas!$C$27,"Mobiliando","Airbnb")))</f>
        <v>Airbnb</v>
      </c>
      <c r="C245" s="31" t="n">
        <f aca="false">(YEAR($A245)-YEAR(Premissas!$C$18))*12+MONTH($A245)-MONTH(Premissas!$C$18)</f>
        <v>244</v>
      </c>
      <c r="D245" s="32" t="n">
        <f aca="false">($A245=Premissas!$C$19)*Premissas!$C$8+(($A245=EDATE(Premissas!$C$19,1))+($A245=EDATE(Premissas!$C$19,2)))*Premissas!$C$9+AND($A245&gt;=Premissas!$C$20,$A245&lt;EDATE(Premissas!$C$20,Premissas!$C$21))*Premissas!$C$10+(($A245=Premissas!$C$22)+($A245=Premissas!$C$23)+($A245=Premissas!$C$24))*Premissas!$C$11+($A245=Premissas!$C$25)*Premissas!$C$12</f>
        <v>0</v>
      </c>
      <c r="E245" s="33" t="n">
        <f aca="false">(1+Premissas!$C$57)^C245</f>
        <v>2.97029792986647</v>
      </c>
      <c r="F245" s="32" t="n">
        <f aca="false">D245*E245</f>
        <v>0</v>
      </c>
      <c r="G245" s="32" t="n">
        <f aca="false">($A245=Premissas!$C$25)*Premissas!$C$34*Premissas!$C$14*(1+Premissas!$C$57)^C245</f>
        <v>0</v>
      </c>
      <c r="H245" s="32" t="n">
        <f aca="false">IF(AND($A245&gt;Premissas!$C$25,$A245&lt;Premissas!$C$27),Premissas!$C$35/MAX(1,Premissas!$C$26),0)</f>
        <v>0</v>
      </c>
      <c r="I245" s="31" t="n">
        <f aca="false">IF(AND($A245&gt;Premissas!$C$25,((YEAR($A245)-YEAR(Premissas!$C$25))*12+MONTH($A245)-MONTH(Premissas!$C$25))&lt;=Premissas!$C$32),((YEAR($A245)-YEAR(Premissas!$C$25))*12+MONTH($A245)-MONTH(Premissas!$C$25)),0)</f>
        <v>0</v>
      </c>
      <c r="J245" s="32" t="n">
        <f aca="false">IF(I245&gt;0,N244*(1+Premissas!$C$59),0)</f>
        <v>0</v>
      </c>
      <c r="K245" s="32" t="n">
        <f aca="false">J245*Premissas!$C$58</f>
        <v>0</v>
      </c>
      <c r="L245" s="32" t="n">
        <f aca="false">IF(I245&gt;0,J245/(Premissas!$C$32-I245+1),0)</f>
        <v>0</v>
      </c>
      <c r="M245" s="32" t="n">
        <f aca="false">K245+L245</f>
        <v>0</v>
      </c>
      <c r="N245" s="32" t="n">
        <f aca="false">IF($A245=Premissas!$C$25,Premissas!$C$13*E245,IF(I245&gt;0,J245-L245,0))</f>
        <v>0</v>
      </c>
      <c r="O245" s="34" t="n">
        <f aca="false">IF($A245&gt;=Premissas!$C$27,Premissas!$C$39*IF(((YEAR($A245)-YEAR(Premissas!$C$27))*12+MONTH($A245)-MONTH(Premissas!$C$27))&lt;Premissas!$C$41,Premissas!$C$42,1),0)</f>
        <v>0.62</v>
      </c>
      <c r="P245" s="32" t="n">
        <f aca="false">O245*Premissas!$C$38*Premissas!$C$40*(1+Premissas!$C$60)^((YEAR($A245)-YEAR(Premissas!$C$19))*12+MONTH($A245)-MONTH(Premissas!$C$19))</f>
        <v>9373.62480589708</v>
      </c>
      <c r="Q245" s="32" t="n">
        <f aca="false">P245*Premissas!$C$43</f>
        <v>1499.77996894353</v>
      </c>
      <c r="R245" s="32" t="n">
        <f aca="false">P245*Premissas!$C$44</f>
        <v>1874.72496117942</v>
      </c>
      <c r="S245" s="32" t="n">
        <f aca="false">IF($A245&gt;=Premissas!$C$25,Premissas!$C$45*(1+Premissas!$C$60)^((YEAR($A245)-YEAR(Premissas!$C$19))*12+MONTH($A245)-MONTH(Premissas!$C$19)),0)</f>
        <v>1643.34235727508</v>
      </c>
      <c r="T245" s="32" t="n">
        <f aca="false">IF($A245&gt;=Premissas!$C$27,Premissas!$C$46*(1+Premissas!$C$60)^((YEAR($A245)-YEAR(Premissas!$C$19))*12+MONTH($A245)-MONTH(Premissas!$C$19)),0)</f>
        <v>657.336942910034</v>
      </c>
      <c r="U245" s="32" t="n">
        <f aca="false">IF($A245&gt;=Premissas!$C$27,Premissas!$C$47*(1+Premissas!$C$60)^((YEAR($A245)-YEAR(Premissas!$C$19))*12+MONTH($A245)-MONTH(Premissas!$C$19)),0)</f>
        <v>328.668471455017</v>
      </c>
      <c r="V245" s="32" t="n">
        <f aca="false">IF($A245&gt;=Premissas!$C$27,MAX(0,P245-Q245-R245-S245)*Premissas!$C$49,0)</f>
        <v>1197.83881758724</v>
      </c>
      <c r="W245" s="32" t="n">
        <f aca="false">P245-Q245-R245-S245-T245-U245-V245</f>
        <v>2171.93328654676</v>
      </c>
      <c r="X245" s="32" t="n">
        <f aca="false">W245-F245-G245-H245-M245</f>
        <v>2171.93328654676</v>
      </c>
      <c r="Y245" s="32" t="n">
        <f aca="false">Y244+X245</f>
        <v>-555938.326520583</v>
      </c>
      <c r="Z245" s="32" t="n">
        <f aca="false">Premissas!$C$14*(1+Premissas!$C$57)^((YEAR(Premissas!$C$19)-YEAR(Premissas!$C$18))*12+MONTH(Premissas!$C$19)-MONTH(Premissas!$C$18))*(1+Premissas!$C$61)^((YEAR($A245)-YEAR(Premissas!$C$19))*12+MONTH($A245)-MONTH(Premissas!$C$19))</f>
        <v>1268857.45358425</v>
      </c>
      <c r="AA245" s="32" t="n">
        <f aca="false">IF($A245&gt;=Premissas!$C$25,Z245*(1-Premissas!$C$53)-N245-Premissas!$C$54*MAX(0,Z245*(1-Premissas!$C$53)-(Premissas!$C$14*(1+Premissas!$C$57)^((YEAR(Premissas!$C$25)-YEAR(Premissas!$C$18))*12+MONTH(Premissas!$C$25)-MONTH(Premissas!$C$18))*(1+Premissas!$C$34))),"")</f>
        <v>1095019.31492548</v>
      </c>
      <c r="AB245" s="32" t="n">
        <f aca="false">IF($A245&gt;=Premissas!$C$25,Y245+AA245,"")</f>
        <v>539080.988404901</v>
      </c>
      <c r="AC245" s="29" t="n">
        <f aca="false">IF(AND($A245&gt;=Premissas!$C$27,W245&gt;=M245),$A245,"")</f>
        <v>53693</v>
      </c>
      <c r="AD245" s="29" t="str">
        <f aca="false">IF(AND($A245&gt;=Premissas!$C$27,Y245&gt;=0),$A245,"")</f>
        <v/>
      </c>
      <c r="AE245" s="29" t="n">
        <f aca="false">IF(AND($A245&gt;=Premissas!$C$25,N(AB245)&gt;=0),$A245,"")</f>
        <v>53693</v>
      </c>
    </row>
    <row r="246" customFormat="false" ht="15" hidden="false" customHeight="false" outlineLevel="0" collapsed="false">
      <c r="A246" s="20" t="n">
        <f aca="false">DATE(YEAR(A245),MONTH(A245)+1,1)</f>
        <v>53724</v>
      </c>
      <c r="B246" s="5" t="str">
        <f aca="false">IF($A246&lt;Premissas!$C$25,"Obra",IF($A246=Premissas!$C$25,"Chaves",IF($A246&lt;Premissas!$C$27,"Mobiliando","Airbnb")))</f>
        <v>Airbnb</v>
      </c>
      <c r="C246" s="35" t="n">
        <f aca="false">(YEAR($A246)-YEAR(Premissas!$C$18))*12+MONTH($A246)-MONTH(Premissas!$C$18)</f>
        <v>245</v>
      </c>
      <c r="D246" s="16" t="n">
        <f aca="false">($A246=Premissas!$C$19)*Premissas!$C$8+(($A246=EDATE(Premissas!$C$19,1))+($A246=EDATE(Premissas!$C$19,2)))*Premissas!$C$9+AND($A246&gt;=Premissas!$C$20,$A246&lt;EDATE(Premissas!$C$20,Premissas!$C$21))*Premissas!$C$10+(($A246=Premissas!$C$22)+($A246=Premissas!$C$23)+($A246=Premissas!$C$24))*Premissas!$C$11+($A246=Premissas!$C$25)*Premissas!$C$12</f>
        <v>0</v>
      </c>
      <c r="E246" s="36" t="n">
        <f aca="false">(1+Premissas!$C$57)^C246</f>
        <v>2.98358020790275</v>
      </c>
      <c r="F246" s="16" t="n">
        <f aca="false">D246*E246</f>
        <v>0</v>
      </c>
      <c r="G246" s="16" t="n">
        <f aca="false">($A246=Premissas!$C$25)*Premissas!$C$34*Premissas!$C$14*(1+Premissas!$C$57)^C246</f>
        <v>0</v>
      </c>
      <c r="H246" s="16" t="n">
        <f aca="false">IF(AND($A246&gt;Premissas!$C$25,$A246&lt;Premissas!$C$27),Premissas!$C$35/MAX(1,Premissas!$C$26),0)</f>
        <v>0</v>
      </c>
      <c r="I246" s="35" t="n">
        <f aca="false">IF(AND($A246&gt;Premissas!$C$25,((YEAR($A246)-YEAR(Premissas!$C$25))*12+MONTH($A246)-MONTH(Premissas!$C$25))&lt;=Premissas!$C$32),((YEAR($A246)-YEAR(Premissas!$C$25))*12+MONTH($A246)-MONTH(Premissas!$C$25)),0)</f>
        <v>0</v>
      </c>
      <c r="J246" s="16" t="n">
        <f aca="false">IF(I246&gt;0,N245*(1+Premissas!$C$59),0)</f>
        <v>0</v>
      </c>
      <c r="K246" s="16" t="n">
        <f aca="false">J246*Premissas!$C$58</f>
        <v>0</v>
      </c>
      <c r="L246" s="16" t="n">
        <f aca="false">IF(I246&gt;0,J246/(Premissas!$C$32-I246+1),0)</f>
        <v>0</v>
      </c>
      <c r="M246" s="16" t="n">
        <f aca="false">K246+L246</f>
        <v>0</v>
      </c>
      <c r="N246" s="16" t="n">
        <f aca="false">IF($A246=Premissas!$C$25,Premissas!$C$13*E246,IF(I246&gt;0,J246-L246,0))</f>
        <v>0</v>
      </c>
      <c r="O246" s="37" t="n">
        <f aca="false">IF($A246&gt;=Premissas!$C$27,Premissas!$C$39*IF(((YEAR($A246)-YEAR(Premissas!$C$27))*12+MONTH($A246)-MONTH(Premissas!$C$27))&lt;Premissas!$C$41,Premissas!$C$42,1),0)</f>
        <v>0.62</v>
      </c>
      <c r="P246" s="16" t="n">
        <f aca="false">O246*Premissas!$C$38*Premissas!$C$40*(1+Premissas!$C$60)^((YEAR($A246)-YEAR(Premissas!$C$19))*12+MONTH($A246)-MONTH(Premissas!$C$19))</f>
        <v>9404.31161432755</v>
      </c>
      <c r="Q246" s="16" t="n">
        <f aca="false">P246*Premissas!$C$43</f>
        <v>1504.68985829241</v>
      </c>
      <c r="R246" s="16" t="n">
        <f aca="false">P246*Premissas!$C$44</f>
        <v>1880.86232286551</v>
      </c>
      <c r="S246" s="16" t="n">
        <f aca="false">IF($A246&gt;=Premissas!$C$25,Premissas!$C$45*(1+Premissas!$C$60)^((YEAR($A246)-YEAR(Premissas!$C$19))*12+MONTH($A246)-MONTH(Premissas!$C$19)),0)</f>
        <v>1648.72223252587</v>
      </c>
      <c r="T246" s="16" t="n">
        <f aca="false">IF($A246&gt;=Premissas!$C$27,Premissas!$C$46*(1+Premissas!$C$60)^((YEAR($A246)-YEAR(Premissas!$C$19))*12+MONTH($A246)-MONTH(Premissas!$C$19)),0)</f>
        <v>659.488893010347</v>
      </c>
      <c r="U246" s="16" t="n">
        <f aca="false">IF($A246&gt;=Premissas!$C$27,Premissas!$C$47*(1+Premissas!$C$60)^((YEAR($A246)-YEAR(Premissas!$C$19))*12+MONTH($A246)-MONTH(Premissas!$C$19)),0)</f>
        <v>329.744446505174</v>
      </c>
      <c r="V246" s="16" t="n">
        <f aca="false">IF($A246&gt;=Premissas!$C$27,MAX(0,P246-Q246-R246-S246)*Premissas!$C$49,0)</f>
        <v>1201.76023017704</v>
      </c>
      <c r="W246" s="16" t="n">
        <f aca="false">P246-Q246-R246-S246-T246-U246-V246</f>
        <v>2179.04363095121</v>
      </c>
      <c r="X246" s="16" t="n">
        <f aca="false">W246-F246-G246-H246-M246</f>
        <v>2179.04363095121</v>
      </c>
      <c r="Y246" s="16" t="n">
        <f aca="false">Y245+X246</f>
        <v>-553759.282889631</v>
      </c>
      <c r="Z246" s="16" t="n">
        <f aca="false">Premissas!$C$14*(1+Premissas!$C$57)^((YEAR(Premissas!$C$19)-YEAR(Premissas!$C$18))*12+MONTH(Premissas!$C$19)-MONTH(Premissas!$C$18))*(1+Premissas!$C$61)^((YEAR($A246)-YEAR(Premissas!$C$19))*12+MONTH($A246)-MONTH(Premissas!$C$19))</f>
        <v>1274026.93591396</v>
      </c>
      <c r="AA246" s="16" t="n">
        <f aca="false">IF($A246&gt;=Premissas!$C$25,Z246*(1-Premissas!$C$53)-N246-Premissas!$C$54*MAX(0,Z246*(1-Premissas!$C$53)-(Premissas!$C$14*(1+Premissas!$C$57)^((YEAR(Premissas!$C$25)-YEAR(Premissas!$C$18))*12+MONTH(Premissas!$C$25)-MONTH(Premissas!$C$18))*(1+Premissas!$C$34))),"")</f>
        <v>1099149.73130692</v>
      </c>
      <c r="AB246" s="16" t="n">
        <f aca="false">IF($A246&gt;=Premissas!$C$25,Y246+AA246,"")</f>
        <v>545390.448417289</v>
      </c>
      <c r="AC246" s="20" t="n">
        <f aca="false">IF(AND($A246&gt;=Premissas!$C$27,W246&gt;=M246),$A246,"")</f>
        <v>53724</v>
      </c>
      <c r="AD246" s="20" t="str">
        <f aca="false">IF(AND($A246&gt;=Premissas!$C$27,Y246&gt;=0),$A246,"")</f>
        <v/>
      </c>
      <c r="AE246" s="20" t="n">
        <f aca="false">IF(AND($A246&gt;=Premissas!$C$25,N(AB246)&gt;=0),$A246,"")</f>
        <v>53724</v>
      </c>
    </row>
    <row r="247" customFormat="false" ht="15" hidden="false" customHeight="false" outlineLevel="0" collapsed="false">
      <c r="A247" s="20" t="n">
        <f aca="false">DATE(YEAR(A246),MONTH(A246)+1,1)</f>
        <v>53752</v>
      </c>
      <c r="B247" s="5" t="str">
        <f aca="false">IF($A247&lt;Premissas!$C$25,"Obra",IF($A247=Premissas!$C$25,"Chaves",IF($A247&lt;Premissas!$C$27,"Mobiliando","Airbnb")))</f>
        <v>Airbnb</v>
      </c>
      <c r="C247" s="35" t="n">
        <f aca="false">(YEAR($A247)-YEAR(Premissas!$C$18))*12+MONTH($A247)-MONTH(Premissas!$C$18)</f>
        <v>246</v>
      </c>
      <c r="D247" s="16" t="n">
        <f aca="false">($A247=Premissas!$C$19)*Premissas!$C$8+(($A247=EDATE(Premissas!$C$19,1))+($A247=EDATE(Premissas!$C$19,2)))*Premissas!$C$9+AND($A247&gt;=Premissas!$C$20,$A247&lt;EDATE(Premissas!$C$20,Premissas!$C$21))*Premissas!$C$10+(($A247=Premissas!$C$22)+($A247=Premissas!$C$23)+($A247=Premissas!$C$24))*Premissas!$C$11+($A247=Premissas!$C$25)*Premissas!$C$12</f>
        <v>0</v>
      </c>
      <c r="E247" s="36" t="n">
        <f aca="false">(1+Premissas!$C$57)^C247</f>
        <v>2.99692188028734</v>
      </c>
      <c r="F247" s="16" t="n">
        <f aca="false">D247*E247</f>
        <v>0</v>
      </c>
      <c r="G247" s="16" t="n">
        <f aca="false">($A247=Premissas!$C$25)*Premissas!$C$34*Premissas!$C$14*(1+Premissas!$C$57)^C247</f>
        <v>0</v>
      </c>
      <c r="H247" s="16" t="n">
        <f aca="false">IF(AND($A247&gt;Premissas!$C$25,$A247&lt;Premissas!$C$27),Premissas!$C$35/MAX(1,Premissas!$C$26),0)</f>
        <v>0</v>
      </c>
      <c r="I247" s="35" t="n">
        <f aca="false">IF(AND($A247&gt;Premissas!$C$25,((YEAR($A247)-YEAR(Premissas!$C$25))*12+MONTH($A247)-MONTH(Premissas!$C$25))&lt;=Premissas!$C$32),((YEAR($A247)-YEAR(Premissas!$C$25))*12+MONTH($A247)-MONTH(Premissas!$C$25)),0)</f>
        <v>0</v>
      </c>
      <c r="J247" s="16" t="n">
        <f aca="false">IF(I247&gt;0,N246*(1+Premissas!$C$59),0)</f>
        <v>0</v>
      </c>
      <c r="K247" s="16" t="n">
        <f aca="false">J247*Premissas!$C$58</f>
        <v>0</v>
      </c>
      <c r="L247" s="16" t="n">
        <f aca="false">IF(I247&gt;0,J247/(Premissas!$C$32-I247+1),0)</f>
        <v>0</v>
      </c>
      <c r="M247" s="16" t="n">
        <f aca="false">K247+L247</f>
        <v>0</v>
      </c>
      <c r="N247" s="16" t="n">
        <f aca="false">IF($A247=Premissas!$C$25,Premissas!$C$13*E247,IF(I247&gt;0,J247-L247,0))</f>
        <v>0</v>
      </c>
      <c r="O247" s="37" t="n">
        <f aca="false">IF($A247&gt;=Premissas!$C$27,Premissas!$C$39*IF(((YEAR($A247)-YEAR(Premissas!$C$27))*12+MONTH($A247)-MONTH(Premissas!$C$27))&lt;Premissas!$C$41,Premissas!$C$42,1),0)</f>
        <v>0.62</v>
      </c>
      <c r="P247" s="16" t="n">
        <f aca="false">O247*Premissas!$C$38*Premissas!$C$40*(1+Premissas!$C$60)^((YEAR($A247)-YEAR(Premissas!$C$19))*12+MONTH($A247)-MONTH(Premissas!$C$19))</f>
        <v>9435.09888338357</v>
      </c>
      <c r="Q247" s="16" t="n">
        <f aca="false">P247*Premissas!$C$43</f>
        <v>1509.61582134137</v>
      </c>
      <c r="R247" s="16" t="n">
        <f aca="false">P247*Premissas!$C$44</f>
        <v>1887.01977667671</v>
      </c>
      <c r="S247" s="16" t="n">
        <f aca="false">IF($A247&gt;=Premissas!$C$25,Premissas!$C$45*(1+Premissas!$C$60)^((YEAR($A247)-YEAR(Premissas!$C$19))*12+MONTH($A247)-MONTH(Premissas!$C$19)),0)</f>
        <v>1654.11972008828</v>
      </c>
      <c r="T247" s="16" t="n">
        <f aca="false">IF($A247&gt;=Premissas!$C$27,Premissas!$C$46*(1+Premissas!$C$60)^((YEAR($A247)-YEAR(Premissas!$C$19))*12+MONTH($A247)-MONTH(Premissas!$C$19)),0)</f>
        <v>661.647888035314</v>
      </c>
      <c r="U247" s="16" t="n">
        <f aca="false">IF($A247&gt;=Premissas!$C$27,Premissas!$C$47*(1+Premissas!$C$60)^((YEAR($A247)-YEAR(Premissas!$C$19))*12+MONTH($A247)-MONTH(Premissas!$C$19)),0)</f>
        <v>330.823944017657</v>
      </c>
      <c r="V247" s="16" t="n">
        <f aca="false">IF($A247&gt;=Premissas!$C$27,MAX(0,P247-Q247-R247-S247)*Premissas!$C$49,0)</f>
        <v>1205.69448045123</v>
      </c>
      <c r="W247" s="16" t="n">
        <f aca="false">P247-Q247-R247-S247-T247-U247-V247</f>
        <v>2186.177252773</v>
      </c>
      <c r="X247" s="16" t="n">
        <f aca="false">W247-F247-G247-H247-M247</f>
        <v>2186.177252773</v>
      </c>
      <c r="Y247" s="16" t="n">
        <f aca="false">Y246+X247</f>
        <v>-551573.105636858</v>
      </c>
      <c r="Z247" s="16" t="n">
        <f aca="false">Premissas!$C$14*(1+Premissas!$C$57)^((YEAR(Premissas!$C$19)-YEAR(Premissas!$C$18))*12+MONTH(Premissas!$C$19)-MONTH(Premissas!$C$18))*(1+Premissas!$C$61)^((YEAR($A247)-YEAR(Premissas!$C$19))*12+MONTH($A247)-MONTH(Premissas!$C$19))</f>
        <v>1279217.47935458</v>
      </c>
      <c r="AA247" s="16" t="n">
        <f aca="false">IF($A247&gt;=Premissas!$C$25,Z247*(1-Premissas!$C$53)-N247-Premissas!$C$54*MAX(0,Z247*(1-Premissas!$C$53)-(Premissas!$C$14*(1+Premissas!$C$57)^((YEAR(Premissas!$C$25)-YEAR(Premissas!$C$18))*12+MONTH(Premissas!$C$25)-MONTH(Premissas!$C$18))*(1+Premissas!$C$34))),"")</f>
        <v>1103296.97551597</v>
      </c>
      <c r="AB247" s="16" t="n">
        <f aca="false">IF($A247&gt;=Premissas!$C$25,Y247+AA247,"")</f>
        <v>551723.869879114</v>
      </c>
      <c r="AC247" s="20" t="n">
        <f aca="false">IF(AND($A247&gt;=Premissas!$C$27,W247&gt;=M247),$A247,"")</f>
        <v>53752</v>
      </c>
      <c r="AD247" s="20" t="str">
        <f aca="false">IF(AND($A247&gt;=Premissas!$C$27,Y247&gt;=0),$A247,"")</f>
        <v/>
      </c>
      <c r="AE247" s="20" t="n">
        <f aca="false">IF(AND($A247&gt;=Premissas!$C$25,N(AB247)&gt;=0),$A247,"")</f>
        <v>53752</v>
      </c>
    </row>
    <row r="248" customFormat="false" ht="15" hidden="false" customHeight="false" outlineLevel="0" collapsed="false">
      <c r="A248" s="20" t="n">
        <f aca="false">DATE(YEAR(A247),MONTH(A247)+1,1)</f>
        <v>53783</v>
      </c>
      <c r="B248" s="5" t="str">
        <f aca="false">IF($A248&lt;Premissas!$C$25,"Obra",IF($A248=Premissas!$C$25,"Chaves",IF($A248&lt;Premissas!$C$27,"Mobiliando","Airbnb")))</f>
        <v>Airbnb</v>
      </c>
      <c r="C248" s="35" t="n">
        <f aca="false">(YEAR($A248)-YEAR(Premissas!$C$18))*12+MONTH($A248)-MONTH(Premissas!$C$18)</f>
        <v>247</v>
      </c>
      <c r="D248" s="16" t="n">
        <f aca="false">($A248=Premissas!$C$19)*Premissas!$C$8+(($A248=EDATE(Premissas!$C$19,1))+($A248=EDATE(Premissas!$C$19,2)))*Premissas!$C$9+AND($A248&gt;=Premissas!$C$20,$A248&lt;EDATE(Premissas!$C$20,Premissas!$C$21))*Premissas!$C$10+(($A248=Premissas!$C$22)+($A248=Premissas!$C$23)+($A248=Premissas!$C$24))*Premissas!$C$11+($A248=Premissas!$C$25)*Premissas!$C$12</f>
        <v>0</v>
      </c>
      <c r="E248" s="36" t="n">
        <f aca="false">(1+Premissas!$C$57)^C248</f>
        <v>3.01032321261389</v>
      </c>
      <c r="F248" s="16" t="n">
        <f aca="false">D248*E248</f>
        <v>0</v>
      </c>
      <c r="G248" s="16" t="n">
        <f aca="false">($A248=Premissas!$C$25)*Premissas!$C$34*Premissas!$C$14*(1+Premissas!$C$57)^C248</f>
        <v>0</v>
      </c>
      <c r="H248" s="16" t="n">
        <f aca="false">IF(AND($A248&gt;Premissas!$C$25,$A248&lt;Premissas!$C$27),Premissas!$C$35/MAX(1,Premissas!$C$26),0)</f>
        <v>0</v>
      </c>
      <c r="I248" s="35" t="n">
        <f aca="false">IF(AND($A248&gt;Premissas!$C$25,((YEAR($A248)-YEAR(Premissas!$C$25))*12+MONTH($A248)-MONTH(Premissas!$C$25))&lt;=Premissas!$C$32),((YEAR($A248)-YEAR(Premissas!$C$25))*12+MONTH($A248)-MONTH(Premissas!$C$25)),0)</f>
        <v>0</v>
      </c>
      <c r="J248" s="16" t="n">
        <f aca="false">IF(I248&gt;0,N247*(1+Premissas!$C$59),0)</f>
        <v>0</v>
      </c>
      <c r="K248" s="16" t="n">
        <f aca="false">J248*Premissas!$C$58</f>
        <v>0</v>
      </c>
      <c r="L248" s="16" t="n">
        <f aca="false">IF(I248&gt;0,J248/(Premissas!$C$32-I248+1),0)</f>
        <v>0</v>
      </c>
      <c r="M248" s="16" t="n">
        <f aca="false">K248+L248</f>
        <v>0</v>
      </c>
      <c r="N248" s="16" t="n">
        <f aca="false">IF($A248=Premissas!$C$25,Premissas!$C$13*E248,IF(I248&gt;0,J248-L248,0))</f>
        <v>0</v>
      </c>
      <c r="O248" s="37" t="n">
        <f aca="false">IF($A248&gt;=Premissas!$C$27,Premissas!$C$39*IF(((YEAR($A248)-YEAR(Premissas!$C$27))*12+MONTH($A248)-MONTH(Premissas!$C$27))&lt;Premissas!$C$41,Premissas!$C$42,1),0)</f>
        <v>0.62</v>
      </c>
      <c r="P248" s="16" t="n">
        <f aca="false">O248*Premissas!$C$38*Premissas!$C$40*(1+Premissas!$C$60)^((YEAR($A248)-YEAR(Premissas!$C$19))*12+MONTH($A248)-MONTH(Premissas!$C$19))</f>
        <v>9465.98694194709</v>
      </c>
      <c r="Q248" s="16" t="n">
        <f aca="false">P248*Premissas!$C$43</f>
        <v>1514.55791071153</v>
      </c>
      <c r="R248" s="16" t="n">
        <f aca="false">P248*Premissas!$C$44</f>
        <v>1893.19738838942</v>
      </c>
      <c r="S248" s="16" t="n">
        <f aca="false">IF($A248&gt;=Premissas!$C$25,Premissas!$C$45*(1+Premissas!$C$60)^((YEAR($A248)-YEAR(Premissas!$C$19))*12+MONTH($A248)-MONTH(Premissas!$C$19)),0)</f>
        <v>1659.53487762046</v>
      </c>
      <c r="T248" s="16" t="n">
        <f aca="false">IF($A248&gt;=Premissas!$C$27,Premissas!$C$46*(1+Premissas!$C$60)^((YEAR($A248)-YEAR(Premissas!$C$19))*12+MONTH($A248)-MONTH(Premissas!$C$19)),0)</f>
        <v>663.813951048183</v>
      </c>
      <c r="U248" s="16" t="n">
        <f aca="false">IF($A248&gt;=Premissas!$C$27,Premissas!$C$47*(1+Premissas!$C$60)^((YEAR($A248)-YEAR(Premissas!$C$19))*12+MONTH($A248)-MONTH(Premissas!$C$19)),0)</f>
        <v>331.906975524091</v>
      </c>
      <c r="V248" s="16" t="n">
        <f aca="false">IF($A248&gt;=Premissas!$C$27,MAX(0,P248-Q248-R248-S248)*Premissas!$C$49,0)</f>
        <v>1209.64161043706</v>
      </c>
      <c r="W248" s="16" t="n">
        <f aca="false">P248-Q248-R248-S248-T248-U248-V248</f>
        <v>2193.33422821634</v>
      </c>
      <c r="X248" s="16" t="n">
        <f aca="false">W248-F248-G248-H248-M248</f>
        <v>2193.33422821634</v>
      </c>
      <c r="Y248" s="16" t="n">
        <f aca="false">Y247+X248</f>
        <v>-549379.771408642</v>
      </c>
      <c r="Z248" s="16" t="n">
        <f aca="false">Premissas!$C$14*(1+Premissas!$C$57)^((YEAR(Premissas!$C$19)-YEAR(Premissas!$C$18))*12+MONTH(Premissas!$C$19)-MONTH(Premissas!$C$18))*(1+Premissas!$C$61)^((YEAR($A248)-YEAR(Premissas!$C$19))*12+MONTH($A248)-MONTH(Premissas!$C$19))</f>
        <v>1284429.16971167</v>
      </c>
      <c r="AA248" s="16" t="n">
        <f aca="false">IF($A248&gt;=Premissas!$C$25,Z248*(1-Premissas!$C$53)-N248-Premissas!$C$54*MAX(0,Z248*(1-Premissas!$C$53)-(Premissas!$C$14*(1+Premissas!$C$57)^((YEAR(Premissas!$C$25)-YEAR(Premissas!$C$18))*12+MONTH(Premissas!$C$25)-MONTH(Premissas!$C$18))*(1+Premissas!$C$34))),"")</f>
        <v>1107461.11611129</v>
      </c>
      <c r="AB248" s="16" t="n">
        <f aca="false">IF($A248&gt;=Premissas!$C$25,Y248+AA248,"")</f>
        <v>558081.34470265</v>
      </c>
      <c r="AC248" s="20" t="n">
        <f aca="false">IF(AND($A248&gt;=Premissas!$C$27,W248&gt;=M248),$A248,"")</f>
        <v>53783</v>
      </c>
      <c r="AD248" s="20" t="str">
        <f aca="false">IF(AND($A248&gt;=Premissas!$C$27,Y248&gt;=0),$A248,"")</f>
        <v/>
      </c>
      <c r="AE248" s="20" t="n">
        <f aca="false">IF(AND($A248&gt;=Premissas!$C$25,N(AB248)&gt;=0),$A248,"")</f>
        <v>53783</v>
      </c>
    </row>
    <row r="249" customFormat="false" ht="15" hidden="false" customHeight="false" outlineLevel="0" collapsed="false">
      <c r="A249" s="20" t="n">
        <f aca="false">DATE(YEAR(A248),MONTH(A248)+1,1)</f>
        <v>53813</v>
      </c>
      <c r="B249" s="5" t="str">
        <f aca="false">IF($A249&lt;Premissas!$C$25,"Obra",IF($A249=Premissas!$C$25,"Chaves",IF($A249&lt;Premissas!$C$27,"Mobiliando","Airbnb")))</f>
        <v>Airbnb</v>
      </c>
      <c r="C249" s="35" t="n">
        <f aca="false">(YEAR($A249)-YEAR(Premissas!$C$18))*12+MONTH($A249)-MONTH(Premissas!$C$18)</f>
        <v>248</v>
      </c>
      <c r="D249" s="16" t="n">
        <f aca="false">($A249=Premissas!$C$19)*Premissas!$C$8+(($A249=EDATE(Premissas!$C$19,1))+($A249=EDATE(Premissas!$C$19,2)))*Premissas!$C$9+AND($A249&gt;=Premissas!$C$20,$A249&lt;EDATE(Premissas!$C$20,Premissas!$C$21))*Premissas!$C$10+(($A249=Premissas!$C$22)+($A249=Premissas!$C$23)+($A249=Premissas!$C$24))*Premissas!$C$11+($A249=Premissas!$C$25)*Premissas!$C$12</f>
        <v>0</v>
      </c>
      <c r="E249" s="36" t="n">
        <f aca="false">(1+Premissas!$C$57)^C249</f>
        <v>3.02378447166368</v>
      </c>
      <c r="F249" s="16" t="n">
        <f aca="false">D249*E249</f>
        <v>0</v>
      </c>
      <c r="G249" s="16" t="n">
        <f aca="false">($A249=Premissas!$C$25)*Premissas!$C$34*Premissas!$C$14*(1+Premissas!$C$57)^C249</f>
        <v>0</v>
      </c>
      <c r="H249" s="16" t="n">
        <f aca="false">IF(AND($A249&gt;Premissas!$C$25,$A249&lt;Premissas!$C$27),Premissas!$C$35/MAX(1,Premissas!$C$26),0)</f>
        <v>0</v>
      </c>
      <c r="I249" s="35" t="n">
        <f aca="false">IF(AND($A249&gt;Premissas!$C$25,((YEAR($A249)-YEAR(Premissas!$C$25))*12+MONTH($A249)-MONTH(Premissas!$C$25))&lt;=Premissas!$C$32),((YEAR($A249)-YEAR(Premissas!$C$25))*12+MONTH($A249)-MONTH(Premissas!$C$25)),0)</f>
        <v>0</v>
      </c>
      <c r="J249" s="16" t="n">
        <f aca="false">IF(I249&gt;0,N248*(1+Premissas!$C$59),0)</f>
        <v>0</v>
      </c>
      <c r="K249" s="16" t="n">
        <f aca="false">J249*Premissas!$C$58</f>
        <v>0</v>
      </c>
      <c r="L249" s="16" t="n">
        <f aca="false">IF(I249&gt;0,J249/(Premissas!$C$32-I249+1),0)</f>
        <v>0</v>
      </c>
      <c r="M249" s="16" t="n">
        <f aca="false">K249+L249</f>
        <v>0</v>
      </c>
      <c r="N249" s="16" t="n">
        <f aca="false">IF($A249=Premissas!$C$25,Premissas!$C$13*E249,IF(I249&gt;0,J249-L249,0))</f>
        <v>0</v>
      </c>
      <c r="O249" s="37" t="n">
        <f aca="false">IF($A249&gt;=Premissas!$C$27,Premissas!$C$39*IF(((YEAR($A249)-YEAR(Premissas!$C$27))*12+MONTH($A249)-MONTH(Premissas!$C$27))&lt;Premissas!$C$41,Premissas!$C$42,1),0)</f>
        <v>0.62</v>
      </c>
      <c r="P249" s="16" t="n">
        <f aca="false">O249*Premissas!$C$38*Premissas!$C$40*(1+Premissas!$C$60)^((YEAR($A249)-YEAR(Premissas!$C$19))*12+MONTH($A249)-MONTH(Premissas!$C$19))</f>
        <v>9496.97611997671</v>
      </c>
      <c r="Q249" s="16" t="n">
        <f aca="false">P249*Premissas!$C$43</f>
        <v>1519.51617919627</v>
      </c>
      <c r="R249" s="16" t="n">
        <f aca="false">P249*Premissas!$C$44</f>
        <v>1899.39522399534</v>
      </c>
      <c r="S249" s="16" t="n">
        <f aca="false">IF($A249&gt;=Premissas!$C$25,Premissas!$C$45*(1+Premissas!$C$60)^((YEAR($A249)-YEAR(Premissas!$C$19))*12+MONTH($A249)-MONTH(Premissas!$C$19)),0)</f>
        <v>1664.96776296927</v>
      </c>
      <c r="T249" s="16" t="n">
        <f aca="false">IF($A249&gt;=Premissas!$C$27,Premissas!$C$46*(1+Premissas!$C$60)^((YEAR($A249)-YEAR(Premissas!$C$19))*12+MONTH($A249)-MONTH(Premissas!$C$19)),0)</f>
        <v>665.987105187708</v>
      </c>
      <c r="U249" s="16" t="n">
        <f aca="false">IF($A249&gt;=Premissas!$C$27,Premissas!$C$47*(1+Premissas!$C$60)^((YEAR($A249)-YEAR(Premissas!$C$19))*12+MONTH($A249)-MONTH(Premissas!$C$19)),0)</f>
        <v>332.993552593854</v>
      </c>
      <c r="V249" s="16" t="n">
        <f aca="false">IF($A249&gt;=Premissas!$C$27,MAX(0,P249-Q249-R249-S249)*Premissas!$C$49,0)</f>
        <v>1213.60166229935</v>
      </c>
      <c r="W249" s="16" t="n">
        <f aca="false">P249-Q249-R249-S249-T249-U249-V249</f>
        <v>2200.51463373491</v>
      </c>
      <c r="X249" s="16" t="n">
        <f aca="false">W249-F249-G249-H249-M249</f>
        <v>2200.51463373491</v>
      </c>
      <c r="Y249" s="16" t="n">
        <f aca="false">Y248+X249</f>
        <v>-547179.256774907</v>
      </c>
      <c r="Z249" s="16" t="n">
        <f aca="false">Premissas!$C$14*(1+Premissas!$C$57)^((YEAR(Premissas!$C$19)-YEAR(Premissas!$C$18))*12+MONTH(Premissas!$C$19)-MONTH(Premissas!$C$18))*(1+Premissas!$C$61)^((YEAR($A249)-YEAR(Premissas!$C$19))*12+MONTH($A249)-MONTH(Premissas!$C$19))</f>
        <v>1289662.09314041</v>
      </c>
      <c r="AA249" s="16" t="n">
        <f aca="false">IF($A249&gt;=Premissas!$C$25,Z249*(1-Premissas!$C$53)-N249-Premissas!$C$54*MAX(0,Z249*(1-Premissas!$C$53)-(Premissas!$C$14*(1+Premissas!$C$57)^((YEAR(Premissas!$C$25)-YEAR(Premissas!$C$18))*12+MONTH(Premissas!$C$25)-MONTH(Premissas!$C$18))*(1+Premissas!$C$34))),"")</f>
        <v>1111642.22193085</v>
      </c>
      <c r="AB249" s="16" t="n">
        <f aca="false">IF($A249&gt;=Premissas!$C$25,Y249+AA249,"")</f>
        <v>564462.965155944</v>
      </c>
      <c r="AC249" s="20" t="n">
        <f aca="false">IF(AND($A249&gt;=Premissas!$C$27,W249&gt;=M249),$A249,"")</f>
        <v>53813</v>
      </c>
      <c r="AD249" s="20" t="str">
        <f aca="false">IF(AND($A249&gt;=Premissas!$C$27,Y249&gt;=0),$A249,"")</f>
        <v/>
      </c>
      <c r="AE249" s="20" t="n">
        <f aca="false">IF(AND($A249&gt;=Premissas!$C$25,N(AB249)&gt;=0),$A249,"")</f>
        <v>53813</v>
      </c>
    </row>
    <row r="250" customFormat="false" ht="15" hidden="false" customHeight="false" outlineLevel="0" collapsed="false">
      <c r="A250" s="20" t="n">
        <f aca="false">DATE(YEAR(A249),MONTH(A249)+1,1)</f>
        <v>53844</v>
      </c>
      <c r="B250" s="5" t="str">
        <f aca="false">IF($A250&lt;Premissas!$C$25,"Obra",IF($A250=Premissas!$C$25,"Chaves",IF($A250&lt;Premissas!$C$27,"Mobiliando","Airbnb")))</f>
        <v>Airbnb</v>
      </c>
      <c r="C250" s="35" t="n">
        <f aca="false">(YEAR($A250)-YEAR(Premissas!$C$18))*12+MONTH($A250)-MONTH(Premissas!$C$18)</f>
        <v>249</v>
      </c>
      <c r="D250" s="16" t="n">
        <f aca="false">($A250=Premissas!$C$19)*Premissas!$C$8+(($A250=EDATE(Premissas!$C$19,1))+($A250=EDATE(Premissas!$C$19,2)))*Premissas!$C$9+AND($A250&gt;=Premissas!$C$20,$A250&lt;EDATE(Premissas!$C$20,Premissas!$C$21))*Premissas!$C$10+(($A250=Premissas!$C$22)+($A250=Premissas!$C$23)+($A250=Premissas!$C$24))*Premissas!$C$11+($A250=Premissas!$C$25)*Premissas!$C$12</f>
        <v>0</v>
      </c>
      <c r="E250" s="36" t="n">
        <f aca="false">(1+Premissas!$C$57)^C250</f>
        <v>3.03730592541099</v>
      </c>
      <c r="F250" s="16" t="n">
        <f aca="false">D250*E250</f>
        <v>0</v>
      </c>
      <c r="G250" s="16" t="n">
        <f aca="false">($A250=Premissas!$C$25)*Premissas!$C$34*Premissas!$C$14*(1+Premissas!$C$57)^C250</f>
        <v>0</v>
      </c>
      <c r="H250" s="16" t="n">
        <f aca="false">IF(AND($A250&gt;Premissas!$C$25,$A250&lt;Premissas!$C$27),Premissas!$C$35/MAX(1,Premissas!$C$26),0)</f>
        <v>0</v>
      </c>
      <c r="I250" s="35" t="n">
        <f aca="false">IF(AND($A250&gt;Premissas!$C$25,((YEAR($A250)-YEAR(Premissas!$C$25))*12+MONTH($A250)-MONTH(Premissas!$C$25))&lt;=Premissas!$C$32),((YEAR($A250)-YEAR(Premissas!$C$25))*12+MONTH($A250)-MONTH(Premissas!$C$25)),0)</f>
        <v>0</v>
      </c>
      <c r="J250" s="16" t="n">
        <f aca="false">IF(I250&gt;0,N249*(1+Premissas!$C$59),0)</f>
        <v>0</v>
      </c>
      <c r="K250" s="16" t="n">
        <f aca="false">J250*Premissas!$C$58</f>
        <v>0</v>
      </c>
      <c r="L250" s="16" t="n">
        <f aca="false">IF(I250&gt;0,J250/(Premissas!$C$32-I250+1),0)</f>
        <v>0</v>
      </c>
      <c r="M250" s="16" t="n">
        <f aca="false">K250+L250</f>
        <v>0</v>
      </c>
      <c r="N250" s="16" t="n">
        <f aca="false">IF($A250=Premissas!$C$25,Premissas!$C$13*E250,IF(I250&gt;0,J250-L250,0))</f>
        <v>0</v>
      </c>
      <c r="O250" s="37" t="n">
        <f aca="false">IF($A250&gt;=Premissas!$C$27,Premissas!$C$39*IF(((YEAR($A250)-YEAR(Premissas!$C$27))*12+MONTH($A250)-MONTH(Premissas!$C$27))&lt;Premissas!$C$41,Premissas!$C$42,1),0)</f>
        <v>0.62</v>
      </c>
      <c r="P250" s="16" t="n">
        <f aca="false">O250*Premissas!$C$38*Premissas!$C$40*(1+Premissas!$C$60)^((YEAR($A250)-YEAR(Premissas!$C$19))*12+MONTH($A250)-MONTH(Premissas!$C$19))</f>
        <v>9528.06674851128</v>
      </c>
      <c r="Q250" s="16" t="n">
        <f aca="false">P250*Premissas!$C$43</f>
        <v>1524.4906797618</v>
      </c>
      <c r="R250" s="16" t="n">
        <f aca="false">P250*Premissas!$C$44</f>
        <v>1905.61334970226</v>
      </c>
      <c r="S250" s="16" t="n">
        <f aca="false">IF($A250&gt;=Premissas!$C$25,Premissas!$C$45*(1+Premissas!$C$60)^((YEAR($A250)-YEAR(Premissas!$C$19))*12+MONTH($A250)-MONTH(Premissas!$C$19)),0)</f>
        <v>1670.41843417098</v>
      </c>
      <c r="T250" s="16" t="n">
        <f aca="false">IF($A250&gt;=Premissas!$C$27,Premissas!$C$46*(1+Premissas!$C$60)^((YEAR($A250)-YEAR(Premissas!$C$19))*12+MONTH($A250)-MONTH(Premissas!$C$19)),0)</f>
        <v>668.167373668392</v>
      </c>
      <c r="U250" s="16" t="n">
        <f aca="false">IF($A250&gt;=Premissas!$C$27,Premissas!$C$47*(1+Premissas!$C$60)^((YEAR($A250)-YEAR(Premissas!$C$19))*12+MONTH($A250)-MONTH(Premissas!$C$19)),0)</f>
        <v>334.083686834196</v>
      </c>
      <c r="V250" s="16" t="n">
        <f aca="false">IF($A250&gt;=Premissas!$C$27,MAX(0,P250-Q250-R250-S250)*Premissas!$C$49,0)</f>
        <v>1217.57467834097</v>
      </c>
      <c r="W250" s="16" t="n">
        <f aca="false">P250-Q250-R250-S250-T250-U250-V250</f>
        <v>2207.71854603268</v>
      </c>
      <c r="X250" s="16" t="n">
        <f aca="false">W250-F250-G250-H250-M250</f>
        <v>2207.71854603268</v>
      </c>
      <c r="Y250" s="16" t="n">
        <f aca="false">Y249+X250</f>
        <v>-544971.538228874</v>
      </c>
      <c r="Z250" s="16" t="n">
        <f aca="false">Premissas!$C$14*(1+Premissas!$C$57)^((YEAR(Premissas!$C$19)-YEAR(Premissas!$C$18))*12+MONTH(Premissas!$C$19)-MONTH(Premissas!$C$18))*(1+Premissas!$C$61)^((YEAR($A250)-YEAR(Premissas!$C$19))*12+MONTH($A250)-MONTH(Premissas!$C$19))</f>
        <v>1294916.33614694</v>
      </c>
      <c r="AA250" s="16" t="n">
        <f aca="false">IF($A250&gt;=Premissas!$C$25,Z250*(1-Premissas!$C$53)-N250-Premissas!$C$54*MAX(0,Z250*(1-Premissas!$C$53)-(Premissas!$C$14*(1+Premissas!$C$57)^((YEAR(Premissas!$C$25)-YEAR(Premissas!$C$18))*12+MONTH(Premissas!$C$25)-MONTH(Premissas!$C$18))*(1+Premissas!$C$34))),"")</f>
        <v>1115840.36209307</v>
      </c>
      <c r="AB250" s="16" t="n">
        <f aca="false">IF($A250&gt;=Premissas!$C$25,Y250+AA250,"")</f>
        <v>570868.823864197</v>
      </c>
      <c r="AC250" s="20" t="n">
        <f aca="false">IF(AND($A250&gt;=Premissas!$C$27,W250&gt;=M250),$A250,"")</f>
        <v>53844</v>
      </c>
      <c r="AD250" s="20" t="str">
        <f aca="false">IF(AND($A250&gt;=Premissas!$C$27,Y250&gt;=0),$A250,"")</f>
        <v/>
      </c>
      <c r="AE250" s="20" t="n">
        <f aca="false">IF(AND($A250&gt;=Premissas!$C$25,N(AB250)&gt;=0),$A250,"")</f>
        <v>53844</v>
      </c>
    </row>
    <row r="251" customFormat="false" ht="15" hidden="false" customHeight="false" outlineLevel="0" collapsed="false">
      <c r="A251" s="20" t="n">
        <f aca="false">DATE(YEAR(A250),MONTH(A250)+1,1)</f>
        <v>53874</v>
      </c>
      <c r="B251" s="5" t="str">
        <f aca="false">IF($A251&lt;Premissas!$C$25,"Obra",IF($A251=Premissas!$C$25,"Chaves",IF($A251&lt;Premissas!$C$27,"Mobiliando","Airbnb")))</f>
        <v>Airbnb</v>
      </c>
      <c r="C251" s="35" t="n">
        <f aca="false">(YEAR($A251)-YEAR(Premissas!$C$18))*12+MONTH($A251)-MONTH(Premissas!$C$18)</f>
        <v>250</v>
      </c>
      <c r="D251" s="16" t="n">
        <f aca="false">($A251=Premissas!$C$19)*Premissas!$C$8+(($A251=EDATE(Premissas!$C$19,1))+($A251=EDATE(Premissas!$C$19,2)))*Premissas!$C$9+AND($A251&gt;=Premissas!$C$20,$A251&lt;EDATE(Premissas!$C$20,Premissas!$C$21))*Premissas!$C$10+(($A251=Premissas!$C$22)+($A251=Premissas!$C$23)+($A251=Premissas!$C$24))*Premissas!$C$11+($A251=Premissas!$C$25)*Premissas!$C$12</f>
        <v>0</v>
      </c>
      <c r="E251" s="36" t="n">
        <f aca="false">(1+Premissas!$C$57)^C251</f>
        <v>3.05088784302838</v>
      </c>
      <c r="F251" s="16" t="n">
        <f aca="false">D251*E251</f>
        <v>0</v>
      </c>
      <c r="G251" s="16" t="n">
        <f aca="false">($A251=Premissas!$C$25)*Premissas!$C$34*Premissas!$C$14*(1+Premissas!$C$57)^C251</f>
        <v>0</v>
      </c>
      <c r="H251" s="16" t="n">
        <f aca="false">IF(AND($A251&gt;Premissas!$C$25,$A251&lt;Premissas!$C$27),Premissas!$C$35/MAX(1,Premissas!$C$26),0)</f>
        <v>0</v>
      </c>
      <c r="I251" s="35" t="n">
        <f aca="false">IF(AND($A251&gt;Premissas!$C$25,((YEAR($A251)-YEAR(Premissas!$C$25))*12+MONTH($A251)-MONTH(Premissas!$C$25))&lt;=Premissas!$C$32),((YEAR($A251)-YEAR(Premissas!$C$25))*12+MONTH($A251)-MONTH(Premissas!$C$25)),0)</f>
        <v>0</v>
      </c>
      <c r="J251" s="16" t="n">
        <f aca="false">IF(I251&gt;0,N250*(1+Premissas!$C$59),0)</f>
        <v>0</v>
      </c>
      <c r="K251" s="16" t="n">
        <f aca="false">J251*Premissas!$C$58</f>
        <v>0</v>
      </c>
      <c r="L251" s="16" t="n">
        <f aca="false">IF(I251&gt;0,J251/(Premissas!$C$32-I251+1),0)</f>
        <v>0</v>
      </c>
      <c r="M251" s="16" t="n">
        <f aca="false">K251+L251</f>
        <v>0</v>
      </c>
      <c r="N251" s="16" t="n">
        <f aca="false">IF($A251=Premissas!$C$25,Premissas!$C$13*E251,IF(I251&gt;0,J251-L251,0))</f>
        <v>0</v>
      </c>
      <c r="O251" s="37" t="n">
        <f aca="false">IF($A251&gt;=Premissas!$C$27,Premissas!$C$39*IF(((YEAR($A251)-YEAR(Premissas!$C$27))*12+MONTH($A251)-MONTH(Premissas!$C$27))&lt;Premissas!$C$41,Premissas!$C$42,1),0)</f>
        <v>0.62</v>
      </c>
      <c r="P251" s="16" t="n">
        <f aca="false">O251*Premissas!$C$38*Premissas!$C$40*(1+Premissas!$C$60)^((YEAR($A251)-YEAR(Premissas!$C$19))*12+MONTH($A251)-MONTH(Premissas!$C$19))</f>
        <v>9559.25915967332</v>
      </c>
      <c r="Q251" s="16" t="n">
        <f aca="false">P251*Premissas!$C$43</f>
        <v>1529.48146554773</v>
      </c>
      <c r="R251" s="16" t="n">
        <f aca="false">P251*Premissas!$C$44</f>
        <v>1911.85183193466</v>
      </c>
      <c r="S251" s="16" t="n">
        <f aca="false">IF($A251&gt;=Premissas!$C$25,Premissas!$C$45*(1+Premissas!$C$60)^((YEAR($A251)-YEAR(Premissas!$C$19))*12+MONTH($A251)-MONTH(Premissas!$C$19)),0)</f>
        <v>1675.88694945184</v>
      </c>
      <c r="T251" s="16" t="n">
        <f aca="false">IF($A251&gt;=Premissas!$C$27,Premissas!$C$46*(1+Premissas!$C$60)^((YEAR($A251)-YEAR(Premissas!$C$19))*12+MONTH($A251)-MONTH(Premissas!$C$19)),0)</f>
        <v>670.354779780738</v>
      </c>
      <c r="U251" s="16" t="n">
        <f aca="false">IF($A251&gt;=Premissas!$C$27,Premissas!$C$47*(1+Premissas!$C$60)^((YEAR($A251)-YEAR(Premissas!$C$19))*12+MONTH($A251)-MONTH(Premissas!$C$19)),0)</f>
        <v>335.177389890369</v>
      </c>
      <c r="V251" s="16" t="n">
        <f aca="false">IF($A251&gt;=Premissas!$C$27,MAX(0,P251-Q251-R251-S251)*Premissas!$C$49,0)</f>
        <v>1221.56070100325</v>
      </c>
      <c r="W251" s="16" t="n">
        <f aca="false">P251-Q251-R251-S251-T251-U251-V251</f>
        <v>2214.94604206473</v>
      </c>
      <c r="X251" s="16" t="n">
        <f aca="false">W251-F251-G251-H251-M251</f>
        <v>2214.94604206473</v>
      </c>
      <c r="Y251" s="16" t="n">
        <f aca="false">Y250+X251</f>
        <v>-542756.59218681</v>
      </c>
      <c r="Z251" s="16" t="n">
        <f aca="false">Premissas!$C$14*(1+Premissas!$C$57)^((YEAR(Premissas!$C$19)-YEAR(Premissas!$C$18))*12+MONTH(Premissas!$C$19)-MONTH(Premissas!$C$18))*(1+Premissas!$C$61)^((YEAR($A251)-YEAR(Premissas!$C$19))*12+MONTH($A251)-MONTH(Premissas!$C$19))</f>
        <v>1300191.98558987</v>
      </c>
      <c r="AA251" s="16" t="n">
        <f aca="false">IF($A251&gt;=Premissas!$C$25,Z251*(1-Premissas!$C$53)-N251-Premissas!$C$54*MAX(0,Z251*(1-Premissas!$C$53)-(Premissas!$C$14*(1+Premissas!$C$57)^((YEAR(Premissas!$C$25)-YEAR(Premissas!$C$18))*12+MONTH(Premissas!$C$25)-MONTH(Premissas!$C$18))*(1+Premissas!$C$34))),"")</f>
        <v>1120055.60599797</v>
      </c>
      <c r="AB251" s="16" t="n">
        <f aca="false">IF($A251&gt;=Premissas!$C$25,Y251+AA251,"")</f>
        <v>577299.013811163</v>
      </c>
      <c r="AC251" s="20" t="n">
        <f aca="false">IF(AND($A251&gt;=Premissas!$C$27,W251&gt;=M251),$A251,"")</f>
        <v>53874</v>
      </c>
      <c r="AD251" s="20" t="str">
        <f aca="false">IF(AND($A251&gt;=Premissas!$C$27,Y251&gt;=0),$A251,"")</f>
        <v/>
      </c>
      <c r="AE251" s="20" t="n">
        <f aca="false">IF(AND($A251&gt;=Premissas!$C$25,N(AB251)&gt;=0),$A251,"")</f>
        <v>53874</v>
      </c>
    </row>
    <row r="252" customFormat="false" ht="15" hidden="false" customHeight="false" outlineLevel="0" collapsed="false">
      <c r="A252" s="20" t="n">
        <f aca="false">DATE(YEAR(A251),MONTH(A251)+1,1)</f>
        <v>53905</v>
      </c>
      <c r="B252" s="5" t="str">
        <f aca="false">IF($A252&lt;Premissas!$C$25,"Obra",IF($A252=Premissas!$C$25,"Chaves",IF($A252&lt;Premissas!$C$27,"Mobiliando","Airbnb")))</f>
        <v>Airbnb</v>
      </c>
      <c r="C252" s="35" t="n">
        <f aca="false">(YEAR($A252)-YEAR(Premissas!$C$18))*12+MONTH($A252)-MONTH(Premissas!$C$18)</f>
        <v>251</v>
      </c>
      <c r="D252" s="16" t="n">
        <f aca="false">($A252=Premissas!$C$19)*Premissas!$C$8+(($A252=EDATE(Premissas!$C$19,1))+($A252=EDATE(Premissas!$C$19,2)))*Premissas!$C$9+AND($A252&gt;=Premissas!$C$20,$A252&lt;EDATE(Premissas!$C$20,Premissas!$C$21))*Premissas!$C$10+(($A252=Premissas!$C$22)+($A252=Premissas!$C$23)+($A252=Premissas!$C$24))*Premissas!$C$11+($A252=Premissas!$C$25)*Premissas!$C$12</f>
        <v>0</v>
      </c>
      <c r="E252" s="36" t="n">
        <f aca="false">(1+Premissas!$C$57)^C252</f>
        <v>3.06453049489207</v>
      </c>
      <c r="F252" s="16" t="n">
        <f aca="false">D252*E252</f>
        <v>0</v>
      </c>
      <c r="G252" s="16" t="n">
        <f aca="false">($A252=Premissas!$C$25)*Premissas!$C$34*Premissas!$C$14*(1+Premissas!$C$57)^C252</f>
        <v>0</v>
      </c>
      <c r="H252" s="16" t="n">
        <f aca="false">IF(AND($A252&gt;Premissas!$C$25,$A252&lt;Premissas!$C$27),Premissas!$C$35/MAX(1,Premissas!$C$26),0)</f>
        <v>0</v>
      </c>
      <c r="I252" s="35" t="n">
        <f aca="false">IF(AND($A252&gt;Premissas!$C$25,((YEAR($A252)-YEAR(Premissas!$C$25))*12+MONTH($A252)-MONTH(Premissas!$C$25))&lt;=Premissas!$C$32),((YEAR($A252)-YEAR(Premissas!$C$25))*12+MONTH($A252)-MONTH(Premissas!$C$25)),0)</f>
        <v>0</v>
      </c>
      <c r="J252" s="16" t="n">
        <f aca="false">IF(I252&gt;0,N251*(1+Premissas!$C$59),0)</f>
        <v>0</v>
      </c>
      <c r="K252" s="16" t="n">
        <f aca="false">J252*Premissas!$C$58</f>
        <v>0</v>
      </c>
      <c r="L252" s="16" t="n">
        <f aca="false">IF(I252&gt;0,J252/(Premissas!$C$32-I252+1),0)</f>
        <v>0</v>
      </c>
      <c r="M252" s="16" t="n">
        <f aca="false">K252+L252</f>
        <v>0</v>
      </c>
      <c r="N252" s="16" t="n">
        <f aca="false">IF($A252=Premissas!$C$25,Premissas!$C$13*E252,IF(I252&gt;0,J252-L252,0))</f>
        <v>0</v>
      </c>
      <c r="O252" s="37" t="n">
        <f aca="false">IF($A252&gt;=Premissas!$C$27,Premissas!$C$39*IF(((YEAR($A252)-YEAR(Premissas!$C$27))*12+MONTH($A252)-MONTH(Premissas!$C$27))&lt;Premissas!$C$41,Premissas!$C$42,1),0)</f>
        <v>0.62</v>
      </c>
      <c r="P252" s="16" t="n">
        <f aca="false">O252*Premissas!$C$38*Premissas!$C$40*(1+Premissas!$C$60)^((YEAR($A252)-YEAR(Premissas!$C$19))*12+MONTH($A252)-MONTH(Premissas!$C$19))</f>
        <v>9590.55368667269</v>
      </c>
      <c r="Q252" s="16" t="n">
        <f aca="false">P252*Premissas!$C$43</f>
        <v>1534.48858986763</v>
      </c>
      <c r="R252" s="16" t="n">
        <f aca="false">P252*Premissas!$C$44</f>
        <v>1918.11073733454</v>
      </c>
      <c r="S252" s="16" t="n">
        <f aca="false">IF($A252&gt;=Premissas!$C$25,Premissas!$C$45*(1+Premissas!$C$60)^((YEAR($A252)-YEAR(Premissas!$C$19))*12+MONTH($A252)-MONTH(Premissas!$C$19)),0)</f>
        <v>1681.37336722873</v>
      </c>
      <c r="T252" s="16" t="n">
        <f aca="false">IF($A252&gt;=Premissas!$C$27,Premissas!$C$46*(1+Premissas!$C$60)^((YEAR($A252)-YEAR(Premissas!$C$19))*12+MONTH($A252)-MONTH(Premissas!$C$19)),0)</f>
        <v>672.549346891493</v>
      </c>
      <c r="U252" s="16" t="n">
        <f aca="false">IF($A252&gt;=Premissas!$C$27,Premissas!$C$47*(1+Premissas!$C$60)^((YEAR($A252)-YEAR(Premissas!$C$19))*12+MONTH($A252)-MONTH(Premissas!$C$19)),0)</f>
        <v>336.274673445747</v>
      </c>
      <c r="V252" s="16" t="n">
        <f aca="false">IF($A252&gt;=Premissas!$C$27,MAX(0,P252-Q252-R252-S252)*Premissas!$C$49,0)</f>
        <v>1225.55977286649</v>
      </c>
      <c r="W252" s="16" t="n">
        <f aca="false">P252-Q252-R252-S252-T252-U252-V252</f>
        <v>2222.19719903806</v>
      </c>
      <c r="X252" s="16" t="n">
        <f aca="false">W252-F252-G252-H252-M252</f>
        <v>2222.19719903806</v>
      </c>
      <c r="Y252" s="16" t="n">
        <f aca="false">Y251+X252</f>
        <v>-540534.394987772</v>
      </c>
      <c r="Z252" s="16" t="n">
        <f aca="false">Premissas!$C$14*(1+Premissas!$C$57)^((YEAR(Premissas!$C$19)-YEAR(Premissas!$C$18))*12+MONTH(Premissas!$C$19)-MONTH(Premissas!$C$18))*(1+Premissas!$C$61)^((YEAR($A252)-YEAR(Premissas!$C$19))*12+MONTH($A252)-MONTH(Premissas!$C$19))</f>
        <v>1305489.12868167</v>
      </c>
      <c r="AA252" s="16" t="n">
        <f aca="false">IF($A252&gt;=Premissas!$C$25,Z252*(1-Premissas!$C$53)-N252-Premissas!$C$54*MAX(0,Z252*(1-Premissas!$C$53)-(Premissas!$C$14*(1+Premissas!$C$57)^((YEAR(Premissas!$C$25)-YEAR(Premissas!$C$18))*12+MONTH(Premissas!$C$25)-MONTH(Premissas!$C$18))*(1+Premissas!$C$34))),"")</f>
        <v>1124288.02332832</v>
      </c>
      <c r="AB252" s="16" t="n">
        <f aca="false">IF($A252&gt;=Premissas!$C$25,Y252+AA252,"")</f>
        <v>583753.62834055</v>
      </c>
      <c r="AC252" s="20" t="n">
        <f aca="false">IF(AND($A252&gt;=Premissas!$C$27,W252&gt;=M252),$A252,"")</f>
        <v>53905</v>
      </c>
      <c r="AD252" s="20" t="str">
        <f aca="false">IF(AND($A252&gt;=Premissas!$C$27,Y252&gt;=0),$A252,"")</f>
        <v/>
      </c>
      <c r="AE252" s="20" t="n">
        <f aca="false">IF(AND($A252&gt;=Premissas!$C$25,N(AB252)&gt;=0),$A252,"")</f>
        <v>53905</v>
      </c>
    </row>
    <row r="253" customFormat="false" ht="15" hidden="false" customHeight="false" outlineLevel="0" collapsed="false">
      <c r="A253" s="20" t="n">
        <f aca="false">DATE(YEAR(A252),MONTH(A252)+1,1)</f>
        <v>53936</v>
      </c>
      <c r="B253" s="5" t="str">
        <f aca="false">IF($A253&lt;Premissas!$C$25,"Obra",IF($A253=Premissas!$C$25,"Chaves",IF($A253&lt;Premissas!$C$27,"Mobiliando","Airbnb")))</f>
        <v>Airbnb</v>
      </c>
      <c r="C253" s="35" t="n">
        <f aca="false">(YEAR($A253)-YEAR(Premissas!$C$18))*12+MONTH($A253)-MONTH(Premissas!$C$18)</f>
        <v>252</v>
      </c>
      <c r="D253" s="16" t="n">
        <f aca="false">($A253=Premissas!$C$19)*Premissas!$C$8+(($A253=EDATE(Premissas!$C$19,1))+($A253=EDATE(Premissas!$C$19,2)))*Premissas!$C$9+AND($A253&gt;=Premissas!$C$20,$A253&lt;EDATE(Premissas!$C$20,Premissas!$C$21))*Premissas!$C$10+(($A253=Premissas!$C$22)+($A253=Premissas!$C$23)+($A253=Premissas!$C$24))*Premissas!$C$11+($A253=Premissas!$C$25)*Premissas!$C$12</f>
        <v>0</v>
      </c>
      <c r="E253" s="36" t="n">
        <f aca="false">(1+Premissas!$C$57)^C253</f>
        <v>3.07823415258732</v>
      </c>
      <c r="F253" s="16" t="n">
        <f aca="false">D253*E253</f>
        <v>0</v>
      </c>
      <c r="G253" s="16" t="n">
        <f aca="false">($A253=Premissas!$C$25)*Premissas!$C$34*Premissas!$C$14*(1+Premissas!$C$57)^C253</f>
        <v>0</v>
      </c>
      <c r="H253" s="16" t="n">
        <f aca="false">IF(AND($A253&gt;Premissas!$C$25,$A253&lt;Premissas!$C$27),Premissas!$C$35/MAX(1,Premissas!$C$26),0)</f>
        <v>0</v>
      </c>
      <c r="I253" s="35" t="n">
        <f aca="false">IF(AND($A253&gt;Premissas!$C$25,((YEAR($A253)-YEAR(Premissas!$C$25))*12+MONTH($A253)-MONTH(Premissas!$C$25))&lt;=Premissas!$C$32),((YEAR($A253)-YEAR(Premissas!$C$25))*12+MONTH($A253)-MONTH(Premissas!$C$25)),0)</f>
        <v>0</v>
      </c>
      <c r="J253" s="16" t="n">
        <f aca="false">IF(I253&gt;0,N252*(1+Premissas!$C$59),0)</f>
        <v>0</v>
      </c>
      <c r="K253" s="16" t="n">
        <f aca="false">J253*Premissas!$C$58</f>
        <v>0</v>
      </c>
      <c r="L253" s="16" t="n">
        <f aca="false">IF(I253&gt;0,J253/(Premissas!$C$32-I253+1),0)</f>
        <v>0</v>
      </c>
      <c r="M253" s="16" t="n">
        <f aca="false">K253+L253</f>
        <v>0</v>
      </c>
      <c r="N253" s="16" t="n">
        <f aca="false">IF($A253=Premissas!$C$25,Premissas!$C$13*E253,IF(I253&gt;0,J253-L253,0))</f>
        <v>0</v>
      </c>
      <c r="O253" s="37" t="n">
        <f aca="false">IF($A253&gt;=Premissas!$C$27,Premissas!$C$39*IF(((YEAR($A253)-YEAR(Premissas!$C$27))*12+MONTH($A253)-MONTH(Premissas!$C$27))&lt;Premissas!$C$41,Premissas!$C$42,1),0)</f>
        <v>0.62</v>
      </c>
      <c r="P253" s="16" t="n">
        <f aca="false">O253*Premissas!$C$38*Premissas!$C$40*(1+Premissas!$C$60)^((YEAR($A253)-YEAR(Premissas!$C$19))*12+MONTH($A253)-MONTH(Premissas!$C$19))</f>
        <v>9621.95066381007</v>
      </c>
      <c r="Q253" s="16" t="n">
        <f aca="false">P253*Premissas!$C$43</f>
        <v>1539.51210620961</v>
      </c>
      <c r="R253" s="16" t="n">
        <f aca="false">P253*Premissas!$C$44</f>
        <v>1924.39013276201</v>
      </c>
      <c r="S253" s="16" t="n">
        <f aca="false">IF($A253&gt;=Premissas!$C$25,Premissas!$C$45*(1+Premissas!$C$60)^((YEAR($A253)-YEAR(Premissas!$C$19))*12+MONTH($A253)-MONTH(Premissas!$C$19)),0)</f>
        <v>1686.87774610976</v>
      </c>
      <c r="T253" s="16" t="n">
        <f aca="false">IF($A253&gt;=Premissas!$C$27,Premissas!$C$46*(1+Premissas!$C$60)^((YEAR($A253)-YEAR(Premissas!$C$19))*12+MONTH($A253)-MONTH(Premissas!$C$19)),0)</f>
        <v>674.751098443904</v>
      </c>
      <c r="U253" s="16" t="n">
        <f aca="false">IF($A253&gt;=Premissas!$C$27,Premissas!$C$47*(1+Premissas!$C$60)^((YEAR($A253)-YEAR(Premissas!$C$19))*12+MONTH($A253)-MONTH(Premissas!$C$19)),0)</f>
        <v>337.375549221952</v>
      </c>
      <c r="V253" s="16" t="n">
        <f aca="false">IF($A253&gt;=Premissas!$C$27,MAX(0,P253-Q253-R253-S253)*Premissas!$C$49,0)</f>
        <v>1229.57193665039</v>
      </c>
      <c r="W253" s="16" t="n">
        <f aca="false">P253-Q253-R253-S253-T253-U253-V253</f>
        <v>2229.47209441244</v>
      </c>
      <c r="X253" s="16" t="n">
        <f aca="false">W253-F253-G253-H253-M253</f>
        <v>2229.47209441244</v>
      </c>
      <c r="Y253" s="16" t="n">
        <f aca="false">Y252+X253</f>
        <v>-538304.922893359</v>
      </c>
      <c r="Z253" s="16" t="n">
        <f aca="false">Premissas!$C$14*(1+Premissas!$C$57)^((YEAR(Premissas!$C$19)-YEAR(Premissas!$C$18))*12+MONTH(Premissas!$C$19)-MONTH(Premissas!$C$18))*(1+Premissas!$C$61)^((YEAR($A253)-YEAR(Premissas!$C$19))*12+MONTH($A253)-MONTH(Premissas!$C$19))</f>
        <v>1310807.85299013</v>
      </c>
      <c r="AA253" s="16" t="n">
        <f aca="false">IF($A253&gt;=Premissas!$C$25,Z253*(1-Premissas!$C$53)-N253-Premissas!$C$54*MAX(0,Z253*(1-Premissas!$C$53)-(Premissas!$C$14*(1+Premissas!$C$57)^((YEAR(Premissas!$C$25)-YEAR(Premissas!$C$18))*12+MONTH(Premissas!$C$25)-MONTH(Premissas!$C$18))*(1+Premissas!$C$34))),"")</f>
        <v>1128537.68405078</v>
      </c>
      <c r="AB253" s="16" t="n">
        <f aca="false">IF($A253&gt;=Premissas!$C$25,Y253+AA253,"")</f>
        <v>590232.761157419</v>
      </c>
      <c r="AC253" s="20" t="n">
        <f aca="false">IF(AND($A253&gt;=Premissas!$C$27,W253&gt;=M253),$A253,"")</f>
        <v>53936</v>
      </c>
      <c r="AD253" s="20" t="str">
        <f aca="false">IF(AND($A253&gt;=Premissas!$C$27,Y253&gt;=0),$A253,"")</f>
        <v/>
      </c>
      <c r="AE253" s="20" t="n">
        <f aca="false">IF(AND($A253&gt;=Premissas!$C$25,N(AB253)&gt;=0),$A253,"")</f>
        <v>53936</v>
      </c>
    </row>
    <row r="254" customFormat="false" ht="15" hidden="false" customHeight="false" outlineLevel="0" collapsed="false">
      <c r="A254" s="20" t="n">
        <f aca="false">DATE(YEAR(A253),MONTH(A253)+1,1)</f>
        <v>53966</v>
      </c>
      <c r="B254" s="5" t="str">
        <f aca="false">IF($A254&lt;Premissas!$C$25,"Obra",IF($A254=Premissas!$C$25,"Chaves",IF($A254&lt;Premissas!$C$27,"Mobiliando","Airbnb")))</f>
        <v>Airbnb</v>
      </c>
      <c r="C254" s="35" t="n">
        <f aca="false">(YEAR($A254)-YEAR(Premissas!$C$18))*12+MONTH($A254)-MONTH(Premissas!$C$18)</f>
        <v>253</v>
      </c>
      <c r="D254" s="16" t="n">
        <f aca="false">($A254=Premissas!$C$19)*Premissas!$C$8+(($A254=EDATE(Premissas!$C$19,1))+($A254=EDATE(Premissas!$C$19,2)))*Premissas!$C$9+AND($A254&gt;=Premissas!$C$20,$A254&lt;EDATE(Premissas!$C$20,Premissas!$C$21))*Premissas!$C$10+(($A254=Premissas!$C$22)+($A254=Premissas!$C$23)+($A254=Premissas!$C$24))*Premissas!$C$11+($A254=Premissas!$C$25)*Premissas!$C$12</f>
        <v>0</v>
      </c>
      <c r="E254" s="36" t="n">
        <f aca="false">(1+Premissas!$C$57)^C254</f>
        <v>3.09199908891385</v>
      </c>
      <c r="F254" s="16" t="n">
        <f aca="false">D254*E254</f>
        <v>0</v>
      </c>
      <c r="G254" s="16" t="n">
        <f aca="false">($A254=Premissas!$C$25)*Premissas!$C$34*Premissas!$C$14*(1+Premissas!$C$57)^C254</f>
        <v>0</v>
      </c>
      <c r="H254" s="16" t="n">
        <f aca="false">IF(AND($A254&gt;Premissas!$C$25,$A254&lt;Premissas!$C$27),Premissas!$C$35/MAX(1,Premissas!$C$26),0)</f>
        <v>0</v>
      </c>
      <c r="I254" s="35" t="n">
        <f aca="false">IF(AND($A254&gt;Premissas!$C$25,((YEAR($A254)-YEAR(Premissas!$C$25))*12+MONTH($A254)-MONTH(Premissas!$C$25))&lt;=Premissas!$C$32),((YEAR($A254)-YEAR(Premissas!$C$25))*12+MONTH($A254)-MONTH(Premissas!$C$25)),0)</f>
        <v>0</v>
      </c>
      <c r="J254" s="16" t="n">
        <f aca="false">IF(I254&gt;0,N253*(1+Premissas!$C$59),0)</f>
        <v>0</v>
      </c>
      <c r="K254" s="16" t="n">
        <f aca="false">J254*Premissas!$C$58</f>
        <v>0</v>
      </c>
      <c r="L254" s="16" t="n">
        <f aca="false">IF(I254&gt;0,J254/(Premissas!$C$32-I254+1),0)</f>
        <v>0</v>
      </c>
      <c r="M254" s="16" t="n">
        <f aca="false">K254+L254</f>
        <v>0</v>
      </c>
      <c r="N254" s="16" t="n">
        <f aca="false">IF($A254=Premissas!$C$25,Premissas!$C$13*E254,IF(I254&gt;0,J254-L254,0))</f>
        <v>0</v>
      </c>
      <c r="O254" s="37" t="n">
        <f aca="false">IF($A254&gt;=Premissas!$C$27,Premissas!$C$39*IF(((YEAR($A254)-YEAR(Premissas!$C$27))*12+MONTH($A254)-MONTH(Premissas!$C$27))&lt;Premissas!$C$41,Premissas!$C$42,1),0)</f>
        <v>0.62</v>
      </c>
      <c r="P254" s="16" t="n">
        <f aca="false">O254*Premissas!$C$38*Premissas!$C$40*(1+Premissas!$C$60)^((YEAR($A254)-YEAR(Premissas!$C$19))*12+MONTH($A254)-MONTH(Premissas!$C$19))</f>
        <v>9653.45042648054</v>
      </c>
      <c r="Q254" s="16" t="n">
        <f aca="false">P254*Premissas!$C$43</f>
        <v>1544.55206823689</v>
      </c>
      <c r="R254" s="16" t="n">
        <f aca="false">P254*Premissas!$C$44</f>
        <v>1930.69008529611</v>
      </c>
      <c r="S254" s="16" t="n">
        <f aca="false">IF($A254&gt;=Premissas!$C$25,Premissas!$C$45*(1+Premissas!$C$60)^((YEAR($A254)-YEAR(Premissas!$C$19))*12+MONTH($A254)-MONTH(Premissas!$C$19)),0)</f>
        <v>1692.40014489491</v>
      </c>
      <c r="T254" s="16" t="n">
        <f aca="false">IF($A254&gt;=Premissas!$C$27,Premissas!$C$46*(1+Premissas!$C$60)^((YEAR($A254)-YEAR(Premissas!$C$19))*12+MONTH($A254)-MONTH(Premissas!$C$19)),0)</f>
        <v>676.960057957962</v>
      </c>
      <c r="U254" s="16" t="n">
        <f aca="false">IF($A254&gt;=Premissas!$C$27,Premissas!$C$47*(1+Premissas!$C$60)^((YEAR($A254)-YEAR(Premissas!$C$19))*12+MONTH($A254)-MONTH(Premissas!$C$19)),0)</f>
        <v>338.480028978981</v>
      </c>
      <c r="V254" s="16" t="n">
        <f aca="false">IF($A254&gt;=Premissas!$C$27,MAX(0,P254-Q254-R254-S254)*Premissas!$C$49,0)</f>
        <v>1233.59723521448</v>
      </c>
      <c r="W254" s="16" t="n">
        <f aca="false">P254-Q254-R254-S254-T254-U254-V254</f>
        <v>2236.77080590122</v>
      </c>
      <c r="X254" s="16" t="n">
        <f aca="false">W254-F254-G254-H254-M254</f>
        <v>2236.77080590122</v>
      </c>
      <c r="Y254" s="16" t="n">
        <f aca="false">Y253+X254</f>
        <v>-536068.152087458</v>
      </c>
      <c r="Z254" s="16" t="n">
        <f aca="false">Premissas!$C$14*(1+Premissas!$C$57)^((YEAR(Premissas!$C$19)-YEAR(Premissas!$C$18))*12+MONTH(Premissas!$C$19)-MONTH(Premissas!$C$18))*(1+Premissas!$C$61)^((YEAR($A254)-YEAR(Premissas!$C$19))*12+MONTH($A254)-MONTH(Premissas!$C$19))</f>
        <v>1316148.24643979</v>
      </c>
      <c r="AA254" s="16" t="n">
        <f aca="false">IF($A254&gt;=Premissas!$C$25,Z254*(1-Premissas!$C$53)-N254-Premissas!$C$54*MAX(0,Z254*(1-Premissas!$C$53)-(Premissas!$C$14*(1+Premissas!$C$57)^((YEAR(Premissas!$C$25)-YEAR(Premissas!$C$18))*12+MONTH(Premissas!$C$25)-MONTH(Premissas!$C$18))*(1+Premissas!$C$34))),"")</f>
        <v>1132804.65841706</v>
      </c>
      <c r="AB254" s="16" t="n">
        <f aca="false">IF($A254&gt;=Premissas!$C$25,Y254+AA254,"")</f>
        <v>596736.506329599</v>
      </c>
      <c r="AC254" s="20" t="n">
        <f aca="false">IF(AND($A254&gt;=Premissas!$C$27,W254&gt;=M254),$A254,"")</f>
        <v>53966</v>
      </c>
      <c r="AD254" s="20" t="str">
        <f aca="false">IF(AND($A254&gt;=Premissas!$C$27,Y254&gt;=0),$A254,"")</f>
        <v/>
      </c>
      <c r="AE254" s="20" t="n">
        <f aca="false">IF(AND($A254&gt;=Premissas!$C$25,N(AB254)&gt;=0),$A254,"")</f>
        <v>53966</v>
      </c>
    </row>
    <row r="255" customFormat="false" ht="15" hidden="false" customHeight="false" outlineLevel="0" collapsed="false">
      <c r="A255" s="20" t="n">
        <f aca="false">DATE(YEAR(A254),MONTH(A254)+1,1)</f>
        <v>53997</v>
      </c>
      <c r="B255" s="5" t="str">
        <f aca="false">IF($A255&lt;Premissas!$C$25,"Obra",IF($A255=Premissas!$C$25,"Chaves",IF($A255&lt;Premissas!$C$27,"Mobiliando","Airbnb")))</f>
        <v>Airbnb</v>
      </c>
      <c r="C255" s="35" t="n">
        <f aca="false">(YEAR($A255)-YEAR(Premissas!$C$18))*12+MONTH($A255)-MONTH(Premissas!$C$18)</f>
        <v>254</v>
      </c>
      <c r="D255" s="16" t="n">
        <f aca="false">($A255=Premissas!$C$19)*Premissas!$C$8+(($A255=EDATE(Premissas!$C$19,1))+($A255=EDATE(Premissas!$C$19,2)))*Premissas!$C$9+AND($A255&gt;=Premissas!$C$20,$A255&lt;EDATE(Premissas!$C$20,Premissas!$C$21))*Premissas!$C$10+(($A255=Premissas!$C$22)+($A255=Premissas!$C$23)+($A255=Premissas!$C$24))*Premissas!$C$11+($A255=Premissas!$C$25)*Premissas!$C$12</f>
        <v>0</v>
      </c>
      <c r="E255" s="36" t="n">
        <f aca="false">(1+Premissas!$C$57)^C255</f>
        <v>3.10582557789125</v>
      </c>
      <c r="F255" s="16" t="n">
        <f aca="false">D255*E255</f>
        <v>0</v>
      </c>
      <c r="G255" s="16" t="n">
        <f aca="false">($A255=Premissas!$C$25)*Premissas!$C$34*Premissas!$C$14*(1+Premissas!$C$57)^C255</f>
        <v>0</v>
      </c>
      <c r="H255" s="16" t="n">
        <f aca="false">IF(AND($A255&gt;Premissas!$C$25,$A255&lt;Premissas!$C$27),Premissas!$C$35/MAX(1,Premissas!$C$26),0)</f>
        <v>0</v>
      </c>
      <c r="I255" s="35" t="n">
        <f aca="false">IF(AND($A255&gt;Premissas!$C$25,((YEAR($A255)-YEAR(Premissas!$C$25))*12+MONTH($A255)-MONTH(Premissas!$C$25))&lt;=Premissas!$C$32),((YEAR($A255)-YEAR(Premissas!$C$25))*12+MONTH($A255)-MONTH(Premissas!$C$25)),0)</f>
        <v>0</v>
      </c>
      <c r="J255" s="16" t="n">
        <f aca="false">IF(I255&gt;0,N254*(1+Premissas!$C$59),0)</f>
        <v>0</v>
      </c>
      <c r="K255" s="16" t="n">
        <f aca="false">J255*Premissas!$C$58</f>
        <v>0</v>
      </c>
      <c r="L255" s="16" t="n">
        <f aca="false">IF(I255&gt;0,J255/(Premissas!$C$32-I255+1),0)</f>
        <v>0</v>
      </c>
      <c r="M255" s="16" t="n">
        <f aca="false">K255+L255</f>
        <v>0</v>
      </c>
      <c r="N255" s="16" t="n">
        <f aca="false">IF($A255=Premissas!$C$25,Premissas!$C$13*E255,IF(I255&gt;0,J255-L255,0))</f>
        <v>0</v>
      </c>
      <c r="O255" s="37" t="n">
        <f aca="false">IF($A255&gt;=Premissas!$C$27,Premissas!$C$39*IF(((YEAR($A255)-YEAR(Premissas!$C$27))*12+MONTH($A255)-MONTH(Premissas!$C$27))&lt;Premissas!$C$41,Premissas!$C$42,1),0)</f>
        <v>0.62</v>
      </c>
      <c r="P255" s="16" t="n">
        <f aca="false">O255*Premissas!$C$38*Premissas!$C$40*(1+Premissas!$C$60)^((YEAR($A255)-YEAR(Premissas!$C$19))*12+MONTH($A255)-MONTH(Premissas!$C$19))</f>
        <v>9685.0533111772</v>
      </c>
      <c r="Q255" s="16" t="n">
        <f aca="false">P255*Premissas!$C$43</f>
        <v>1549.60852978835</v>
      </c>
      <c r="R255" s="16" t="n">
        <f aca="false">P255*Premissas!$C$44</f>
        <v>1937.01066223544</v>
      </c>
      <c r="S255" s="16" t="n">
        <f aca="false">IF($A255&gt;=Premissas!$C$25,Premissas!$C$45*(1+Premissas!$C$60)^((YEAR($A255)-YEAR(Premissas!$C$19))*12+MONTH($A255)-MONTH(Premissas!$C$19)),0)</f>
        <v>1697.94062257665</v>
      </c>
      <c r="T255" s="16" t="n">
        <f aca="false">IF($A255&gt;=Premissas!$C$27,Premissas!$C$46*(1+Premissas!$C$60)^((YEAR($A255)-YEAR(Premissas!$C$19))*12+MONTH($A255)-MONTH(Premissas!$C$19)),0)</f>
        <v>679.176249030659</v>
      </c>
      <c r="U255" s="16" t="n">
        <f aca="false">IF($A255&gt;=Premissas!$C$27,Premissas!$C$47*(1+Premissas!$C$60)^((YEAR($A255)-YEAR(Premissas!$C$19))*12+MONTH($A255)-MONTH(Premissas!$C$19)),0)</f>
        <v>339.588124515329</v>
      </c>
      <c r="V255" s="16" t="n">
        <f aca="false">IF($A255&gt;=Premissas!$C$27,MAX(0,P255-Q255-R255-S255)*Premissas!$C$49,0)</f>
        <v>1237.63571155861</v>
      </c>
      <c r="W255" s="16" t="n">
        <f aca="false">P255-Q255-R255-S255-T255-U255-V255</f>
        <v>2244.09341147216</v>
      </c>
      <c r="X255" s="16" t="n">
        <f aca="false">W255-F255-G255-H255-M255</f>
        <v>2244.09341147216</v>
      </c>
      <c r="Y255" s="16" t="n">
        <f aca="false">Y254+X255</f>
        <v>-533824.058675986</v>
      </c>
      <c r="Z255" s="16" t="n">
        <f aca="false">Premissas!$C$14*(1+Premissas!$C$57)^((YEAR(Premissas!$C$19)-YEAR(Premissas!$C$18))*12+MONTH(Premissas!$C$19)-MONTH(Premissas!$C$18))*(1+Premissas!$C$61)^((YEAR($A255)-YEAR(Premissas!$C$19))*12+MONTH($A255)-MONTH(Premissas!$C$19))</f>
        <v>1321510.39731342</v>
      </c>
      <c r="AA255" s="16" t="n">
        <f aca="false">IF($A255&gt;=Premissas!$C$25,Z255*(1-Premissas!$C$53)-N255-Premissas!$C$54*MAX(0,Z255*(1-Premissas!$C$53)-(Premissas!$C$14*(1+Premissas!$C$57)^((YEAR(Premissas!$C$25)-YEAR(Premissas!$C$18))*12+MONTH(Premissas!$C$25)-MONTH(Premissas!$C$18))*(1+Premissas!$C$34))),"")</f>
        <v>1137089.01696509</v>
      </c>
      <c r="AB255" s="16" t="n">
        <f aca="false">IF($A255&gt;=Premissas!$C$25,Y255+AA255,"")</f>
        <v>603264.958289099</v>
      </c>
      <c r="AC255" s="20" t="n">
        <f aca="false">IF(AND($A255&gt;=Premissas!$C$27,W255&gt;=M255),$A255,"")</f>
        <v>53997</v>
      </c>
      <c r="AD255" s="20" t="str">
        <f aca="false">IF(AND($A255&gt;=Premissas!$C$27,Y255&gt;=0),$A255,"")</f>
        <v/>
      </c>
      <c r="AE255" s="20" t="n">
        <f aca="false">IF(AND($A255&gt;=Premissas!$C$25,N(AB255)&gt;=0),$A255,"")</f>
        <v>53997</v>
      </c>
    </row>
    <row r="256" customFormat="false" ht="15" hidden="false" customHeight="false" outlineLevel="0" collapsed="false">
      <c r="A256" s="20" t="n">
        <f aca="false">DATE(YEAR(A255),MONTH(A255)+1,1)</f>
        <v>54027</v>
      </c>
      <c r="B256" s="5" t="str">
        <f aca="false">IF($A256&lt;Premissas!$C$25,"Obra",IF($A256=Premissas!$C$25,"Chaves",IF($A256&lt;Premissas!$C$27,"Mobiliando","Airbnb")))</f>
        <v>Airbnb</v>
      </c>
      <c r="C256" s="35" t="n">
        <f aca="false">(YEAR($A256)-YEAR(Premissas!$C$18))*12+MONTH($A256)-MONTH(Premissas!$C$18)</f>
        <v>255</v>
      </c>
      <c r="D256" s="16" t="n">
        <f aca="false">($A256=Premissas!$C$19)*Premissas!$C$8+(($A256=EDATE(Premissas!$C$19,1))+($A256=EDATE(Premissas!$C$19,2)))*Premissas!$C$9+AND($A256&gt;=Premissas!$C$20,$A256&lt;EDATE(Premissas!$C$20,Premissas!$C$21))*Premissas!$C$10+(($A256=Premissas!$C$22)+($A256=Premissas!$C$23)+($A256=Premissas!$C$24))*Premissas!$C$11+($A256=Premissas!$C$25)*Premissas!$C$12</f>
        <v>0</v>
      </c>
      <c r="E256" s="36" t="n">
        <f aca="false">(1+Premissas!$C$57)^C256</f>
        <v>3.11971389476443</v>
      </c>
      <c r="F256" s="16" t="n">
        <f aca="false">D256*E256</f>
        <v>0</v>
      </c>
      <c r="G256" s="16" t="n">
        <f aca="false">($A256=Premissas!$C$25)*Premissas!$C$34*Premissas!$C$14*(1+Premissas!$C$57)^C256</f>
        <v>0</v>
      </c>
      <c r="H256" s="16" t="n">
        <f aca="false">IF(AND($A256&gt;Premissas!$C$25,$A256&lt;Premissas!$C$27),Premissas!$C$35/MAX(1,Premissas!$C$26),0)</f>
        <v>0</v>
      </c>
      <c r="I256" s="35" t="n">
        <f aca="false">IF(AND($A256&gt;Premissas!$C$25,((YEAR($A256)-YEAR(Premissas!$C$25))*12+MONTH($A256)-MONTH(Premissas!$C$25))&lt;=Premissas!$C$32),((YEAR($A256)-YEAR(Premissas!$C$25))*12+MONTH($A256)-MONTH(Premissas!$C$25)),0)</f>
        <v>0</v>
      </c>
      <c r="J256" s="16" t="n">
        <f aca="false">IF(I256&gt;0,N255*(1+Premissas!$C$59),0)</f>
        <v>0</v>
      </c>
      <c r="K256" s="16" t="n">
        <f aca="false">J256*Premissas!$C$58</f>
        <v>0</v>
      </c>
      <c r="L256" s="16" t="n">
        <f aca="false">IF(I256&gt;0,J256/(Premissas!$C$32-I256+1),0)</f>
        <v>0</v>
      </c>
      <c r="M256" s="16" t="n">
        <f aca="false">K256+L256</f>
        <v>0</v>
      </c>
      <c r="N256" s="16" t="n">
        <f aca="false">IF($A256=Premissas!$C$25,Premissas!$C$13*E256,IF(I256&gt;0,J256-L256,0))</f>
        <v>0</v>
      </c>
      <c r="O256" s="37" t="n">
        <f aca="false">IF($A256&gt;=Premissas!$C$27,Premissas!$C$39*IF(((YEAR($A256)-YEAR(Premissas!$C$27))*12+MONTH($A256)-MONTH(Premissas!$C$27))&lt;Premissas!$C$41,Premissas!$C$42,1),0)</f>
        <v>0.62</v>
      </c>
      <c r="P256" s="16" t="n">
        <f aca="false">O256*Premissas!$C$38*Premissas!$C$40*(1+Premissas!$C$60)^((YEAR($A256)-YEAR(Premissas!$C$19))*12+MONTH($A256)-MONTH(Premissas!$C$19))</f>
        <v>9716.75965549471</v>
      </c>
      <c r="Q256" s="16" t="n">
        <f aca="false">P256*Premissas!$C$43</f>
        <v>1554.68154487915</v>
      </c>
      <c r="R256" s="16" t="n">
        <f aca="false">P256*Premissas!$C$44</f>
        <v>1943.35193109894</v>
      </c>
      <c r="S256" s="16" t="n">
        <f aca="false">IF($A256&gt;=Premissas!$C$25,Premissas!$C$45*(1+Premissas!$C$60)^((YEAR($A256)-YEAR(Premissas!$C$19))*12+MONTH($A256)-MONTH(Premissas!$C$19)),0)</f>
        <v>1703.49923834059</v>
      </c>
      <c r="T256" s="16" t="n">
        <f aca="false">IF($A256&gt;=Premissas!$C$27,Premissas!$C$46*(1+Premissas!$C$60)^((YEAR($A256)-YEAR(Premissas!$C$19))*12+MONTH($A256)-MONTH(Premissas!$C$19)),0)</f>
        <v>681.399695336235</v>
      </c>
      <c r="U256" s="16" t="n">
        <f aca="false">IF($A256&gt;=Premissas!$C$27,Premissas!$C$47*(1+Premissas!$C$60)^((YEAR($A256)-YEAR(Premissas!$C$19))*12+MONTH($A256)-MONTH(Premissas!$C$19)),0)</f>
        <v>340.699847668118</v>
      </c>
      <c r="V256" s="16" t="n">
        <f aca="false">IF($A256&gt;=Premissas!$C$27,MAX(0,P256-Q256-R256-S256)*Premissas!$C$49,0)</f>
        <v>1241.68740882341</v>
      </c>
      <c r="W256" s="16" t="n">
        <f aca="false">P256-Q256-R256-S256-T256-U256-V256</f>
        <v>2251.43998934827</v>
      </c>
      <c r="X256" s="16" t="n">
        <f aca="false">W256-F256-G256-H256-M256</f>
        <v>2251.43998934827</v>
      </c>
      <c r="Y256" s="16" t="n">
        <f aca="false">Y255+X256</f>
        <v>-531572.618686638</v>
      </c>
      <c r="Z256" s="16" t="n">
        <f aca="false">Premissas!$C$14*(1+Premissas!$C$57)^((YEAR(Premissas!$C$19)-YEAR(Premissas!$C$18))*12+MONTH(Premissas!$C$19)-MONTH(Premissas!$C$18))*(1+Premissas!$C$61)^((YEAR($A256)-YEAR(Premissas!$C$19))*12+MONTH($A256)-MONTH(Premissas!$C$19))</f>
        <v>1326894.39425345</v>
      </c>
      <c r="AA256" s="16" t="n">
        <f aca="false">IF($A256&gt;=Premissas!$C$25,Z256*(1-Premissas!$C$53)-N256-Premissas!$C$54*MAX(0,Z256*(1-Premissas!$C$53)-(Premissas!$C$14*(1+Premissas!$C$57)^((YEAR(Premissas!$C$25)-YEAR(Premissas!$C$18))*12+MONTH(Premissas!$C$25)-MONTH(Premissas!$C$18))*(1+Premissas!$C$34))),"")</f>
        <v>1141390.83052017</v>
      </c>
      <c r="AB256" s="16" t="n">
        <f aca="false">IF($A256&gt;=Premissas!$C$25,Y256+AA256,"")</f>
        <v>609818.211833534</v>
      </c>
      <c r="AC256" s="20" t="n">
        <f aca="false">IF(AND($A256&gt;=Premissas!$C$27,W256&gt;=M256),$A256,"")</f>
        <v>54027</v>
      </c>
      <c r="AD256" s="20" t="str">
        <f aca="false">IF(AND($A256&gt;=Premissas!$C$27,Y256&gt;=0),$A256,"")</f>
        <v/>
      </c>
      <c r="AE256" s="20" t="n">
        <f aca="false">IF(AND($A256&gt;=Premissas!$C$25,N(AB256)&gt;=0),$A256,"")</f>
        <v>54027</v>
      </c>
    </row>
    <row r="257" customFormat="false" ht="15" hidden="false" customHeight="false" outlineLevel="0" collapsed="false">
      <c r="A257" s="29" t="n">
        <f aca="false">DATE(YEAR(A256),MONTH(A256)+1,1)</f>
        <v>54058</v>
      </c>
      <c r="B257" s="30" t="str">
        <f aca="false">IF($A257&lt;Premissas!$C$25,"Obra",IF($A257=Premissas!$C$25,"Chaves",IF($A257&lt;Premissas!$C$27,"Mobiliando","Airbnb")))</f>
        <v>Airbnb</v>
      </c>
      <c r="C257" s="31" t="n">
        <f aca="false">(YEAR($A257)-YEAR(Premissas!$C$18))*12+MONTH($A257)-MONTH(Premissas!$C$18)</f>
        <v>256</v>
      </c>
      <c r="D257" s="32" t="n">
        <f aca="false">($A257=Premissas!$C$19)*Premissas!$C$8+(($A257=EDATE(Premissas!$C$19,1))+($A257=EDATE(Premissas!$C$19,2)))*Premissas!$C$9+AND($A257&gt;=Premissas!$C$20,$A257&lt;EDATE(Premissas!$C$20,Premissas!$C$21))*Premissas!$C$10+(($A257=Premissas!$C$22)+($A257=Premissas!$C$23)+($A257=Premissas!$C$24))*Premissas!$C$11+($A257=Premissas!$C$25)*Premissas!$C$12</f>
        <v>0</v>
      </c>
      <c r="E257" s="33" t="n">
        <f aca="false">(1+Premissas!$C$57)^C257</f>
        <v>3.13366431600913</v>
      </c>
      <c r="F257" s="32" t="n">
        <f aca="false">D257*E257</f>
        <v>0</v>
      </c>
      <c r="G257" s="32" t="n">
        <f aca="false">($A257=Premissas!$C$25)*Premissas!$C$34*Premissas!$C$14*(1+Premissas!$C$57)^C257</f>
        <v>0</v>
      </c>
      <c r="H257" s="32" t="n">
        <f aca="false">IF(AND($A257&gt;Premissas!$C$25,$A257&lt;Premissas!$C$27),Premissas!$C$35/MAX(1,Premissas!$C$26),0)</f>
        <v>0</v>
      </c>
      <c r="I257" s="31" t="n">
        <f aca="false">IF(AND($A257&gt;Premissas!$C$25,((YEAR($A257)-YEAR(Premissas!$C$25))*12+MONTH($A257)-MONTH(Premissas!$C$25))&lt;=Premissas!$C$32),((YEAR($A257)-YEAR(Premissas!$C$25))*12+MONTH($A257)-MONTH(Premissas!$C$25)),0)</f>
        <v>0</v>
      </c>
      <c r="J257" s="32" t="n">
        <f aca="false">IF(I257&gt;0,N256*(1+Premissas!$C$59),0)</f>
        <v>0</v>
      </c>
      <c r="K257" s="32" t="n">
        <f aca="false">J257*Premissas!$C$58</f>
        <v>0</v>
      </c>
      <c r="L257" s="32" t="n">
        <f aca="false">IF(I257&gt;0,J257/(Premissas!$C$32-I257+1),0)</f>
        <v>0</v>
      </c>
      <c r="M257" s="32" t="n">
        <f aca="false">K257+L257</f>
        <v>0</v>
      </c>
      <c r="N257" s="32" t="n">
        <f aca="false">IF($A257=Premissas!$C$25,Premissas!$C$13*E257,IF(I257&gt;0,J257-L257,0))</f>
        <v>0</v>
      </c>
      <c r="O257" s="34" t="n">
        <f aca="false">IF($A257&gt;=Premissas!$C$27,Premissas!$C$39*IF(((YEAR($A257)-YEAR(Premissas!$C$27))*12+MONTH($A257)-MONTH(Premissas!$C$27))&lt;Premissas!$C$41,Premissas!$C$42,1),0)</f>
        <v>0.62</v>
      </c>
      <c r="P257" s="32" t="n">
        <f aca="false">O257*Premissas!$C$38*Premissas!$C$40*(1+Premissas!$C$60)^((YEAR($A257)-YEAR(Premissas!$C$19))*12+MONTH($A257)-MONTH(Premissas!$C$19))</f>
        <v>9748.56979813297</v>
      </c>
      <c r="Q257" s="32" t="n">
        <f aca="false">P257*Premissas!$C$43</f>
        <v>1559.77116770128</v>
      </c>
      <c r="R257" s="32" t="n">
        <f aca="false">P257*Premissas!$C$44</f>
        <v>1949.71395962659</v>
      </c>
      <c r="S257" s="32" t="n">
        <f aca="false">IF($A257&gt;=Premissas!$C$25,Premissas!$C$45*(1+Premissas!$C$60)^((YEAR($A257)-YEAR(Premissas!$C$19))*12+MONTH($A257)-MONTH(Premissas!$C$19)),0)</f>
        <v>1709.07605156609</v>
      </c>
      <c r="T257" s="32" t="n">
        <f aca="false">IF($A257&gt;=Premissas!$C$27,Premissas!$C$46*(1+Premissas!$C$60)^((YEAR($A257)-YEAR(Premissas!$C$19))*12+MONTH($A257)-MONTH(Premissas!$C$19)),0)</f>
        <v>683.630420626436</v>
      </c>
      <c r="U257" s="32" t="n">
        <f aca="false">IF($A257&gt;=Premissas!$C$27,Premissas!$C$47*(1+Premissas!$C$60)^((YEAR($A257)-YEAR(Premissas!$C$19))*12+MONTH($A257)-MONTH(Premissas!$C$19)),0)</f>
        <v>341.815210313218</v>
      </c>
      <c r="V257" s="32" t="n">
        <f aca="false">IF($A257&gt;=Premissas!$C$27,MAX(0,P257-Q257-R257-S257)*Premissas!$C$49,0)</f>
        <v>1245.75237029073</v>
      </c>
      <c r="W257" s="32" t="n">
        <f aca="false">P257-Q257-R257-S257-T257-U257-V257</f>
        <v>2258.81061800863</v>
      </c>
      <c r="X257" s="32" t="n">
        <f aca="false">W257-F257-G257-H257-M257</f>
        <v>2258.81061800863</v>
      </c>
      <c r="Y257" s="32" t="n">
        <f aca="false">Y256+X257</f>
        <v>-529313.808068629</v>
      </c>
      <c r="Z257" s="32" t="n">
        <f aca="false">Premissas!$C$14*(1+Premissas!$C$57)^((YEAR(Premissas!$C$19)-YEAR(Premissas!$C$18))*12+MONTH(Premissas!$C$19)-MONTH(Premissas!$C$18))*(1+Premissas!$C$61)^((YEAR($A257)-YEAR(Premissas!$C$19))*12+MONTH($A257)-MONTH(Premissas!$C$19))</f>
        <v>1332300.32626347</v>
      </c>
      <c r="AA257" s="32" t="n">
        <f aca="false">IF($A257&gt;=Premissas!$C$25,Z257*(1-Premissas!$C$53)-N257-Premissas!$C$54*MAX(0,Z257*(1-Premissas!$C$53)-(Premissas!$C$14*(1+Premissas!$C$57)^((YEAR(Premissas!$C$25)-YEAR(Premissas!$C$18))*12+MONTH(Premissas!$C$25)-MONTH(Premissas!$C$18))*(1+Premissas!$C$34))),"")</f>
        <v>1145710.17019618</v>
      </c>
      <c r="AB257" s="32" t="n">
        <f aca="false">IF($A257&gt;=Premissas!$C$25,Y257+AA257,"")</f>
        <v>616396.362127547</v>
      </c>
      <c r="AC257" s="29" t="n">
        <f aca="false">IF(AND($A257&gt;=Premissas!$C$27,W257&gt;=M257),$A257,"")</f>
        <v>54058</v>
      </c>
      <c r="AD257" s="29" t="str">
        <f aca="false">IF(AND($A257&gt;=Premissas!$C$27,Y257&gt;=0),$A257,"")</f>
        <v/>
      </c>
      <c r="AE257" s="29" t="n">
        <f aca="false">IF(AND($A257&gt;=Premissas!$C$25,N(AB257)&gt;=0),$A257,"")</f>
        <v>54058</v>
      </c>
    </row>
    <row r="258" customFormat="false" ht="15" hidden="false" customHeight="false" outlineLevel="0" collapsed="false">
      <c r="A258" s="20" t="n">
        <f aca="false">DATE(YEAR(A257),MONTH(A257)+1,1)</f>
        <v>54089</v>
      </c>
      <c r="B258" s="5" t="str">
        <f aca="false">IF($A258&lt;Premissas!$C$25,"Obra",IF($A258=Premissas!$C$25,"Chaves",IF($A258&lt;Premissas!$C$27,"Mobiliando","Airbnb")))</f>
        <v>Airbnb</v>
      </c>
      <c r="C258" s="35" t="n">
        <f aca="false">(YEAR($A258)-YEAR(Premissas!$C$18))*12+MONTH($A258)-MONTH(Premissas!$C$18)</f>
        <v>257</v>
      </c>
      <c r="D258" s="16" t="n">
        <f aca="false">($A258=Premissas!$C$19)*Premissas!$C$8+(($A258=EDATE(Premissas!$C$19,1))+($A258=EDATE(Premissas!$C$19,2)))*Premissas!$C$9+AND($A258&gt;=Premissas!$C$20,$A258&lt;EDATE(Premissas!$C$20,Premissas!$C$21))*Premissas!$C$10+(($A258=Premissas!$C$22)+($A258=Premissas!$C$23)+($A258=Premissas!$C$24))*Premissas!$C$11+($A258=Premissas!$C$25)*Premissas!$C$12</f>
        <v>0</v>
      </c>
      <c r="E258" s="36" t="n">
        <f aca="false">(1+Premissas!$C$57)^C258</f>
        <v>3.1476771193374</v>
      </c>
      <c r="F258" s="16" t="n">
        <f aca="false">D258*E258</f>
        <v>0</v>
      </c>
      <c r="G258" s="16" t="n">
        <f aca="false">($A258=Premissas!$C$25)*Premissas!$C$34*Premissas!$C$14*(1+Premissas!$C$57)^C258</f>
        <v>0</v>
      </c>
      <c r="H258" s="16" t="n">
        <f aca="false">IF(AND($A258&gt;Premissas!$C$25,$A258&lt;Premissas!$C$27),Premissas!$C$35/MAX(1,Premissas!$C$26),0)</f>
        <v>0</v>
      </c>
      <c r="I258" s="35" t="n">
        <f aca="false">IF(AND($A258&gt;Premissas!$C$25,((YEAR($A258)-YEAR(Premissas!$C$25))*12+MONTH($A258)-MONTH(Premissas!$C$25))&lt;=Premissas!$C$32),((YEAR($A258)-YEAR(Premissas!$C$25))*12+MONTH($A258)-MONTH(Premissas!$C$25)),0)</f>
        <v>0</v>
      </c>
      <c r="J258" s="16" t="n">
        <f aca="false">IF(I258&gt;0,N257*(1+Premissas!$C$59),0)</f>
        <v>0</v>
      </c>
      <c r="K258" s="16" t="n">
        <f aca="false">J258*Premissas!$C$58</f>
        <v>0</v>
      </c>
      <c r="L258" s="16" t="n">
        <f aca="false">IF(I258&gt;0,J258/(Premissas!$C$32-I258+1),0)</f>
        <v>0</v>
      </c>
      <c r="M258" s="16" t="n">
        <f aca="false">K258+L258</f>
        <v>0</v>
      </c>
      <c r="N258" s="16" t="n">
        <f aca="false">IF($A258=Premissas!$C$25,Premissas!$C$13*E258,IF(I258&gt;0,J258-L258,0))</f>
        <v>0</v>
      </c>
      <c r="O258" s="37" t="n">
        <f aca="false">IF($A258&gt;=Premissas!$C$27,Premissas!$C$39*IF(((YEAR($A258)-YEAR(Premissas!$C$27))*12+MONTH($A258)-MONTH(Premissas!$C$27))&lt;Premissas!$C$41,Premissas!$C$42,1),0)</f>
        <v>0.62</v>
      </c>
      <c r="P258" s="16" t="n">
        <f aca="false">O258*Premissas!$C$38*Premissas!$C$40*(1+Premissas!$C$60)^((YEAR($A258)-YEAR(Premissas!$C$19))*12+MONTH($A258)-MONTH(Premissas!$C$19))</f>
        <v>9780.48407890066</v>
      </c>
      <c r="Q258" s="16" t="n">
        <f aca="false">P258*Premissas!$C$43</f>
        <v>1564.87745262411</v>
      </c>
      <c r="R258" s="16" t="n">
        <f aca="false">P258*Premissas!$C$44</f>
        <v>1956.09681578013</v>
      </c>
      <c r="S258" s="16" t="n">
        <f aca="false">IF($A258&gt;=Premissas!$C$25,Premissas!$C$45*(1+Premissas!$C$60)^((YEAR($A258)-YEAR(Premissas!$C$19))*12+MONTH($A258)-MONTH(Premissas!$C$19)),0)</f>
        <v>1714.6711218269</v>
      </c>
      <c r="T258" s="16" t="n">
        <f aca="false">IF($A258&gt;=Premissas!$C$27,Premissas!$C$46*(1+Premissas!$C$60)^((YEAR($A258)-YEAR(Premissas!$C$19))*12+MONTH($A258)-MONTH(Premissas!$C$19)),0)</f>
        <v>685.868448730762</v>
      </c>
      <c r="U258" s="16" t="n">
        <f aca="false">IF($A258&gt;=Premissas!$C$27,Premissas!$C$47*(1+Premissas!$C$60)^((YEAR($A258)-YEAR(Premissas!$C$19))*12+MONTH($A258)-MONTH(Premissas!$C$19)),0)</f>
        <v>342.934224365381</v>
      </c>
      <c r="V258" s="16" t="n">
        <f aca="false">IF($A258&gt;=Premissas!$C$27,MAX(0,P258-Q258-R258-S258)*Premissas!$C$49,0)</f>
        <v>1249.83063938412</v>
      </c>
      <c r="W258" s="16" t="n">
        <f aca="false">P258-Q258-R258-S258-T258-U258-V258</f>
        <v>2266.20537618926</v>
      </c>
      <c r="X258" s="16" t="n">
        <f aca="false">W258-F258-G258-H258-M258</f>
        <v>2266.20537618926</v>
      </c>
      <c r="Y258" s="16" t="n">
        <f aca="false">Y257+X258</f>
        <v>-527047.60269244</v>
      </c>
      <c r="Z258" s="16" t="n">
        <f aca="false">Premissas!$C$14*(1+Premissas!$C$57)^((YEAR(Premissas!$C$19)-YEAR(Premissas!$C$18))*12+MONTH(Premissas!$C$19)-MONTH(Premissas!$C$18))*(1+Premissas!$C$61)^((YEAR($A258)-YEAR(Premissas!$C$19))*12+MONTH($A258)-MONTH(Premissas!$C$19))</f>
        <v>1337728.28270966</v>
      </c>
      <c r="AA258" s="16" t="n">
        <f aca="false">IF($A258&gt;=Premissas!$C$25,Z258*(1-Premissas!$C$53)-N258-Premissas!$C$54*MAX(0,Z258*(1-Premissas!$C$53)-(Premissas!$C$14*(1+Premissas!$C$57)^((YEAR(Premissas!$C$25)-YEAR(Premissas!$C$18))*12+MONTH(Premissas!$C$25)-MONTH(Premissas!$C$18))*(1+Premissas!$C$34))),"")</f>
        <v>1150047.10739668</v>
      </c>
      <c r="AB258" s="16" t="n">
        <f aca="false">IF($A258&gt;=Premissas!$C$25,Y258+AA258,"")</f>
        <v>622999.504704244</v>
      </c>
      <c r="AC258" s="20" t="n">
        <f aca="false">IF(AND($A258&gt;=Premissas!$C$27,W258&gt;=M258),$A258,"")</f>
        <v>54089</v>
      </c>
      <c r="AD258" s="20" t="str">
        <f aca="false">IF(AND($A258&gt;=Premissas!$C$27,Y258&gt;=0),$A258,"")</f>
        <v/>
      </c>
      <c r="AE258" s="20" t="n">
        <f aca="false">IF(AND($A258&gt;=Premissas!$C$25,N(AB258)&gt;=0),$A258,"")</f>
        <v>54089</v>
      </c>
    </row>
    <row r="259" customFormat="false" ht="15" hidden="false" customHeight="false" outlineLevel="0" collapsed="false">
      <c r="A259" s="20" t="n">
        <f aca="false">DATE(YEAR(A258),MONTH(A258)+1,1)</f>
        <v>54118</v>
      </c>
      <c r="B259" s="5" t="str">
        <f aca="false">IF($A259&lt;Premissas!$C$25,"Obra",IF($A259=Premissas!$C$25,"Chaves",IF($A259&lt;Premissas!$C$27,"Mobiliando","Airbnb")))</f>
        <v>Airbnb</v>
      </c>
      <c r="C259" s="35" t="n">
        <f aca="false">(YEAR($A259)-YEAR(Premissas!$C$18))*12+MONTH($A259)-MONTH(Premissas!$C$18)</f>
        <v>258</v>
      </c>
      <c r="D259" s="16" t="n">
        <f aca="false">($A259=Premissas!$C$19)*Premissas!$C$8+(($A259=EDATE(Premissas!$C$19,1))+($A259=EDATE(Premissas!$C$19,2)))*Premissas!$C$9+AND($A259&gt;=Premissas!$C$20,$A259&lt;EDATE(Premissas!$C$20,Premissas!$C$21))*Premissas!$C$10+(($A259=Premissas!$C$22)+($A259=Premissas!$C$23)+($A259=Premissas!$C$24))*Premissas!$C$11+($A259=Premissas!$C$25)*Premissas!$C$12</f>
        <v>0</v>
      </c>
      <c r="E259" s="36" t="n">
        <f aca="false">(1+Premissas!$C$57)^C259</f>
        <v>3.16175258370315</v>
      </c>
      <c r="F259" s="16" t="n">
        <f aca="false">D259*E259</f>
        <v>0</v>
      </c>
      <c r="G259" s="16" t="n">
        <f aca="false">($A259=Premissas!$C$25)*Premissas!$C$34*Premissas!$C$14*(1+Premissas!$C$57)^C259</f>
        <v>0</v>
      </c>
      <c r="H259" s="16" t="n">
        <f aca="false">IF(AND($A259&gt;Premissas!$C$25,$A259&lt;Premissas!$C$27),Premissas!$C$35/MAX(1,Premissas!$C$26),0)</f>
        <v>0</v>
      </c>
      <c r="I259" s="35" t="n">
        <f aca="false">IF(AND($A259&gt;Premissas!$C$25,((YEAR($A259)-YEAR(Premissas!$C$25))*12+MONTH($A259)-MONTH(Premissas!$C$25))&lt;=Premissas!$C$32),((YEAR($A259)-YEAR(Premissas!$C$25))*12+MONTH($A259)-MONTH(Premissas!$C$25)),0)</f>
        <v>0</v>
      </c>
      <c r="J259" s="16" t="n">
        <f aca="false">IF(I259&gt;0,N258*(1+Premissas!$C$59),0)</f>
        <v>0</v>
      </c>
      <c r="K259" s="16" t="n">
        <f aca="false">J259*Premissas!$C$58</f>
        <v>0</v>
      </c>
      <c r="L259" s="16" t="n">
        <f aca="false">IF(I259&gt;0,J259/(Premissas!$C$32-I259+1),0)</f>
        <v>0</v>
      </c>
      <c r="M259" s="16" t="n">
        <f aca="false">K259+L259</f>
        <v>0</v>
      </c>
      <c r="N259" s="16" t="n">
        <f aca="false">IF($A259=Premissas!$C$25,Premissas!$C$13*E259,IF(I259&gt;0,J259-L259,0))</f>
        <v>0</v>
      </c>
      <c r="O259" s="37" t="n">
        <f aca="false">IF($A259&gt;=Premissas!$C$27,Premissas!$C$39*IF(((YEAR($A259)-YEAR(Premissas!$C$27))*12+MONTH($A259)-MONTH(Premissas!$C$27))&lt;Premissas!$C$41,Premissas!$C$42,1),0)</f>
        <v>0.62</v>
      </c>
      <c r="P259" s="16" t="n">
        <f aca="false">O259*Premissas!$C$38*Premissas!$C$40*(1+Premissas!$C$60)^((YEAR($A259)-YEAR(Premissas!$C$19))*12+MONTH($A259)-MONTH(Premissas!$C$19))</f>
        <v>9812.50283871892</v>
      </c>
      <c r="Q259" s="16" t="n">
        <f aca="false">P259*Premissas!$C$43</f>
        <v>1570.00045419503</v>
      </c>
      <c r="R259" s="16" t="n">
        <f aca="false">P259*Premissas!$C$44</f>
        <v>1962.50056774378</v>
      </c>
      <c r="S259" s="16" t="n">
        <f aca="false">IF($A259&gt;=Premissas!$C$25,Premissas!$C$45*(1+Premissas!$C$60)^((YEAR($A259)-YEAR(Premissas!$C$19))*12+MONTH($A259)-MONTH(Premissas!$C$19)),0)</f>
        <v>1720.28450889182</v>
      </c>
      <c r="T259" s="16" t="n">
        <f aca="false">IF($A259&gt;=Premissas!$C$27,Premissas!$C$46*(1+Premissas!$C$60)^((YEAR($A259)-YEAR(Premissas!$C$19))*12+MONTH($A259)-MONTH(Premissas!$C$19)),0)</f>
        <v>688.113803556727</v>
      </c>
      <c r="U259" s="16" t="n">
        <f aca="false">IF($A259&gt;=Premissas!$C$27,Premissas!$C$47*(1+Premissas!$C$60)^((YEAR($A259)-YEAR(Premissas!$C$19))*12+MONTH($A259)-MONTH(Premissas!$C$19)),0)</f>
        <v>344.056901778363</v>
      </c>
      <c r="V259" s="16" t="n">
        <f aca="false">IF($A259&gt;=Premissas!$C$27,MAX(0,P259-Q259-R259-S259)*Premissas!$C$49,0)</f>
        <v>1253.92225966928</v>
      </c>
      <c r="W259" s="16" t="n">
        <f aca="false">P259-Q259-R259-S259-T259-U259-V259</f>
        <v>2273.62434288392</v>
      </c>
      <c r="X259" s="16" t="n">
        <f aca="false">W259-F259-G259-H259-M259</f>
        <v>2273.62434288392</v>
      </c>
      <c r="Y259" s="16" t="n">
        <f aca="false">Y258+X259</f>
        <v>-524773.978349556</v>
      </c>
      <c r="Z259" s="16" t="n">
        <f aca="false">Premissas!$C$14*(1+Premissas!$C$57)^((YEAR(Premissas!$C$19)-YEAR(Premissas!$C$18))*12+MONTH(Premissas!$C$19)-MONTH(Premissas!$C$18))*(1+Premissas!$C$61)^((YEAR($A259)-YEAR(Premissas!$C$19))*12+MONTH($A259)-MONTH(Premissas!$C$19))</f>
        <v>1343178.35332231</v>
      </c>
      <c r="AA259" s="16" t="n">
        <f aca="false">IF($A259&gt;=Premissas!$C$25,Z259*(1-Premissas!$C$53)-N259-Premissas!$C$54*MAX(0,Z259*(1-Premissas!$C$53)-(Premissas!$C$14*(1+Premissas!$C$57)^((YEAR(Premissas!$C$25)-YEAR(Premissas!$C$18))*12+MONTH(Premissas!$C$25)-MONTH(Premissas!$C$18))*(1+Premissas!$C$34))),"")</f>
        <v>1154401.71381619</v>
      </c>
      <c r="AB259" s="16" t="n">
        <f aca="false">IF($A259&gt;=Premissas!$C$25,Y259+AA259,"")</f>
        <v>629627.735466632</v>
      </c>
      <c r="AC259" s="20" t="n">
        <f aca="false">IF(AND($A259&gt;=Premissas!$C$27,W259&gt;=M259),$A259,"")</f>
        <v>54118</v>
      </c>
      <c r="AD259" s="20" t="str">
        <f aca="false">IF(AND($A259&gt;=Premissas!$C$27,Y259&gt;=0),$A259,"")</f>
        <v/>
      </c>
      <c r="AE259" s="20" t="n">
        <f aca="false">IF(AND($A259&gt;=Premissas!$C$25,N(AB259)&gt;=0),$A259,"")</f>
        <v>54118</v>
      </c>
    </row>
    <row r="260" customFormat="false" ht="15" hidden="false" customHeight="false" outlineLevel="0" collapsed="false">
      <c r="A260" s="20" t="n">
        <f aca="false">DATE(YEAR(A259),MONTH(A259)+1,1)</f>
        <v>54149</v>
      </c>
      <c r="B260" s="5" t="str">
        <f aca="false">IF($A260&lt;Premissas!$C$25,"Obra",IF($A260=Premissas!$C$25,"Chaves",IF($A260&lt;Premissas!$C$27,"Mobiliando","Airbnb")))</f>
        <v>Airbnb</v>
      </c>
      <c r="C260" s="35" t="n">
        <f aca="false">(YEAR($A260)-YEAR(Premissas!$C$18))*12+MONTH($A260)-MONTH(Premissas!$C$18)</f>
        <v>259</v>
      </c>
      <c r="D260" s="16" t="n">
        <f aca="false">($A260=Premissas!$C$19)*Premissas!$C$8+(($A260=EDATE(Premissas!$C$19,1))+($A260=EDATE(Premissas!$C$19,2)))*Premissas!$C$9+AND($A260&gt;=Premissas!$C$20,$A260&lt;EDATE(Premissas!$C$20,Premissas!$C$21))*Premissas!$C$10+(($A260=Premissas!$C$22)+($A260=Premissas!$C$23)+($A260=Premissas!$C$24))*Premissas!$C$11+($A260=Premissas!$C$25)*Premissas!$C$12</f>
        <v>0</v>
      </c>
      <c r="E260" s="36" t="n">
        <f aca="false">(1+Premissas!$C$57)^C260</f>
        <v>3.17589098930765</v>
      </c>
      <c r="F260" s="16" t="n">
        <f aca="false">D260*E260</f>
        <v>0</v>
      </c>
      <c r="G260" s="16" t="n">
        <f aca="false">($A260=Premissas!$C$25)*Premissas!$C$34*Premissas!$C$14*(1+Premissas!$C$57)^C260</f>
        <v>0</v>
      </c>
      <c r="H260" s="16" t="n">
        <f aca="false">IF(AND($A260&gt;Premissas!$C$25,$A260&lt;Premissas!$C$27),Premissas!$C$35/MAX(1,Premissas!$C$26),0)</f>
        <v>0</v>
      </c>
      <c r="I260" s="35" t="n">
        <f aca="false">IF(AND($A260&gt;Premissas!$C$25,((YEAR($A260)-YEAR(Premissas!$C$25))*12+MONTH($A260)-MONTH(Premissas!$C$25))&lt;=Premissas!$C$32),((YEAR($A260)-YEAR(Premissas!$C$25))*12+MONTH($A260)-MONTH(Premissas!$C$25)),0)</f>
        <v>0</v>
      </c>
      <c r="J260" s="16" t="n">
        <f aca="false">IF(I260&gt;0,N259*(1+Premissas!$C$59),0)</f>
        <v>0</v>
      </c>
      <c r="K260" s="16" t="n">
        <f aca="false">J260*Premissas!$C$58</f>
        <v>0</v>
      </c>
      <c r="L260" s="16" t="n">
        <f aca="false">IF(I260&gt;0,J260/(Premissas!$C$32-I260+1),0)</f>
        <v>0</v>
      </c>
      <c r="M260" s="16" t="n">
        <f aca="false">K260+L260</f>
        <v>0</v>
      </c>
      <c r="N260" s="16" t="n">
        <f aca="false">IF($A260=Premissas!$C$25,Premissas!$C$13*E260,IF(I260&gt;0,J260-L260,0))</f>
        <v>0</v>
      </c>
      <c r="O260" s="37" t="n">
        <f aca="false">IF($A260&gt;=Premissas!$C$27,Premissas!$C$39*IF(((YEAR($A260)-YEAR(Premissas!$C$27))*12+MONTH($A260)-MONTH(Premissas!$C$27))&lt;Premissas!$C$41,Premissas!$C$42,1),0)</f>
        <v>0.62</v>
      </c>
      <c r="P260" s="16" t="n">
        <f aca="false">O260*Premissas!$C$38*Premissas!$C$40*(1+Premissas!$C$60)^((YEAR($A260)-YEAR(Premissas!$C$19))*12+MONTH($A260)-MONTH(Premissas!$C$19))</f>
        <v>9844.62641962498</v>
      </c>
      <c r="Q260" s="16" t="n">
        <f aca="false">P260*Premissas!$C$43</f>
        <v>1575.14022714</v>
      </c>
      <c r="R260" s="16" t="n">
        <f aca="false">P260*Premissas!$C$44</f>
        <v>1968.925283925</v>
      </c>
      <c r="S260" s="16" t="n">
        <f aca="false">IF($A260&gt;=Premissas!$C$25,Premissas!$C$45*(1+Premissas!$C$60)^((YEAR($A260)-YEAR(Premissas!$C$19))*12+MONTH($A260)-MONTH(Premissas!$C$19)),0)</f>
        <v>1725.91627272528</v>
      </c>
      <c r="T260" s="16" t="n">
        <f aca="false">IF($A260&gt;=Premissas!$C$27,Premissas!$C$46*(1+Premissas!$C$60)^((YEAR($A260)-YEAR(Premissas!$C$19))*12+MONTH($A260)-MONTH(Premissas!$C$19)),0)</f>
        <v>690.366509090111</v>
      </c>
      <c r="U260" s="16" t="n">
        <f aca="false">IF($A260&gt;=Premissas!$C$27,Premissas!$C$47*(1+Premissas!$C$60)^((YEAR($A260)-YEAR(Premissas!$C$19))*12+MONTH($A260)-MONTH(Premissas!$C$19)),0)</f>
        <v>345.183254545055</v>
      </c>
      <c r="V260" s="16" t="n">
        <f aca="false">IF($A260&gt;=Premissas!$C$27,MAX(0,P260-Q260-R260-S260)*Premissas!$C$49,0)</f>
        <v>1258.02727485454</v>
      </c>
      <c r="W260" s="16" t="n">
        <f aca="false">P260-Q260-R260-S260-T260-U260-V260</f>
        <v>2281.067597345</v>
      </c>
      <c r="X260" s="16" t="n">
        <f aca="false">W260-F260-G260-H260-M260</f>
        <v>2281.067597345</v>
      </c>
      <c r="Y260" s="16" t="n">
        <f aca="false">Y259+X260</f>
        <v>-522492.910752211</v>
      </c>
      <c r="Z260" s="16" t="n">
        <f aca="false">Premissas!$C$14*(1+Premissas!$C$57)^((YEAR(Premissas!$C$19)-YEAR(Premissas!$C$18))*12+MONTH(Premissas!$C$19)-MONTH(Premissas!$C$18))*(1+Premissas!$C$61)^((YEAR($A260)-YEAR(Premissas!$C$19))*12+MONTH($A260)-MONTH(Premissas!$C$19))</f>
        <v>1348650.62819726</v>
      </c>
      <c r="AA260" s="16" t="n">
        <f aca="false">IF($A260&gt;=Premissas!$C$25,Z260*(1-Premissas!$C$53)-N260-Premissas!$C$54*MAX(0,Z260*(1-Premissas!$C$53)-(Premissas!$C$14*(1+Premissas!$C$57)^((YEAR(Premissas!$C$25)-YEAR(Premissas!$C$18))*12+MONTH(Premissas!$C$25)-MONTH(Premissas!$C$18))*(1+Premissas!$C$34))),"")</f>
        <v>1158774.06144127</v>
      </c>
      <c r="AB260" s="16" t="n">
        <f aca="false">IF($A260&gt;=Premissas!$C$25,Y260+AA260,"")</f>
        <v>636281.150689064</v>
      </c>
      <c r="AC260" s="20" t="n">
        <f aca="false">IF(AND($A260&gt;=Premissas!$C$27,W260&gt;=M260),$A260,"")</f>
        <v>54149</v>
      </c>
      <c r="AD260" s="20" t="str">
        <f aca="false">IF(AND($A260&gt;=Premissas!$C$27,Y260&gt;=0),$A260,"")</f>
        <v/>
      </c>
      <c r="AE260" s="20" t="n">
        <f aca="false">IF(AND($A260&gt;=Premissas!$C$25,N(AB260)&gt;=0),$A260,"")</f>
        <v>54149</v>
      </c>
    </row>
    <row r="261" customFormat="false" ht="15" hidden="false" customHeight="false" outlineLevel="0" collapsed="false">
      <c r="A261" s="20" t="n">
        <f aca="false">DATE(YEAR(A260),MONTH(A260)+1,1)</f>
        <v>54179</v>
      </c>
      <c r="B261" s="5" t="str">
        <f aca="false">IF($A261&lt;Premissas!$C$25,"Obra",IF($A261=Premissas!$C$25,"Chaves",IF($A261&lt;Premissas!$C$27,"Mobiliando","Airbnb")))</f>
        <v>Airbnb</v>
      </c>
      <c r="C261" s="35" t="n">
        <f aca="false">(YEAR($A261)-YEAR(Premissas!$C$18))*12+MONTH($A261)-MONTH(Premissas!$C$18)</f>
        <v>260</v>
      </c>
      <c r="D261" s="16" t="n">
        <f aca="false">($A261=Premissas!$C$19)*Premissas!$C$8+(($A261=EDATE(Premissas!$C$19,1))+($A261=EDATE(Premissas!$C$19,2)))*Premissas!$C$9+AND($A261&gt;=Premissas!$C$20,$A261&lt;EDATE(Premissas!$C$20,Premissas!$C$21))*Premissas!$C$10+(($A261=Premissas!$C$22)+($A261=Premissas!$C$23)+($A261=Premissas!$C$24))*Premissas!$C$11+($A261=Premissas!$C$25)*Premissas!$C$12</f>
        <v>0</v>
      </c>
      <c r="E261" s="36" t="n">
        <f aca="false">(1+Premissas!$C$57)^C261</f>
        <v>3.19009261760518</v>
      </c>
      <c r="F261" s="16" t="n">
        <f aca="false">D261*E261</f>
        <v>0</v>
      </c>
      <c r="G261" s="16" t="n">
        <f aca="false">($A261=Premissas!$C$25)*Premissas!$C$34*Premissas!$C$14*(1+Premissas!$C$57)^C261</f>
        <v>0</v>
      </c>
      <c r="H261" s="16" t="n">
        <f aca="false">IF(AND($A261&gt;Premissas!$C$25,$A261&lt;Premissas!$C$27),Premissas!$C$35/MAX(1,Premissas!$C$26),0)</f>
        <v>0</v>
      </c>
      <c r="I261" s="35" t="n">
        <f aca="false">IF(AND($A261&gt;Premissas!$C$25,((YEAR($A261)-YEAR(Premissas!$C$25))*12+MONTH($A261)-MONTH(Premissas!$C$25))&lt;=Premissas!$C$32),((YEAR($A261)-YEAR(Premissas!$C$25))*12+MONTH($A261)-MONTH(Premissas!$C$25)),0)</f>
        <v>0</v>
      </c>
      <c r="J261" s="16" t="n">
        <f aca="false">IF(I261&gt;0,N260*(1+Premissas!$C$59),0)</f>
        <v>0</v>
      </c>
      <c r="K261" s="16" t="n">
        <f aca="false">J261*Premissas!$C$58</f>
        <v>0</v>
      </c>
      <c r="L261" s="16" t="n">
        <f aca="false">IF(I261&gt;0,J261/(Premissas!$C$32-I261+1),0)</f>
        <v>0</v>
      </c>
      <c r="M261" s="16" t="n">
        <f aca="false">K261+L261</f>
        <v>0</v>
      </c>
      <c r="N261" s="16" t="n">
        <f aca="false">IF($A261=Premissas!$C$25,Premissas!$C$13*E261,IF(I261&gt;0,J261-L261,0))</f>
        <v>0</v>
      </c>
      <c r="O261" s="37" t="n">
        <f aca="false">IF($A261&gt;=Premissas!$C$27,Premissas!$C$39*IF(((YEAR($A261)-YEAR(Premissas!$C$27))*12+MONTH($A261)-MONTH(Premissas!$C$27))&lt;Premissas!$C$41,Premissas!$C$42,1),0)</f>
        <v>0.62</v>
      </c>
      <c r="P261" s="16" t="n">
        <f aca="false">O261*Premissas!$C$38*Premissas!$C$40*(1+Premissas!$C$60)^((YEAR($A261)-YEAR(Premissas!$C$19))*12+MONTH($A261)-MONTH(Premissas!$C$19))</f>
        <v>9876.85516477579</v>
      </c>
      <c r="Q261" s="16" t="n">
        <f aca="false">P261*Premissas!$C$43</f>
        <v>1580.29682636413</v>
      </c>
      <c r="R261" s="16" t="n">
        <f aca="false">P261*Premissas!$C$44</f>
        <v>1975.37103295516</v>
      </c>
      <c r="S261" s="16" t="n">
        <f aca="false">IF($A261&gt;=Premissas!$C$25,Premissas!$C$45*(1+Premissas!$C$60)^((YEAR($A261)-YEAR(Premissas!$C$19))*12+MONTH($A261)-MONTH(Premissas!$C$19)),0)</f>
        <v>1731.56647348804</v>
      </c>
      <c r="T261" s="16" t="n">
        <f aca="false">IF($A261&gt;=Premissas!$C$27,Premissas!$C$46*(1+Premissas!$C$60)^((YEAR($A261)-YEAR(Premissas!$C$19))*12+MONTH($A261)-MONTH(Premissas!$C$19)),0)</f>
        <v>692.626589395217</v>
      </c>
      <c r="U261" s="16" t="n">
        <f aca="false">IF($A261&gt;=Premissas!$C$27,Premissas!$C$47*(1+Premissas!$C$60)^((YEAR($A261)-YEAR(Premissas!$C$19))*12+MONTH($A261)-MONTH(Premissas!$C$19)),0)</f>
        <v>346.313294697608</v>
      </c>
      <c r="V261" s="16" t="n">
        <f aca="false">IF($A261&gt;=Premissas!$C$27,MAX(0,P261-Q261-R261-S261)*Premissas!$C$49,0)</f>
        <v>1262.14572879133</v>
      </c>
      <c r="W261" s="16" t="n">
        <f aca="false">P261-Q261-R261-S261-T261-U261-V261</f>
        <v>2288.53521908431</v>
      </c>
      <c r="X261" s="16" t="n">
        <f aca="false">W261-F261-G261-H261-M261</f>
        <v>2288.53521908431</v>
      </c>
      <c r="Y261" s="16" t="n">
        <f aca="false">Y260+X261</f>
        <v>-520204.375533126</v>
      </c>
      <c r="Z261" s="16" t="n">
        <f aca="false">Premissas!$C$14*(1+Premissas!$C$57)^((YEAR(Premissas!$C$19)-YEAR(Premissas!$C$18))*12+MONTH(Premissas!$C$19)-MONTH(Premissas!$C$18))*(1+Premissas!$C$61)^((YEAR($A261)-YEAR(Premissas!$C$19))*12+MONTH($A261)-MONTH(Premissas!$C$19))</f>
        <v>1354145.19779743</v>
      </c>
      <c r="AA261" s="16" t="n">
        <f aca="false">IF($A261&gt;=Premissas!$C$25,Z261*(1-Premissas!$C$53)-N261-Premissas!$C$54*MAX(0,Z261*(1-Premissas!$C$53)-(Premissas!$C$14*(1+Premissas!$C$57)^((YEAR(Premissas!$C$25)-YEAR(Premissas!$C$18))*12+MONTH(Premissas!$C$25)-MONTH(Premissas!$C$18))*(1+Premissas!$C$34))),"")</f>
        <v>1163164.22255181</v>
      </c>
      <c r="AB261" s="16" t="n">
        <f aca="false">IF($A261&gt;=Premissas!$C$25,Y261+AA261,"")</f>
        <v>642959.847018685</v>
      </c>
      <c r="AC261" s="20" t="n">
        <f aca="false">IF(AND($A261&gt;=Premissas!$C$27,W261&gt;=M261),$A261,"")</f>
        <v>54179</v>
      </c>
      <c r="AD261" s="20" t="str">
        <f aca="false">IF(AND($A261&gt;=Premissas!$C$27,Y261&gt;=0),$A261,"")</f>
        <v/>
      </c>
      <c r="AE261" s="20" t="n">
        <f aca="false">IF(AND($A261&gt;=Premissas!$C$25,N(AB261)&gt;=0),$A261,"")</f>
        <v>54179</v>
      </c>
    </row>
    <row r="262" customFormat="false" ht="15" hidden="false" customHeight="false" outlineLevel="0" collapsed="false">
      <c r="A262" s="20" t="n">
        <f aca="false">DATE(YEAR(A261),MONTH(A261)+1,1)</f>
        <v>54210</v>
      </c>
      <c r="B262" s="5" t="str">
        <f aca="false">IF($A262&lt;Premissas!$C$25,"Obra",IF($A262=Premissas!$C$25,"Chaves",IF($A262&lt;Premissas!$C$27,"Mobiliando","Airbnb")))</f>
        <v>Airbnb</v>
      </c>
      <c r="C262" s="35" t="n">
        <f aca="false">(YEAR($A262)-YEAR(Premissas!$C$18))*12+MONTH($A262)-MONTH(Premissas!$C$18)</f>
        <v>261</v>
      </c>
      <c r="D262" s="16" t="n">
        <f aca="false">($A262=Premissas!$C$19)*Premissas!$C$8+(($A262=EDATE(Premissas!$C$19,1))+($A262=EDATE(Premissas!$C$19,2)))*Premissas!$C$9+AND($A262&gt;=Premissas!$C$20,$A262&lt;EDATE(Premissas!$C$20,Premissas!$C$21))*Premissas!$C$10+(($A262=Premissas!$C$22)+($A262=Premissas!$C$23)+($A262=Premissas!$C$24))*Premissas!$C$11+($A262=Premissas!$C$25)*Premissas!$C$12</f>
        <v>0</v>
      </c>
      <c r="E262" s="36" t="n">
        <f aca="false">(1+Premissas!$C$57)^C262</f>
        <v>3.2043577513086</v>
      </c>
      <c r="F262" s="16" t="n">
        <f aca="false">D262*E262</f>
        <v>0</v>
      </c>
      <c r="G262" s="16" t="n">
        <f aca="false">($A262=Premissas!$C$25)*Premissas!$C$34*Premissas!$C$14*(1+Premissas!$C$57)^C262</f>
        <v>0</v>
      </c>
      <c r="H262" s="16" t="n">
        <f aca="false">IF(AND($A262&gt;Premissas!$C$25,$A262&lt;Premissas!$C$27),Premissas!$C$35/MAX(1,Premissas!$C$26),0)</f>
        <v>0</v>
      </c>
      <c r="I262" s="35" t="n">
        <f aca="false">IF(AND($A262&gt;Premissas!$C$25,((YEAR($A262)-YEAR(Premissas!$C$25))*12+MONTH($A262)-MONTH(Premissas!$C$25))&lt;=Premissas!$C$32),((YEAR($A262)-YEAR(Premissas!$C$25))*12+MONTH($A262)-MONTH(Premissas!$C$25)),0)</f>
        <v>0</v>
      </c>
      <c r="J262" s="16" t="n">
        <f aca="false">IF(I262&gt;0,N261*(1+Premissas!$C$59),0)</f>
        <v>0</v>
      </c>
      <c r="K262" s="16" t="n">
        <f aca="false">J262*Premissas!$C$58</f>
        <v>0</v>
      </c>
      <c r="L262" s="16" t="n">
        <f aca="false">IF(I262&gt;0,J262/(Premissas!$C$32-I262+1),0)</f>
        <v>0</v>
      </c>
      <c r="M262" s="16" t="n">
        <f aca="false">K262+L262</f>
        <v>0</v>
      </c>
      <c r="N262" s="16" t="n">
        <f aca="false">IF($A262=Premissas!$C$25,Premissas!$C$13*E262,IF(I262&gt;0,J262-L262,0))</f>
        <v>0</v>
      </c>
      <c r="O262" s="37" t="n">
        <f aca="false">IF($A262&gt;=Premissas!$C$27,Premissas!$C$39*IF(((YEAR($A262)-YEAR(Premissas!$C$27))*12+MONTH($A262)-MONTH(Premissas!$C$27))&lt;Premissas!$C$41,Premissas!$C$42,1),0)</f>
        <v>0.62</v>
      </c>
      <c r="P262" s="16" t="n">
        <f aca="false">O262*Premissas!$C$38*Premissas!$C$40*(1+Premissas!$C$60)^((YEAR($A262)-YEAR(Premissas!$C$19))*12+MONTH($A262)-MONTH(Premissas!$C$19))</f>
        <v>9909.18941845173</v>
      </c>
      <c r="Q262" s="16" t="n">
        <f aca="false">P262*Premissas!$C$43</f>
        <v>1585.47030695228</v>
      </c>
      <c r="R262" s="16" t="n">
        <f aca="false">P262*Premissas!$C$44</f>
        <v>1981.83788369035</v>
      </c>
      <c r="S262" s="16" t="n">
        <f aca="false">IF($A262&gt;=Premissas!$C$25,Premissas!$C$45*(1+Premissas!$C$60)^((YEAR($A262)-YEAR(Premissas!$C$19))*12+MONTH($A262)-MONTH(Premissas!$C$19)),0)</f>
        <v>1737.23517153782</v>
      </c>
      <c r="T262" s="16" t="n">
        <f aca="false">IF($A262&gt;=Premissas!$C$27,Premissas!$C$46*(1+Premissas!$C$60)^((YEAR($A262)-YEAR(Premissas!$C$19))*12+MONTH($A262)-MONTH(Premissas!$C$19)),0)</f>
        <v>694.894068615128</v>
      </c>
      <c r="U262" s="16" t="n">
        <f aca="false">IF($A262&gt;=Premissas!$C$27,Premissas!$C$47*(1+Premissas!$C$60)^((YEAR($A262)-YEAR(Premissas!$C$19))*12+MONTH($A262)-MONTH(Premissas!$C$19)),0)</f>
        <v>347.447034307564</v>
      </c>
      <c r="V262" s="16" t="n">
        <f aca="false">IF($A262&gt;=Premissas!$C$27,MAX(0,P262-Q262-R262-S262)*Premissas!$C$49,0)</f>
        <v>1266.2776654746</v>
      </c>
      <c r="W262" s="16" t="n">
        <f aca="false">P262-Q262-R262-S262-T262-U262-V262</f>
        <v>2296.02728787399</v>
      </c>
      <c r="X262" s="16" t="n">
        <f aca="false">W262-F262-G262-H262-M262</f>
        <v>2296.02728787399</v>
      </c>
      <c r="Y262" s="16" t="n">
        <f aca="false">Y261+X262</f>
        <v>-517908.348245253</v>
      </c>
      <c r="Z262" s="16" t="n">
        <f aca="false">Premissas!$C$14*(1+Premissas!$C$57)^((YEAR(Premissas!$C$19)-YEAR(Premissas!$C$18))*12+MONTH(Premissas!$C$19)-MONTH(Premissas!$C$18))*(1+Premissas!$C$61)^((YEAR($A262)-YEAR(Premissas!$C$19))*12+MONTH($A262)-MONTH(Premissas!$C$19))</f>
        <v>1359662.15295429</v>
      </c>
      <c r="AA262" s="16" t="n">
        <f aca="false">IF($A262&gt;=Premissas!$C$25,Z262*(1-Premissas!$C$53)-N262-Premissas!$C$54*MAX(0,Z262*(1-Premissas!$C$53)-(Premissas!$C$14*(1+Premissas!$C$57)^((YEAR(Premissas!$C$25)-YEAR(Premissas!$C$18))*12+MONTH(Premissas!$C$25)-MONTH(Premissas!$C$18))*(1+Premissas!$C$34))),"")</f>
        <v>1167572.26972214</v>
      </c>
      <c r="AB262" s="16" t="n">
        <f aca="false">IF($A262&gt;=Premissas!$C$25,Y262+AA262,"")</f>
        <v>649663.921476889</v>
      </c>
      <c r="AC262" s="20" t="n">
        <f aca="false">IF(AND($A262&gt;=Premissas!$C$27,W262&gt;=M262),$A262,"")</f>
        <v>54210</v>
      </c>
      <c r="AD262" s="20" t="str">
        <f aca="false">IF(AND($A262&gt;=Premissas!$C$27,Y262&gt;=0),$A262,"")</f>
        <v/>
      </c>
      <c r="AE262" s="20" t="n">
        <f aca="false">IF(AND($A262&gt;=Premissas!$C$25,N(AB262)&gt;=0),$A262,"")</f>
        <v>54210</v>
      </c>
    </row>
    <row r="263" customFormat="false" ht="15" hidden="false" customHeight="false" outlineLevel="0" collapsed="false">
      <c r="A263" s="20" t="n">
        <f aca="false">DATE(YEAR(A262),MONTH(A262)+1,1)</f>
        <v>54240</v>
      </c>
      <c r="B263" s="5" t="str">
        <f aca="false">IF($A263&lt;Premissas!$C$25,"Obra",IF($A263=Premissas!$C$25,"Chaves",IF($A263&lt;Premissas!$C$27,"Mobiliando","Airbnb")))</f>
        <v>Airbnb</v>
      </c>
      <c r="C263" s="35" t="n">
        <f aca="false">(YEAR($A263)-YEAR(Premissas!$C$18))*12+MONTH($A263)-MONTH(Premissas!$C$18)</f>
        <v>262</v>
      </c>
      <c r="D263" s="16" t="n">
        <f aca="false">($A263=Premissas!$C$19)*Premissas!$C$8+(($A263=EDATE(Premissas!$C$19,1))+($A263=EDATE(Premissas!$C$19,2)))*Premissas!$C$9+AND($A263&gt;=Premissas!$C$20,$A263&lt;EDATE(Premissas!$C$20,Premissas!$C$21))*Premissas!$C$10+(($A263=Premissas!$C$22)+($A263=Premissas!$C$23)+($A263=Premissas!$C$24))*Premissas!$C$11+($A263=Premissas!$C$25)*Premissas!$C$12</f>
        <v>0</v>
      </c>
      <c r="E263" s="36" t="n">
        <f aca="false">(1+Premissas!$C$57)^C263</f>
        <v>3.21868667439494</v>
      </c>
      <c r="F263" s="16" t="n">
        <f aca="false">D263*E263</f>
        <v>0</v>
      </c>
      <c r="G263" s="16" t="n">
        <f aca="false">($A263=Premissas!$C$25)*Premissas!$C$34*Premissas!$C$14*(1+Premissas!$C$57)^C263</f>
        <v>0</v>
      </c>
      <c r="H263" s="16" t="n">
        <f aca="false">IF(AND($A263&gt;Premissas!$C$25,$A263&lt;Premissas!$C$27),Premissas!$C$35/MAX(1,Premissas!$C$26),0)</f>
        <v>0</v>
      </c>
      <c r="I263" s="35" t="n">
        <f aca="false">IF(AND($A263&gt;Premissas!$C$25,((YEAR($A263)-YEAR(Premissas!$C$25))*12+MONTH($A263)-MONTH(Premissas!$C$25))&lt;=Premissas!$C$32),((YEAR($A263)-YEAR(Premissas!$C$25))*12+MONTH($A263)-MONTH(Premissas!$C$25)),0)</f>
        <v>0</v>
      </c>
      <c r="J263" s="16" t="n">
        <f aca="false">IF(I263&gt;0,N262*(1+Premissas!$C$59),0)</f>
        <v>0</v>
      </c>
      <c r="K263" s="16" t="n">
        <f aca="false">J263*Premissas!$C$58</f>
        <v>0</v>
      </c>
      <c r="L263" s="16" t="n">
        <f aca="false">IF(I263&gt;0,J263/(Premissas!$C$32-I263+1),0)</f>
        <v>0</v>
      </c>
      <c r="M263" s="16" t="n">
        <f aca="false">K263+L263</f>
        <v>0</v>
      </c>
      <c r="N263" s="16" t="n">
        <f aca="false">IF($A263=Premissas!$C$25,Premissas!$C$13*E263,IF(I263&gt;0,J263-L263,0))</f>
        <v>0</v>
      </c>
      <c r="O263" s="37" t="n">
        <f aca="false">IF($A263&gt;=Premissas!$C$27,Premissas!$C$39*IF(((YEAR($A263)-YEAR(Premissas!$C$27))*12+MONTH($A263)-MONTH(Premissas!$C$27))&lt;Premissas!$C$41,Premissas!$C$42,1),0)</f>
        <v>0.62</v>
      </c>
      <c r="P263" s="16" t="n">
        <f aca="false">O263*Premissas!$C$38*Premissas!$C$40*(1+Premissas!$C$60)^((YEAR($A263)-YEAR(Premissas!$C$19))*12+MONTH($A263)-MONTH(Premissas!$C$19))</f>
        <v>9941.62952606026</v>
      </c>
      <c r="Q263" s="16" t="n">
        <f aca="false">P263*Premissas!$C$43</f>
        <v>1590.66072416964</v>
      </c>
      <c r="R263" s="16" t="n">
        <f aca="false">P263*Premissas!$C$44</f>
        <v>1988.32590521205</v>
      </c>
      <c r="S263" s="16" t="n">
        <f aca="false">IF($A263&gt;=Premissas!$C$25,Premissas!$C$45*(1+Premissas!$C$60)^((YEAR($A263)-YEAR(Premissas!$C$19))*12+MONTH($A263)-MONTH(Premissas!$C$19)),0)</f>
        <v>1742.92242742992</v>
      </c>
      <c r="T263" s="16" t="n">
        <f aca="false">IF($A263&gt;=Premissas!$C$27,Premissas!$C$46*(1+Premissas!$C$60)^((YEAR($A263)-YEAR(Premissas!$C$19))*12+MONTH($A263)-MONTH(Premissas!$C$19)),0)</f>
        <v>697.168970971968</v>
      </c>
      <c r="U263" s="16" t="n">
        <f aca="false">IF($A263&gt;=Premissas!$C$27,Premissas!$C$47*(1+Premissas!$C$60)^((YEAR($A263)-YEAR(Premissas!$C$19))*12+MONTH($A263)-MONTH(Premissas!$C$19)),0)</f>
        <v>348.584485485984</v>
      </c>
      <c r="V263" s="16" t="n">
        <f aca="false">IF($A263&gt;=Premissas!$C$27,MAX(0,P263-Q263-R263-S263)*Premissas!$C$49,0)</f>
        <v>1270.42312904338</v>
      </c>
      <c r="W263" s="16" t="n">
        <f aca="false">P263-Q263-R263-S263-T263-U263-V263</f>
        <v>2303.54388374732</v>
      </c>
      <c r="X263" s="16" t="n">
        <f aca="false">W263-F263-G263-H263-M263</f>
        <v>2303.54388374732</v>
      </c>
      <c r="Y263" s="16" t="n">
        <f aca="false">Y262+X263</f>
        <v>-515604.804361505</v>
      </c>
      <c r="Z263" s="16" t="n">
        <f aca="false">Premissas!$C$14*(1+Premissas!$C$57)^((YEAR(Premissas!$C$19)-YEAR(Premissas!$C$18))*12+MONTH(Premissas!$C$19)-MONTH(Premissas!$C$18))*(1+Premissas!$C$61)^((YEAR($A263)-YEAR(Premissas!$C$19))*12+MONTH($A263)-MONTH(Premissas!$C$19))</f>
        <v>1365201.58486937</v>
      </c>
      <c r="AA263" s="16" t="n">
        <f aca="false">IF($A263&gt;=Premissas!$C$25,Z263*(1-Premissas!$C$53)-N263-Premissas!$C$54*MAX(0,Z263*(1-Premissas!$C$53)-(Premissas!$C$14*(1+Premissas!$C$57)^((YEAR(Premissas!$C$25)-YEAR(Premissas!$C$18))*12+MONTH(Premissas!$C$25)-MONTH(Premissas!$C$18))*(1+Premissas!$C$34))),"")</f>
        <v>1171998.27582229</v>
      </c>
      <c r="AB263" s="16" t="n">
        <f aca="false">IF($A263&gt;=Premissas!$C$25,Y263+AA263,"")</f>
        <v>656393.471460784</v>
      </c>
      <c r="AC263" s="20" t="n">
        <f aca="false">IF(AND($A263&gt;=Premissas!$C$27,W263&gt;=M263),$A263,"")</f>
        <v>54240</v>
      </c>
      <c r="AD263" s="20" t="str">
        <f aca="false">IF(AND($A263&gt;=Premissas!$C$27,Y263&gt;=0),$A263,"")</f>
        <v/>
      </c>
      <c r="AE263" s="20" t="n">
        <f aca="false">IF(AND($A263&gt;=Premissas!$C$25,N(AB263)&gt;=0),$A263,"")</f>
        <v>54240</v>
      </c>
    </row>
    <row r="264" customFormat="false" ht="15" hidden="false" customHeight="false" outlineLevel="0" collapsed="false">
      <c r="A264" s="20" t="n">
        <f aca="false">DATE(YEAR(A263),MONTH(A263)+1,1)</f>
        <v>54271</v>
      </c>
      <c r="B264" s="5" t="str">
        <f aca="false">IF($A264&lt;Premissas!$C$25,"Obra",IF($A264=Premissas!$C$25,"Chaves",IF($A264&lt;Premissas!$C$27,"Mobiliando","Airbnb")))</f>
        <v>Airbnb</v>
      </c>
      <c r="C264" s="35" t="n">
        <f aca="false">(YEAR($A264)-YEAR(Premissas!$C$18))*12+MONTH($A264)-MONTH(Premissas!$C$18)</f>
        <v>263</v>
      </c>
      <c r="D264" s="16" t="n">
        <f aca="false">($A264=Premissas!$C$19)*Premissas!$C$8+(($A264=EDATE(Premissas!$C$19,1))+($A264=EDATE(Premissas!$C$19,2)))*Premissas!$C$9+AND($A264&gt;=Premissas!$C$20,$A264&lt;EDATE(Premissas!$C$20,Premissas!$C$21))*Premissas!$C$10+(($A264=Premissas!$C$22)+($A264=Premissas!$C$23)+($A264=Premissas!$C$24))*Premissas!$C$11+($A264=Premissas!$C$25)*Premissas!$C$12</f>
        <v>0</v>
      </c>
      <c r="E264" s="36" t="n">
        <f aca="false">(1+Premissas!$C$57)^C264</f>
        <v>3.23307967211113</v>
      </c>
      <c r="F264" s="16" t="n">
        <f aca="false">D264*E264</f>
        <v>0</v>
      </c>
      <c r="G264" s="16" t="n">
        <f aca="false">($A264=Premissas!$C$25)*Premissas!$C$34*Premissas!$C$14*(1+Premissas!$C$57)^C264</f>
        <v>0</v>
      </c>
      <c r="H264" s="16" t="n">
        <f aca="false">IF(AND($A264&gt;Premissas!$C$25,$A264&lt;Premissas!$C$27),Premissas!$C$35/MAX(1,Premissas!$C$26),0)</f>
        <v>0</v>
      </c>
      <c r="I264" s="35" t="n">
        <f aca="false">IF(AND($A264&gt;Premissas!$C$25,((YEAR($A264)-YEAR(Premissas!$C$25))*12+MONTH($A264)-MONTH(Premissas!$C$25))&lt;=Premissas!$C$32),((YEAR($A264)-YEAR(Premissas!$C$25))*12+MONTH($A264)-MONTH(Premissas!$C$25)),0)</f>
        <v>0</v>
      </c>
      <c r="J264" s="16" t="n">
        <f aca="false">IF(I264&gt;0,N263*(1+Premissas!$C$59),0)</f>
        <v>0</v>
      </c>
      <c r="K264" s="16" t="n">
        <f aca="false">J264*Premissas!$C$58</f>
        <v>0</v>
      </c>
      <c r="L264" s="16" t="n">
        <f aca="false">IF(I264&gt;0,J264/(Premissas!$C$32-I264+1),0)</f>
        <v>0</v>
      </c>
      <c r="M264" s="16" t="n">
        <f aca="false">K264+L264</f>
        <v>0</v>
      </c>
      <c r="N264" s="16" t="n">
        <f aca="false">IF($A264=Premissas!$C$25,Premissas!$C$13*E264,IF(I264&gt;0,J264-L264,0))</f>
        <v>0</v>
      </c>
      <c r="O264" s="37" t="n">
        <f aca="false">IF($A264&gt;=Premissas!$C$27,Premissas!$C$39*IF(((YEAR($A264)-YEAR(Premissas!$C$27))*12+MONTH($A264)-MONTH(Premissas!$C$27))&lt;Premissas!$C$41,Premissas!$C$42,1),0)</f>
        <v>0.62</v>
      </c>
      <c r="P264" s="16" t="n">
        <f aca="false">O264*Premissas!$C$38*Premissas!$C$40*(1+Premissas!$C$60)^((YEAR($A264)-YEAR(Premissas!$C$19))*12+MONTH($A264)-MONTH(Premissas!$C$19))</f>
        <v>9974.17583413961</v>
      </c>
      <c r="Q264" s="16" t="n">
        <f aca="false">P264*Premissas!$C$43</f>
        <v>1595.86813346234</v>
      </c>
      <c r="R264" s="16" t="n">
        <f aca="false">P264*Premissas!$C$44</f>
        <v>1994.83516682792</v>
      </c>
      <c r="S264" s="16" t="n">
        <f aca="false">IF($A264&gt;=Premissas!$C$25,Premissas!$C$45*(1+Premissas!$C$60)^((YEAR($A264)-YEAR(Premissas!$C$19))*12+MONTH($A264)-MONTH(Premissas!$C$19)),0)</f>
        <v>1748.62830191788</v>
      </c>
      <c r="T264" s="16" t="n">
        <f aca="false">IF($A264&gt;=Premissas!$C$27,Premissas!$C$46*(1+Premissas!$C$60)^((YEAR($A264)-YEAR(Premissas!$C$19))*12+MONTH($A264)-MONTH(Premissas!$C$19)),0)</f>
        <v>699.451320767153</v>
      </c>
      <c r="U264" s="16" t="n">
        <f aca="false">IF($A264&gt;=Premissas!$C$27,Premissas!$C$47*(1+Premissas!$C$60)^((YEAR($A264)-YEAR(Premissas!$C$19))*12+MONTH($A264)-MONTH(Premissas!$C$19)),0)</f>
        <v>349.725660383577</v>
      </c>
      <c r="V264" s="16" t="n">
        <f aca="false">IF($A264&gt;=Premissas!$C$27,MAX(0,P264-Q264-R264-S264)*Premissas!$C$49,0)</f>
        <v>1274.58216378115</v>
      </c>
      <c r="W264" s="16" t="n">
        <f aca="false">P264-Q264-R264-S264-T264-U264-V264</f>
        <v>2311.08508699958</v>
      </c>
      <c r="X264" s="16" t="n">
        <f aca="false">W264-F264-G264-H264-M264</f>
        <v>2311.08508699958</v>
      </c>
      <c r="Y264" s="16" t="n">
        <f aca="false">Y263+X264</f>
        <v>-513293.719274506</v>
      </c>
      <c r="Z264" s="16" t="n">
        <f aca="false">Premissas!$C$14*(1+Premissas!$C$57)^((YEAR(Premissas!$C$19)-YEAR(Premissas!$C$18))*12+MONTH(Premissas!$C$19)-MONTH(Premissas!$C$18))*(1+Premissas!$C$61)^((YEAR($A264)-YEAR(Premissas!$C$19))*12+MONTH($A264)-MONTH(Premissas!$C$19))</f>
        <v>1370763.58511576</v>
      </c>
      <c r="AA264" s="16" t="n">
        <f aca="false">IF($A264&gt;=Premissas!$C$25,Z264*(1-Premissas!$C$53)-N264-Premissas!$C$54*MAX(0,Z264*(1-Premissas!$C$53)-(Premissas!$C$14*(1+Premissas!$C$57)^((YEAR(Premissas!$C$25)-YEAR(Premissas!$C$18))*12+MONTH(Premissas!$C$25)-MONTH(Premissas!$C$18))*(1+Premissas!$C$34))),"")</f>
        <v>1176442.31401916</v>
      </c>
      <c r="AB264" s="16" t="n">
        <f aca="false">IF($A264&gt;=Premissas!$C$25,Y264+AA264,"")</f>
        <v>663148.59474465</v>
      </c>
      <c r="AC264" s="20" t="n">
        <f aca="false">IF(AND($A264&gt;=Premissas!$C$27,W264&gt;=M264),$A264,"")</f>
        <v>54271</v>
      </c>
      <c r="AD264" s="20" t="str">
        <f aca="false">IF(AND($A264&gt;=Premissas!$C$27,Y264&gt;=0),$A264,"")</f>
        <v/>
      </c>
      <c r="AE264" s="20" t="n">
        <f aca="false">IF(AND($A264&gt;=Premissas!$C$25,N(AB264)&gt;=0),$A264,"")</f>
        <v>54271</v>
      </c>
    </row>
    <row r="265" customFormat="false" ht="15" hidden="false" customHeight="false" outlineLevel="0" collapsed="false">
      <c r="A265" s="20" t="n">
        <f aca="false">DATE(YEAR(A264),MONTH(A264)+1,1)</f>
        <v>54302</v>
      </c>
      <c r="B265" s="5" t="str">
        <f aca="false">IF($A265&lt;Premissas!$C$25,"Obra",IF($A265=Premissas!$C$25,"Chaves",IF($A265&lt;Premissas!$C$27,"Mobiliando","Airbnb")))</f>
        <v>Airbnb</v>
      </c>
      <c r="C265" s="35" t="n">
        <f aca="false">(YEAR($A265)-YEAR(Premissas!$C$18))*12+MONTH($A265)-MONTH(Premissas!$C$18)</f>
        <v>264</v>
      </c>
      <c r="D265" s="16" t="n">
        <f aca="false">($A265=Premissas!$C$19)*Premissas!$C$8+(($A265=EDATE(Premissas!$C$19,1))+($A265=EDATE(Premissas!$C$19,2)))*Premissas!$C$9+AND($A265&gt;=Premissas!$C$20,$A265&lt;EDATE(Premissas!$C$20,Premissas!$C$21))*Premissas!$C$10+(($A265=Premissas!$C$22)+($A265=Premissas!$C$23)+($A265=Premissas!$C$24))*Premissas!$C$11+($A265=Premissas!$C$25)*Premissas!$C$12</f>
        <v>0</v>
      </c>
      <c r="E265" s="36" t="n">
        <f aca="false">(1+Premissas!$C$57)^C265</f>
        <v>3.24753703097963</v>
      </c>
      <c r="F265" s="16" t="n">
        <f aca="false">D265*E265</f>
        <v>0</v>
      </c>
      <c r="G265" s="16" t="n">
        <f aca="false">($A265=Premissas!$C$25)*Premissas!$C$34*Premissas!$C$14*(1+Premissas!$C$57)^C265</f>
        <v>0</v>
      </c>
      <c r="H265" s="16" t="n">
        <f aca="false">IF(AND($A265&gt;Premissas!$C$25,$A265&lt;Premissas!$C$27),Premissas!$C$35/MAX(1,Premissas!$C$26),0)</f>
        <v>0</v>
      </c>
      <c r="I265" s="35" t="n">
        <f aca="false">IF(AND($A265&gt;Premissas!$C$25,((YEAR($A265)-YEAR(Premissas!$C$25))*12+MONTH($A265)-MONTH(Premissas!$C$25))&lt;=Premissas!$C$32),((YEAR($A265)-YEAR(Premissas!$C$25))*12+MONTH($A265)-MONTH(Premissas!$C$25)),0)</f>
        <v>0</v>
      </c>
      <c r="J265" s="16" t="n">
        <f aca="false">IF(I265&gt;0,N264*(1+Premissas!$C$59),0)</f>
        <v>0</v>
      </c>
      <c r="K265" s="16" t="n">
        <f aca="false">J265*Premissas!$C$58</f>
        <v>0</v>
      </c>
      <c r="L265" s="16" t="n">
        <f aca="false">IF(I265&gt;0,J265/(Premissas!$C$32-I265+1),0)</f>
        <v>0</v>
      </c>
      <c r="M265" s="16" t="n">
        <f aca="false">K265+L265</f>
        <v>0</v>
      </c>
      <c r="N265" s="16" t="n">
        <f aca="false">IF($A265=Premissas!$C$25,Premissas!$C$13*E265,IF(I265&gt;0,J265-L265,0))</f>
        <v>0</v>
      </c>
      <c r="O265" s="37" t="n">
        <f aca="false">IF($A265&gt;=Premissas!$C$27,Premissas!$C$39*IF(((YEAR($A265)-YEAR(Premissas!$C$27))*12+MONTH($A265)-MONTH(Premissas!$C$27))&lt;Premissas!$C$41,Premissas!$C$42,1),0)</f>
        <v>0.62</v>
      </c>
      <c r="P265" s="16" t="n">
        <f aca="false">O265*Premissas!$C$38*Premissas!$C$40*(1+Premissas!$C$60)^((YEAR($A265)-YEAR(Premissas!$C$19))*12+MONTH($A265)-MONTH(Premissas!$C$19))</f>
        <v>10006.8286903625</v>
      </c>
      <c r="Q265" s="16" t="n">
        <f aca="false">P265*Premissas!$C$43</f>
        <v>1601.092590458</v>
      </c>
      <c r="R265" s="16" t="n">
        <f aca="false">P265*Premissas!$C$44</f>
        <v>2001.3657380725</v>
      </c>
      <c r="S265" s="16" t="n">
        <f aca="false">IF($A265&gt;=Premissas!$C$25,Premissas!$C$45*(1+Premissas!$C$60)^((YEAR($A265)-YEAR(Premissas!$C$19))*12+MONTH($A265)-MONTH(Premissas!$C$19)),0)</f>
        <v>1754.35285595415</v>
      </c>
      <c r="T265" s="16" t="n">
        <f aca="false">IF($A265&gt;=Premissas!$C$27,Premissas!$C$46*(1+Premissas!$C$60)^((YEAR($A265)-YEAR(Premissas!$C$19))*12+MONTH($A265)-MONTH(Premissas!$C$19)),0)</f>
        <v>701.74114238166</v>
      </c>
      <c r="U265" s="16" t="n">
        <f aca="false">IF($A265&gt;=Premissas!$C$27,Premissas!$C$47*(1+Premissas!$C$60)^((YEAR($A265)-YEAR(Premissas!$C$19))*12+MONTH($A265)-MONTH(Premissas!$C$19)),0)</f>
        <v>350.87057119083</v>
      </c>
      <c r="V265" s="16" t="n">
        <f aca="false">IF($A265&gt;=Premissas!$C$27,MAX(0,P265-Q265-R265-S265)*Premissas!$C$49,0)</f>
        <v>1278.7548141164</v>
      </c>
      <c r="W265" s="16" t="n">
        <f aca="false">P265-Q265-R265-S265-T265-U265-V265</f>
        <v>2318.65097818894</v>
      </c>
      <c r="X265" s="16" t="n">
        <f aca="false">W265-F265-G265-H265-M265</f>
        <v>2318.65097818894</v>
      </c>
      <c r="Y265" s="16" t="n">
        <f aca="false">Y264+X265</f>
        <v>-510975.068296317</v>
      </c>
      <c r="Z265" s="16" t="n">
        <f aca="false">Premissas!$C$14*(1+Premissas!$C$57)^((YEAR(Premissas!$C$19)-YEAR(Premissas!$C$18))*12+MONTH(Premissas!$C$19)-MONTH(Premissas!$C$18))*(1+Premissas!$C$61)^((YEAR($A265)-YEAR(Premissas!$C$19))*12+MONTH($A265)-MONTH(Premissas!$C$19))</f>
        <v>1376348.24563964</v>
      </c>
      <c r="AA265" s="16" t="n">
        <f aca="false">IF($A265&gt;=Premissas!$C$25,Z265*(1-Premissas!$C$53)-N265-Premissas!$C$54*MAX(0,Z265*(1-Premissas!$C$53)-(Premissas!$C$14*(1+Premissas!$C$57)^((YEAR(Premissas!$C$25)-YEAR(Premissas!$C$18))*12+MONTH(Premissas!$C$25)-MONTH(Premissas!$C$18))*(1+Premissas!$C$34))),"")</f>
        <v>1180904.45777773</v>
      </c>
      <c r="AB265" s="16" t="n">
        <f aca="false">IF($A265&gt;=Premissas!$C$25,Y265+AA265,"")</f>
        <v>669929.389481418</v>
      </c>
      <c r="AC265" s="20" t="n">
        <f aca="false">IF(AND($A265&gt;=Premissas!$C$27,W265&gt;=M265),$A265,"")</f>
        <v>54302</v>
      </c>
      <c r="AD265" s="20" t="str">
        <f aca="false">IF(AND($A265&gt;=Premissas!$C$27,Y265&gt;=0),$A265,"")</f>
        <v/>
      </c>
      <c r="AE265" s="20" t="n">
        <f aca="false">IF(AND($A265&gt;=Premissas!$C$25,N(AB265)&gt;=0),$A265,"")</f>
        <v>54302</v>
      </c>
    </row>
    <row r="266" customFormat="false" ht="15" hidden="false" customHeight="false" outlineLevel="0" collapsed="false">
      <c r="A266" s="20" t="n">
        <f aca="false">DATE(YEAR(A265),MONTH(A265)+1,1)</f>
        <v>54332</v>
      </c>
      <c r="B266" s="5" t="str">
        <f aca="false">IF($A266&lt;Premissas!$C$25,"Obra",IF($A266=Premissas!$C$25,"Chaves",IF($A266&lt;Premissas!$C$27,"Mobiliando","Airbnb")))</f>
        <v>Airbnb</v>
      </c>
      <c r="C266" s="35" t="n">
        <f aca="false">(YEAR($A266)-YEAR(Premissas!$C$18))*12+MONTH($A266)-MONTH(Premissas!$C$18)</f>
        <v>265</v>
      </c>
      <c r="D266" s="16" t="n">
        <f aca="false">($A266=Premissas!$C$19)*Premissas!$C$8+(($A266=EDATE(Premissas!$C$19,1))+($A266=EDATE(Premissas!$C$19,2)))*Premissas!$C$9+AND($A266&gt;=Premissas!$C$20,$A266&lt;EDATE(Premissas!$C$20,Premissas!$C$21))*Premissas!$C$10+(($A266=Premissas!$C$22)+($A266=Premissas!$C$23)+($A266=Premissas!$C$24))*Premissas!$C$11+($A266=Premissas!$C$25)*Premissas!$C$12</f>
        <v>0</v>
      </c>
      <c r="E266" s="36" t="n">
        <f aca="false">(1+Premissas!$C$57)^C266</f>
        <v>3.26205903880412</v>
      </c>
      <c r="F266" s="16" t="n">
        <f aca="false">D266*E266</f>
        <v>0</v>
      </c>
      <c r="G266" s="16" t="n">
        <f aca="false">($A266=Premissas!$C$25)*Premissas!$C$34*Premissas!$C$14*(1+Premissas!$C$57)^C266</f>
        <v>0</v>
      </c>
      <c r="H266" s="16" t="n">
        <f aca="false">IF(AND($A266&gt;Premissas!$C$25,$A266&lt;Premissas!$C$27),Premissas!$C$35/MAX(1,Premissas!$C$26),0)</f>
        <v>0</v>
      </c>
      <c r="I266" s="35" t="n">
        <f aca="false">IF(AND($A266&gt;Premissas!$C$25,((YEAR($A266)-YEAR(Premissas!$C$25))*12+MONTH($A266)-MONTH(Premissas!$C$25))&lt;=Premissas!$C$32),((YEAR($A266)-YEAR(Premissas!$C$25))*12+MONTH($A266)-MONTH(Premissas!$C$25)),0)</f>
        <v>0</v>
      </c>
      <c r="J266" s="16" t="n">
        <f aca="false">IF(I266&gt;0,N265*(1+Premissas!$C$59),0)</f>
        <v>0</v>
      </c>
      <c r="K266" s="16" t="n">
        <f aca="false">J266*Premissas!$C$58</f>
        <v>0</v>
      </c>
      <c r="L266" s="16" t="n">
        <f aca="false">IF(I266&gt;0,J266/(Premissas!$C$32-I266+1),0)</f>
        <v>0</v>
      </c>
      <c r="M266" s="16" t="n">
        <f aca="false">K266+L266</f>
        <v>0</v>
      </c>
      <c r="N266" s="16" t="n">
        <f aca="false">IF($A266=Premissas!$C$25,Premissas!$C$13*E266,IF(I266&gt;0,J266-L266,0))</f>
        <v>0</v>
      </c>
      <c r="O266" s="37" t="n">
        <f aca="false">IF($A266&gt;=Premissas!$C$27,Premissas!$C$39*IF(((YEAR($A266)-YEAR(Premissas!$C$27))*12+MONTH($A266)-MONTH(Premissas!$C$27))&lt;Premissas!$C$41,Premissas!$C$42,1),0)</f>
        <v>0.62</v>
      </c>
      <c r="P266" s="16" t="n">
        <f aca="false">O266*Premissas!$C$38*Premissas!$C$40*(1+Premissas!$C$60)^((YEAR($A266)-YEAR(Premissas!$C$19))*12+MONTH($A266)-MONTH(Premissas!$C$19))</f>
        <v>10039.5884435398</v>
      </c>
      <c r="Q266" s="16" t="n">
        <f aca="false">P266*Premissas!$C$43</f>
        <v>1606.33415096636</v>
      </c>
      <c r="R266" s="16" t="n">
        <f aca="false">P266*Premissas!$C$44</f>
        <v>2007.91768870795</v>
      </c>
      <c r="S266" s="16" t="n">
        <f aca="false">IF($A266&gt;=Premissas!$C$25,Premissas!$C$45*(1+Premissas!$C$60)^((YEAR($A266)-YEAR(Premissas!$C$19))*12+MONTH($A266)-MONTH(Premissas!$C$19)),0)</f>
        <v>1760.0961506907</v>
      </c>
      <c r="T266" s="16" t="n">
        <f aca="false">IF($A266&gt;=Premissas!$C$27,Premissas!$C$46*(1+Premissas!$C$60)^((YEAR($A266)-YEAR(Premissas!$C$19))*12+MONTH($A266)-MONTH(Premissas!$C$19)),0)</f>
        <v>704.038460276281</v>
      </c>
      <c r="U266" s="16" t="n">
        <f aca="false">IF($A266&gt;=Premissas!$C$27,Premissas!$C$47*(1+Premissas!$C$60)^((YEAR($A266)-YEAR(Premissas!$C$19))*12+MONTH($A266)-MONTH(Premissas!$C$19)),0)</f>
        <v>352.019230138141</v>
      </c>
      <c r="V266" s="16" t="n">
        <f aca="false">IF($A266&gt;=Premissas!$C$27,MAX(0,P266-Q266-R266-S266)*Premissas!$C$49,0)</f>
        <v>1282.94112462306</v>
      </c>
      <c r="W266" s="16" t="n">
        <f aca="false">P266-Q266-R266-S266-T266-U266-V266</f>
        <v>2326.24163813727</v>
      </c>
      <c r="X266" s="16" t="n">
        <f aca="false">W266-F266-G266-H266-M266</f>
        <v>2326.24163813727</v>
      </c>
      <c r="Y266" s="16" t="n">
        <f aca="false">Y265+X266</f>
        <v>-508648.826658179</v>
      </c>
      <c r="Z266" s="16" t="n">
        <f aca="false">Premissas!$C$14*(1+Premissas!$C$57)^((YEAR(Premissas!$C$19)-YEAR(Premissas!$C$18))*12+MONTH(Premissas!$C$19)-MONTH(Premissas!$C$18))*(1+Premissas!$C$61)^((YEAR($A266)-YEAR(Premissas!$C$19))*12+MONTH($A266)-MONTH(Premissas!$C$19))</f>
        <v>1381955.65876178</v>
      </c>
      <c r="AA266" s="16" t="n">
        <f aca="false">IF($A266&gt;=Premissas!$C$25,Z266*(1-Premissas!$C$53)-N266-Premissas!$C$54*MAX(0,Z266*(1-Premissas!$C$53)-(Premissas!$C$14*(1+Premissas!$C$57)^((YEAR(Premissas!$C$25)-YEAR(Premissas!$C$18))*12+MONTH(Premissas!$C$25)-MONTH(Premissas!$C$18))*(1+Premissas!$C$34))),"")</f>
        <v>1185384.78086233</v>
      </c>
      <c r="AB266" s="16" t="n">
        <f aca="false">IF($A266&gt;=Premissas!$C$25,Y266+AA266,"")</f>
        <v>676735.954204148</v>
      </c>
      <c r="AC266" s="20" t="n">
        <f aca="false">IF(AND($A266&gt;=Premissas!$C$27,W266&gt;=M266),$A266,"")</f>
        <v>54332</v>
      </c>
      <c r="AD266" s="20" t="str">
        <f aca="false">IF(AND($A266&gt;=Premissas!$C$27,Y266&gt;=0),$A266,"")</f>
        <v/>
      </c>
      <c r="AE266" s="20" t="n">
        <f aca="false">IF(AND($A266&gt;=Premissas!$C$25,N(AB266)&gt;=0),$A266,"")</f>
        <v>54332</v>
      </c>
    </row>
    <row r="267" customFormat="false" ht="15" hidden="false" customHeight="false" outlineLevel="0" collapsed="false">
      <c r="A267" s="20" t="n">
        <f aca="false">DATE(YEAR(A266),MONTH(A266)+1,1)</f>
        <v>54363</v>
      </c>
      <c r="B267" s="5" t="str">
        <f aca="false">IF($A267&lt;Premissas!$C$25,"Obra",IF($A267=Premissas!$C$25,"Chaves",IF($A267&lt;Premissas!$C$27,"Mobiliando","Airbnb")))</f>
        <v>Airbnb</v>
      </c>
      <c r="C267" s="35" t="n">
        <f aca="false">(YEAR($A267)-YEAR(Premissas!$C$18))*12+MONTH($A267)-MONTH(Premissas!$C$18)</f>
        <v>266</v>
      </c>
      <c r="D267" s="16" t="n">
        <f aca="false">($A267=Premissas!$C$19)*Premissas!$C$8+(($A267=EDATE(Premissas!$C$19,1))+($A267=EDATE(Premissas!$C$19,2)))*Premissas!$C$9+AND($A267&gt;=Premissas!$C$20,$A267&lt;EDATE(Premissas!$C$20,Premissas!$C$21))*Premissas!$C$10+(($A267=Premissas!$C$22)+($A267=Premissas!$C$23)+($A267=Premissas!$C$24))*Premissas!$C$11+($A267=Premissas!$C$25)*Premissas!$C$12</f>
        <v>0</v>
      </c>
      <c r="E267" s="36" t="n">
        <f aca="false">(1+Premissas!$C$57)^C267</f>
        <v>3.27664598467527</v>
      </c>
      <c r="F267" s="16" t="n">
        <f aca="false">D267*E267</f>
        <v>0</v>
      </c>
      <c r="G267" s="16" t="n">
        <f aca="false">($A267=Premissas!$C$25)*Premissas!$C$34*Premissas!$C$14*(1+Premissas!$C$57)^C267</f>
        <v>0</v>
      </c>
      <c r="H267" s="16" t="n">
        <f aca="false">IF(AND($A267&gt;Premissas!$C$25,$A267&lt;Premissas!$C$27),Premissas!$C$35/MAX(1,Premissas!$C$26),0)</f>
        <v>0</v>
      </c>
      <c r="I267" s="35" t="n">
        <f aca="false">IF(AND($A267&gt;Premissas!$C$25,((YEAR($A267)-YEAR(Premissas!$C$25))*12+MONTH($A267)-MONTH(Premissas!$C$25))&lt;=Premissas!$C$32),((YEAR($A267)-YEAR(Premissas!$C$25))*12+MONTH($A267)-MONTH(Premissas!$C$25)),0)</f>
        <v>0</v>
      </c>
      <c r="J267" s="16" t="n">
        <f aca="false">IF(I267&gt;0,N266*(1+Premissas!$C$59),0)</f>
        <v>0</v>
      </c>
      <c r="K267" s="16" t="n">
        <f aca="false">J267*Premissas!$C$58</f>
        <v>0</v>
      </c>
      <c r="L267" s="16" t="n">
        <f aca="false">IF(I267&gt;0,J267/(Premissas!$C$32-I267+1),0)</f>
        <v>0</v>
      </c>
      <c r="M267" s="16" t="n">
        <f aca="false">K267+L267</f>
        <v>0</v>
      </c>
      <c r="N267" s="16" t="n">
        <f aca="false">IF($A267=Premissas!$C$25,Premissas!$C$13*E267,IF(I267&gt;0,J267-L267,0))</f>
        <v>0</v>
      </c>
      <c r="O267" s="37" t="n">
        <f aca="false">IF($A267&gt;=Premissas!$C$27,Premissas!$C$39*IF(((YEAR($A267)-YEAR(Premissas!$C$27))*12+MONTH($A267)-MONTH(Premissas!$C$27))&lt;Premissas!$C$41,Premissas!$C$42,1),0)</f>
        <v>0.62</v>
      </c>
      <c r="P267" s="16" t="n">
        <f aca="false">O267*Premissas!$C$38*Premissas!$C$40*(1+Premissas!$C$60)^((YEAR($A267)-YEAR(Premissas!$C$19))*12+MONTH($A267)-MONTH(Premissas!$C$19))</f>
        <v>10072.4554436243</v>
      </c>
      <c r="Q267" s="16" t="n">
        <f aca="false">P267*Premissas!$C$43</f>
        <v>1611.59287097989</v>
      </c>
      <c r="R267" s="16" t="n">
        <f aca="false">P267*Premissas!$C$44</f>
        <v>2014.49108872486</v>
      </c>
      <c r="S267" s="16" t="n">
        <f aca="false">IF($A267&gt;=Premissas!$C$25,Premissas!$C$45*(1+Premissas!$C$60)^((YEAR($A267)-YEAR(Premissas!$C$19))*12+MONTH($A267)-MONTH(Premissas!$C$19)),0)</f>
        <v>1765.85824747971</v>
      </c>
      <c r="T267" s="16" t="n">
        <f aca="false">IF($A267&gt;=Premissas!$C$27,Premissas!$C$46*(1+Premissas!$C$60)^((YEAR($A267)-YEAR(Premissas!$C$19))*12+MONTH($A267)-MONTH(Premissas!$C$19)),0)</f>
        <v>706.343298991886</v>
      </c>
      <c r="U267" s="16" t="n">
        <f aca="false">IF($A267&gt;=Premissas!$C$27,Premissas!$C$47*(1+Premissas!$C$60)^((YEAR($A267)-YEAR(Premissas!$C$19))*12+MONTH($A267)-MONTH(Premissas!$C$19)),0)</f>
        <v>353.171649495943</v>
      </c>
      <c r="V267" s="16" t="n">
        <f aca="false">IF($A267&gt;=Premissas!$C$27,MAX(0,P267-Q267-R267-S267)*Premissas!$C$49,0)</f>
        <v>1287.14114002095</v>
      </c>
      <c r="W267" s="16" t="n">
        <f aca="false">P267-Q267-R267-S267-T267-U267-V267</f>
        <v>2333.85714793105</v>
      </c>
      <c r="X267" s="16" t="n">
        <f aca="false">W267-F267-G267-H267-M267</f>
        <v>2333.85714793105</v>
      </c>
      <c r="Y267" s="16" t="n">
        <f aca="false">Y266+X267</f>
        <v>-506314.969510248</v>
      </c>
      <c r="Z267" s="16" t="n">
        <f aca="false">Premissas!$C$14*(1+Premissas!$C$57)^((YEAR(Premissas!$C$19)-YEAR(Premissas!$C$18))*12+MONTH(Premissas!$C$19)-MONTH(Premissas!$C$18))*(1+Premissas!$C$61)^((YEAR($A267)-YEAR(Premissas!$C$19))*12+MONTH($A267)-MONTH(Premissas!$C$19))</f>
        <v>1387585.91717909</v>
      </c>
      <c r="AA267" s="16" t="n">
        <f aca="false">IF($A267&gt;=Premissas!$C$25,Z267*(1-Premissas!$C$53)-N267-Premissas!$C$54*MAX(0,Z267*(1-Premissas!$C$53)-(Premissas!$C$14*(1+Premissas!$C$57)^((YEAR(Premissas!$C$25)-YEAR(Premissas!$C$18))*12+MONTH(Premissas!$C$25)-MONTH(Premissas!$C$18))*(1+Premissas!$C$34))),"")</f>
        <v>1189883.35733776</v>
      </c>
      <c r="AB267" s="16" t="n">
        <f aca="false">IF($A267&gt;=Premissas!$C$25,Y267+AA267,"")</f>
        <v>683568.387827508</v>
      </c>
      <c r="AC267" s="20" t="n">
        <f aca="false">IF(AND($A267&gt;=Premissas!$C$27,W267&gt;=M267),$A267,"")</f>
        <v>54363</v>
      </c>
      <c r="AD267" s="20" t="str">
        <f aca="false">IF(AND($A267&gt;=Premissas!$C$27,Y267&gt;=0),$A267,"")</f>
        <v/>
      </c>
      <c r="AE267" s="20" t="n">
        <f aca="false">IF(AND($A267&gt;=Premissas!$C$25,N(AB267)&gt;=0),$A267,"")</f>
        <v>54363</v>
      </c>
    </row>
    <row r="268" customFormat="false" ht="15" hidden="false" customHeight="false" outlineLevel="0" collapsed="false">
      <c r="A268" s="20" t="n">
        <f aca="false">DATE(YEAR(A267),MONTH(A267)+1,1)</f>
        <v>54393</v>
      </c>
      <c r="B268" s="5" t="str">
        <f aca="false">IF($A268&lt;Premissas!$C$25,"Obra",IF($A268=Premissas!$C$25,"Chaves",IF($A268&lt;Premissas!$C$27,"Mobiliando","Airbnb")))</f>
        <v>Airbnb</v>
      </c>
      <c r="C268" s="35" t="n">
        <f aca="false">(YEAR($A268)-YEAR(Premissas!$C$18))*12+MONTH($A268)-MONTH(Premissas!$C$18)</f>
        <v>267</v>
      </c>
      <c r="D268" s="16" t="n">
        <f aca="false">($A268=Premissas!$C$19)*Premissas!$C$8+(($A268=EDATE(Premissas!$C$19,1))+($A268=EDATE(Premissas!$C$19,2)))*Premissas!$C$9+AND($A268&gt;=Premissas!$C$20,$A268&lt;EDATE(Premissas!$C$20,Premissas!$C$21))*Premissas!$C$10+(($A268=Premissas!$C$22)+($A268=Premissas!$C$23)+($A268=Premissas!$C$24))*Premissas!$C$11+($A268=Premissas!$C$25)*Premissas!$C$12</f>
        <v>0</v>
      </c>
      <c r="E268" s="36" t="n">
        <f aca="false">(1+Premissas!$C$57)^C268</f>
        <v>3.29129815897647</v>
      </c>
      <c r="F268" s="16" t="n">
        <f aca="false">D268*E268</f>
        <v>0</v>
      </c>
      <c r="G268" s="16" t="n">
        <f aca="false">($A268=Premissas!$C$25)*Premissas!$C$34*Premissas!$C$14*(1+Premissas!$C$57)^C268</f>
        <v>0</v>
      </c>
      <c r="H268" s="16" t="n">
        <f aca="false">IF(AND($A268&gt;Premissas!$C$25,$A268&lt;Premissas!$C$27),Premissas!$C$35/MAX(1,Premissas!$C$26),0)</f>
        <v>0</v>
      </c>
      <c r="I268" s="35" t="n">
        <f aca="false">IF(AND($A268&gt;Premissas!$C$25,((YEAR($A268)-YEAR(Premissas!$C$25))*12+MONTH($A268)-MONTH(Premissas!$C$25))&lt;=Premissas!$C$32),((YEAR($A268)-YEAR(Premissas!$C$25))*12+MONTH($A268)-MONTH(Premissas!$C$25)),0)</f>
        <v>0</v>
      </c>
      <c r="J268" s="16" t="n">
        <f aca="false">IF(I268&gt;0,N267*(1+Premissas!$C$59),0)</f>
        <v>0</v>
      </c>
      <c r="K268" s="16" t="n">
        <f aca="false">J268*Premissas!$C$58</f>
        <v>0</v>
      </c>
      <c r="L268" s="16" t="n">
        <f aca="false">IF(I268&gt;0,J268/(Premissas!$C$32-I268+1),0)</f>
        <v>0</v>
      </c>
      <c r="M268" s="16" t="n">
        <f aca="false">K268+L268</f>
        <v>0</v>
      </c>
      <c r="N268" s="16" t="n">
        <f aca="false">IF($A268=Premissas!$C$25,Premissas!$C$13*E268,IF(I268&gt;0,J268-L268,0))</f>
        <v>0</v>
      </c>
      <c r="O268" s="37" t="n">
        <f aca="false">IF($A268&gt;=Premissas!$C$27,Premissas!$C$39*IF(((YEAR($A268)-YEAR(Premissas!$C$27))*12+MONTH($A268)-MONTH(Premissas!$C$27))&lt;Premissas!$C$41,Premissas!$C$42,1),0)</f>
        <v>0.62</v>
      </c>
      <c r="P268" s="16" t="n">
        <f aca="false">O268*Premissas!$C$38*Premissas!$C$40*(1+Premissas!$C$60)^((YEAR($A268)-YEAR(Premissas!$C$19))*12+MONTH($A268)-MONTH(Premissas!$C$19))</f>
        <v>10105.4300417145</v>
      </c>
      <c r="Q268" s="16" t="n">
        <f aca="false">P268*Premissas!$C$43</f>
        <v>1616.86880667432</v>
      </c>
      <c r="R268" s="16" t="n">
        <f aca="false">P268*Premissas!$C$44</f>
        <v>2021.0860083429</v>
      </c>
      <c r="S268" s="16" t="n">
        <f aca="false">IF($A268&gt;=Premissas!$C$25,Premissas!$C$45*(1+Premissas!$C$60)^((YEAR($A268)-YEAR(Premissas!$C$19))*12+MONTH($A268)-MONTH(Premissas!$C$19)),0)</f>
        <v>1771.63920787421</v>
      </c>
      <c r="T268" s="16" t="n">
        <f aca="false">IF($A268&gt;=Premissas!$C$27,Premissas!$C$46*(1+Premissas!$C$60)^((YEAR($A268)-YEAR(Premissas!$C$19))*12+MONTH($A268)-MONTH(Premissas!$C$19)),0)</f>
        <v>708.655683149685</v>
      </c>
      <c r="U268" s="16" t="n">
        <f aca="false">IF($A268&gt;=Premissas!$C$27,Premissas!$C$47*(1+Premissas!$C$60)^((YEAR($A268)-YEAR(Premissas!$C$19))*12+MONTH($A268)-MONTH(Premissas!$C$19)),0)</f>
        <v>354.327841574842</v>
      </c>
      <c r="V268" s="16" t="n">
        <f aca="false">IF($A268&gt;=Premissas!$C$27,MAX(0,P268-Q268-R268-S268)*Premissas!$C$49,0)</f>
        <v>1291.35490517635</v>
      </c>
      <c r="W268" s="16" t="n">
        <f aca="false">P268-Q268-R268-S268-T268-U268-V268</f>
        <v>2341.4975889222</v>
      </c>
      <c r="X268" s="16" t="n">
        <f aca="false">W268-F268-G268-H268-M268</f>
        <v>2341.4975889222</v>
      </c>
      <c r="Y268" s="16" t="n">
        <f aca="false">Y267+X268</f>
        <v>-503973.471921326</v>
      </c>
      <c r="Z268" s="16" t="n">
        <f aca="false">Premissas!$C$14*(1+Premissas!$C$57)^((YEAR(Premissas!$C$19)-YEAR(Premissas!$C$18))*12+MONTH(Premissas!$C$19)-MONTH(Premissas!$C$18))*(1+Premissas!$C$61)^((YEAR($A268)-YEAR(Premissas!$C$19))*12+MONTH($A268)-MONTH(Premissas!$C$19))</f>
        <v>1393239.11396612</v>
      </c>
      <c r="AA268" s="16" t="n">
        <f aca="false">IF($A268&gt;=Premissas!$C$25,Z268*(1-Premissas!$C$53)-N268-Premissas!$C$54*MAX(0,Z268*(1-Premissas!$C$53)-(Premissas!$C$14*(1+Premissas!$C$57)^((YEAR(Premissas!$C$25)-YEAR(Premissas!$C$18))*12+MONTH(Premissas!$C$25)-MONTH(Premissas!$C$18))*(1+Premissas!$C$34))),"")</f>
        <v>1194400.2615706</v>
      </c>
      <c r="AB268" s="16" t="n">
        <f aca="false">IF($A268&gt;=Premissas!$C$25,Y268+AA268,"")</f>
        <v>690426.789649271</v>
      </c>
      <c r="AC268" s="20" t="n">
        <f aca="false">IF(AND($A268&gt;=Premissas!$C$27,W268&gt;=M268),$A268,"")</f>
        <v>54393</v>
      </c>
      <c r="AD268" s="20" t="str">
        <f aca="false">IF(AND($A268&gt;=Premissas!$C$27,Y268&gt;=0),$A268,"")</f>
        <v/>
      </c>
      <c r="AE268" s="20" t="n">
        <f aca="false">IF(AND($A268&gt;=Premissas!$C$25,N(AB268)&gt;=0),$A268,"")</f>
        <v>54393</v>
      </c>
    </row>
    <row r="269" customFormat="false" ht="15" hidden="false" customHeight="false" outlineLevel="0" collapsed="false">
      <c r="A269" s="29" t="n">
        <f aca="false">DATE(YEAR(A268),MONTH(A268)+1,1)</f>
        <v>54424</v>
      </c>
      <c r="B269" s="30" t="str">
        <f aca="false">IF($A269&lt;Premissas!$C$25,"Obra",IF($A269=Premissas!$C$25,"Chaves",IF($A269&lt;Premissas!$C$27,"Mobiliando","Airbnb")))</f>
        <v>Airbnb</v>
      </c>
      <c r="C269" s="31" t="n">
        <f aca="false">(YEAR($A269)-YEAR(Premissas!$C$18))*12+MONTH($A269)-MONTH(Premissas!$C$18)</f>
        <v>268</v>
      </c>
      <c r="D269" s="32" t="n">
        <f aca="false">($A269=Premissas!$C$19)*Premissas!$C$8+(($A269=EDATE(Premissas!$C$19,1))+($A269=EDATE(Premissas!$C$19,2)))*Premissas!$C$9+AND($A269&gt;=Premissas!$C$20,$A269&lt;EDATE(Premissas!$C$20,Premissas!$C$21))*Premissas!$C$10+(($A269=Premissas!$C$22)+($A269=Premissas!$C$23)+($A269=Premissas!$C$24))*Premissas!$C$11+($A269=Premissas!$C$25)*Premissas!$C$12</f>
        <v>0</v>
      </c>
      <c r="E269" s="33" t="n">
        <f aca="false">(1+Premissas!$C$57)^C269</f>
        <v>3.30601585338963</v>
      </c>
      <c r="F269" s="32" t="n">
        <f aca="false">D269*E269</f>
        <v>0</v>
      </c>
      <c r="G269" s="32" t="n">
        <f aca="false">($A269=Premissas!$C$25)*Premissas!$C$34*Premissas!$C$14*(1+Premissas!$C$57)^C269</f>
        <v>0</v>
      </c>
      <c r="H269" s="32" t="n">
        <f aca="false">IF(AND($A269&gt;Premissas!$C$25,$A269&lt;Premissas!$C$27),Premissas!$C$35/MAX(1,Premissas!$C$26),0)</f>
        <v>0</v>
      </c>
      <c r="I269" s="31" t="n">
        <f aca="false">IF(AND($A269&gt;Premissas!$C$25,((YEAR($A269)-YEAR(Premissas!$C$25))*12+MONTH($A269)-MONTH(Premissas!$C$25))&lt;=Premissas!$C$32),((YEAR($A269)-YEAR(Premissas!$C$25))*12+MONTH($A269)-MONTH(Premissas!$C$25)),0)</f>
        <v>0</v>
      </c>
      <c r="J269" s="32" t="n">
        <f aca="false">IF(I269&gt;0,N268*(1+Premissas!$C$59),0)</f>
        <v>0</v>
      </c>
      <c r="K269" s="32" t="n">
        <f aca="false">J269*Premissas!$C$58</f>
        <v>0</v>
      </c>
      <c r="L269" s="32" t="n">
        <f aca="false">IF(I269&gt;0,J269/(Premissas!$C$32-I269+1),0)</f>
        <v>0</v>
      </c>
      <c r="M269" s="32" t="n">
        <f aca="false">K269+L269</f>
        <v>0</v>
      </c>
      <c r="N269" s="32" t="n">
        <f aca="false">IF($A269=Premissas!$C$25,Premissas!$C$13*E269,IF(I269&gt;0,J269-L269,0))</f>
        <v>0</v>
      </c>
      <c r="O269" s="34" t="n">
        <f aca="false">IF($A269&gt;=Premissas!$C$27,Premissas!$C$39*IF(((YEAR($A269)-YEAR(Premissas!$C$27))*12+MONTH($A269)-MONTH(Premissas!$C$27))&lt;Premissas!$C$41,Premissas!$C$42,1),0)</f>
        <v>0.62</v>
      </c>
      <c r="P269" s="32" t="n">
        <f aca="false">O269*Premissas!$C$38*Premissas!$C$40*(1+Premissas!$C$60)^((YEAR($A269)-YEAR(Premissas!$C$19))*12+MONTH($A269)-MONTH(Premissas!$C$19))</f>
        <v>10138.5125900583</v>
      </c>
      <c r="Q269" s="32" t="n">
        <f aca="false">P269*Premissas!$C$43</f>
        <v>1622.16201440933</v>
      </c>
      <c r="R269" s="32" t="n">
        <f aca="false">P269*Premissas!$C$44</f>
        <v>2027.70251801166</v>
      </c>
      <c r="S269" s="32" t="n">
        <f aca="false">IF($A269&gt;=Premissas!$C$25,Premissas!$C$45*(1+Premissas!$C$60)^((YEAR($A269)-YEAR(Premissas!$C$19))*12+MONTH($A269)-MONTH(Premissas!$C$19)),0)</f>
        <v>1777.43909362873</v>
      </c>
      <c r="T269" s="32" t="n">
        <f aca="false">IF($A269&gt;=Premissas!$C$27,Premissas!$C$46*(1+Premissas!$C$60)^((YEAR($A269)-YEAR(Premissas!$C$19))*12+MONTH($A269)-MONTH(Premissas!$C$19)),0)</f>
        <v>710.975637451493</v>
      </c>
      <c r="U269" s="32" t="n">
        <f aca="false">IF($A269&gt;=Premissas!$C$27,Premissas!$C$47*(1+Premissas!$C$60)^((YEAR($A269)-YEAR(Premissas!$C$19))*12+MONTH($A269)-MONTH(Premissas!$C$19)),0)</f>
        <v>355.487818725747</v>
      </c>
      <c r="V269" s="32" t="n">
        <f aca="false">IF($A269&gt;=Premissas!$C$27,MAX(0,P269-Q269-R269-S269)*Premissas!$C$49,0)</f>
        <v>1295.58246510236</v>
      </c>
      <c r="W269" s="32" t="n">
        <f aca="false">P269-Q269-R269-S269-T269-U269-V269</f>
        <v>2349.16304272898</v>
      </c>
      <c r="X269" s="32" t="n">
        <f aca="false">W269-F269-G269-H269-M269</f>
        <v>2349.16304272898</v>
      </c>
      <c r="Y269" s="32" t="n">
        <f aca="false">Y268+X269</f>
        <v>-501624.308878597</v>
      </c>
      <c r="Z269" s="32" t="n">
        <f aca="false">Premissas!$C$14*(1+Premissas!$C$57)^((YEAR(Premissas!$C$19)-YEAR(Premissas!$C$18))*12+MONTH(Premissas!$C$19)-MONTH(Premissas!$C$18))*(1+Premissas!$C$61)^((YEAR($A269)-YEAR(Premissas!$C$19))*12+MONTH($A269)-MONTH(Premissas!$C$19))</f>
        <v>1398915.34257664</v>
      </c>
      <c r="AA269" s="32" t="n">
        <f aca="false">IF($A269&gt;=Premissas!$C$25,Z269*(1-Premissas!$C$53)-N269-Premissas!$C$54*MAX(0,Z269*(1-Premissas!$C$53)-(Premissas!$C$14*(1+Premissas!$C$57)^((YEAR(Premissas!$C$25)-YEAR(Premissas!$C$18))*12+MONTH(Premissas!$C$25)-MONTH(Premissas!$C$18))*(1+Premissas!$C$34))),"")</f>
        <v>1198935.5682304</v>
      </c>
      <c r="AB269" s="32" t="n">
        <f aca="false">IF($A269&gt;=Premissas!$C$25,Y269+AA269,"")</f>
        <v>697311.259351805</v>
      </c>
      <c r="AC269" s="29" t="n">
        <f aca="false">IF(AND($A269&gt;=Premissas!$C$27,W269&gt;=M269),$A269,"")</f>
        <v>54424</v>
      </c>
      <c r="AD269" s="29" t="str">
        <f aca="false">IF(AND($A269&gt;=Premissas!$C$27,Y269&gt;=0),$A269,"")</f>
        <v/>
      </c>
      <c r="AE269" s="29" t="n">
        <f aca="false">IF(AND($A269&gt;=Premissas!$C$25,N(AB269)&gt;=0),$A269,"")</f>
        <v>54424</v>
      </c>
    </row>
    <row r="270" customFormat="false" ht="15" hidden="false" customHeight="false" outlineLevel="0" collapsed="false">
      <c r="A270" s="20" t="n">
        <f aca="false">DATE(YEAR(A269),MONTH(A269)+1,1)</f>
        <v>54455</v>
      </c>
      <c r="B270" s="5" t="str">
        <f aca="false">IF($A270&lt;Premissas!$C$25,"Obra",IF($A270=Premissas!$C$25,"Chaves",IF($A270&lt;Premissas!$C$27,"Mobiliando","Airbnb")))</f>
        <v>Airbnb</v>
      </c>
      <c r="C270" s="35" t="n">
        <f aca="false">(YEAR($A270)-YEAR(Premissas!$C$18))*12+MONTH($A270)-MONTH(Premissas!$C$18)</f>
        <v>269</v>
      </c>
      <c r="D270" s="16" t="n">
        <f aca="false">($A270=Premissas!$C$19)*Premissas!$C$8+(($A270=EDATE(Premissas!$C$19,1))+($A270=EDATE(Premissas!$C$19,2)))*Premissas!$C$9+AND($A270&gt;=Premissas!$C$20,$A270&lt;EDATE(Premissas!$C$20,Premissas!$C$21))*Premissas!$C$10+(($A270=Premissas!$C$22)+($A270=Premissas!$C$23)+($A270=Premissas!$C$24))*Premissas!$C$11+($A270=Premissas!$C$25)*Premissas!$C$12</f>
        <v>0</v>
      </c>
      <c r="E270" s="36" t="n">
        <f aca="false">(1+Premissas!$C$57)^C270</f>
        <v>3.32079936090096</v>
      </c>
      <c r="F270" s="16" t="n">
        <f aca="false">D270*E270</f>
        <v>0</v>
      </c>
      <c r="G270" s="16" t="n">
        <f aca="false">($A270=Premissas!$C$25)*Premissas!$C$34*Premissas!$C$14*(1+Premissas!$C$57)^C270</f>
        <v>0</v>
      </c>
      <c r="H270" s="16" t="n">
        <f aca="false">IF(AND($A270&gt;Premissas!$C$25,$A270&lt;Premissas!$C$27),Premissas!$C$35/MAX(1,Premissas!$C$26),0)</f>
        <v>0</v>
      </c>
      <c r="I270" s="35" t="n">
        <f aca="false">IF(AND($A270&gt;Premissas!$C$25,((YEAR($A270)-YEAR(Premissas!$C$25))*12+MONTH($A270)-MONTH(Premissas!$C$25))&lt;=Premissas!$C$32),((YEAR($A270)-YEAR(Premissas!$C$25))*12+MONTH($A270)-MONTH(Premissas!$C$25)),0)</f>
        <v>0</v>
      </c>
      <c r="J270" s="16" t="n">
        <f aca="false">IF(I270&gt;0,N269*(1+Premissas!$C$59),0)</f>
        <v>0</v>
      </c>
      <c r="K270" s="16" t="n">
        <f aca="false">J270*Premissas!$C$58</f>
        <v>0</v>
      </c>
      <c r="L270" s="16" t="n">
        <f aca="false">IF(I270&gt;0,J270/(Premissas!$C$32-I270+1),0)</f>
        <v>0</v>
      </c>
      <c r="M270" s="16" t="n">
        <f aca="false">K270+L270</f>
        <v>0</v>
      </c>
      <c r="N270" s="16" t="n">
        <f aca="false">IF($A270=Premissas!$C$25,Premissas!$C$13*E270,IF(I270&gt;0,J270-L270,0))</f>
        <v>0</v>
      </c>
      <c r="O270" s="37" t="n">
        <f aca="false">IF($A270&gt;=Premissas!$C$27,Premissas!$C$39*IF(((YEAR($A270)-YEAR(Premissas!$C$27))*12+MONTH($A270)-MONTH(Premissas!$C$27))&lt;Premissas!$C$41,Premissas!$C$42,1),0)</f>
        <v>0.62</v>
      </c>
      <c r="P270" s="16" t="n">
        <f aca="false">O270*Premissas!$C$38*Premissas!$C$40*(1+Premissas!$C$60)^((YEAR($A270)-YEAR(Premissas!$C$19))*12+MONTH($A270)-MONTH(Premissas!$C$19))</f>
        <v>10171.7034420567</v>
      </c>
      <c r="Q270" s="16" t="n">
        <f aca="false">P270*Premissas!$C$43</f>
        <v>1627.47255072907</v>
      </c>
      <c r="R270" s="16" t="n">
        <f aca="false">P270*Premissas!$C$44</f>
        <v>2034.34068841134</v>
      </c>
      <c r="S270" s="16" t="n">
        <f aca="false">IF($A270&gt;=Premissas!$C$25,Premissas!$C$45*(1+Premissas!$C$60)^((YEAR($A270)-YEAR(Premissas!$C$19))*12+MONTH($A270)-MONTH(Premissas!$C$19)),0)</f>
        <v>1783.25796669998</v>
      </c>
      <c r="T270" s="16" t="n">
        <f aca="false">IF($A270&gt;=Premissas!$C$27,Premissas!$C$46*(1+Premissas!$C$60)^((YEAR($A270)-YEAR(Premissas!$C$19))*12+MONTH($A270)-MONTH(Premissas!$C$19)),0)</f>
        <v>713.303186679993</v>
      </c>
      <c r="U270" s="16" t="n">
        <f aca="false">IF($A270&gt;=Premissas!$C$27,Premissas!$C$47*(1+Premissas!$C$60)^((YEAR($A270)-YEAR(Premissas!$C$19))*12+MONTH($A270)-MONTH(Premissas!$C$19)),0)</f>
        <v>356.651593339996</v>
      </c>
      <c r="V270" s="16" t="n">
        <f aca="false">IF($A270&gt;=Premissas!$C$27,MAX(0,P270-Q270-R270-S270)*Premissas!$C$49,0)</f>
        <v>1299.82386495948</v>
      </c>
      <c r="W270" s="16" t="n">
        <f aca="false">P270-Q270-R270-S270-T270-U270-V270</f>
        <v>2356.85359123683</v>
      </c>
      <c r="X270" s="16" t="n">
        <f aca="false">W270-F270-G270-H270-M270</f>
        <v>2356.85359123683</v>
      </c>
      <c r="Y270" s="16" t="n">
        <f aca="false">Y269+X270</f>
        <v>-499267.45528736</v>
      </c>
      <c r="Z270" s="16" t="n">
        <f aca="false">Premissas!$C$14*(1+Premissas!$C$57)^((YEAR(Premissas!$C$19)-YEAR(Premissas!$C$18))*12+MONTH(Premissas!$C$19)-MONTH(Premissas!$C$18))*(1+Premissas!$C$61)^((YEAR($A270)-YEAR(Premissas!$C$19))*12+MONTH($A270)-MONTH(Premissas!$C$19))</f>
        <v>1404614.69684514</v>
      </c>
      <c r="AA270" s="16" t="n">
        <f aca="false">IF($A270&gt;=Premissas!$C$25,Z270*(1-Premissas!$C$53)-N270-Premissas!$C$54*MAX(0,Z270*(1-Premissas!$C$53)-(Premissas!$C$14*(1+Premissas!$C$57)^((YEAR(Premissas!$C$25)-YEAR(Premissas!$C$18))*12+MONTH(Premissas!$C$25)-MONTH(Premissas!$C$18))*(1+Premissas!$C$34))),"")</f>
        <v>1203489.35229094</v>
      </c>
      <c r="AB270" s="16" t="n">
        <f aca="false">IF($A270&gt;=Premissas!$C$25,Y270+AA270,"")</f>
        <v>704221.897003575</v>
      </c>
      <c r="AC270" s="20" t="n">
        <f aca="false">IF(AND($A270&gt;=Premissas!$C$27,W270&gt;=M270),$A270,"")</f>
        <v>54455</v>
      </c>
      <c r="AD270" s="20" t="str">
        <f aca="false">IF(AND($A270&gt;=Premissas!$C$27,Y270&gt;=0),$A270,"")</f>
        <v/>
      </c>
      <c r="AE270" s="20" t="n">
        <f aca="false">IF(AND($A270&gt;=Premissas!$C$25,N(AB270)&gt;=0),$A270,"")</f>
        <v>54455</v>
      </c>
    </row>
    <row r="271" customFormat="false" ht="15" hidden="false" customHeight="false" outlineLevel="0" collapsed="false">
      <c r="A271" s="20" t="n">
        <f aca="false">DATE(YEAR(A270),MONTH(A270)+1,1)</f>
        <v>54483</v>
      </c>
      <c r="B271" s="5" t="str">
        <f aca="false">IF($A271&lt;Premissas!$C$25,"Obra",IF($A271=Premissas!$C$25,"Chaves",IF($A271&lt;Premissas!$C$27,"Mobiliando","Airbnb")))</f>
        <v>Airbnb</v>
      </c>
      <c r="C271" s="35" t="n">
        <f aca="false">(YEAR($A271)-YEAR(Premissas!$C$18))*12+MONTH($A271)-MONTH(Premissas!$C$18)</f>
        <v>270</v>
      </c>
      <c r="D271" s="16" t="n">
        <f aca="false">($A271=Premissas!$C$19)*Premissas!$C$8+(($A271=EDATE(Premissas!$C$19,1))+($A271=EDATE(Premissas!$C$19,2)))*Premissas!$C$9+AND($A271&gt;=Premissas!$C$20,$A271&lt;EDATE(Premissas!$C$20,Premissas!$C$21))*Premissas!$C$10+(($A271=Premissas!$C$22)+($A271=Premissas!$C$23)+($A271=Premissas!$C$24))*Premissas!$C$11+($A271=Premissas!$C$25)*Premissas!$C$12</f>
        <v>0</v>
      </c>
      <c r="E271" s="36" t="n">
        <f aca="false">(1+Premissas!$C$57)^C271</f>
        <v>3.33564897580682</v>
      </c>
      <c r="F271" s="16" t="n">
        <f aca="false">D271*E271</f>
        <v>0</v>
      </c>
      <c r="G271" s="16" t="n">
        <f aca="false">($A271=Premissas!$C$25)*Premissas!$C$34*Premissas!$C$14*(1+Premissas!$C$57)^C271</f>
        <v>0</v>
      </c>
      <c r="H271" s="16" t="n">
        <f aca="false">IF(AND($A271&gt;Premissas!$C$25,$A271&lt;Premissas!$C$27),Premissas!$C$35/MAX(1,Premissas!$C$26),0)</f>
        <v>0</v>
      </c>
      <c r="I271" s="35" t="n">
        <f aca="false">IF(AND($A271&gt;Premissas!$C$25,((YEAR($A271)-YEAR(Premissas!$C$25))*12+MONTH($A271)-MONTH(Premissas!$C$25))&lt;=Premissas!$C$32),((YEAR($A271)-YEAR(Premissas!$C$25))*12+MONTH($A271)-MONTH(Premissas!$C$25)),0)</f>
        <v>0</v>
      </c>
      <c r="J271" s="16" t="n">
        <f aca="false">IF(I271&gt;0,N270*(1+Premissas!$C$59),0)</f>
        <v>0</v>
      </c>
      <c r="K271" s="16" t="n">
        <f aca="false">J271*Premissas!$C$58</f>
        <v>0</v>
      </c>
      <c r="L271" s="16" t="n">
        <f aca="false">IF(I271&gt;0,J271/(Premissas!$C$32-I271+1),0)</f>
        <v>0</v>
      </c>
      <c r="M271" s="16" t="n">
        <f aca="false">K271+L271</f>
        <v>0</v>
      </c>
      <c r="N271" s="16" t="n">
        <f aca="false">IF($A271=Premissas!$C$25,Premissas!$C$13*E271,IF(I271&gt;0,J271-L271,0))</f>
        <v>0</v>
      </c>
      <c r="O271" s="37" t="n">
        <f aca="false">IF($A271&gt;=Premissas!$C$27,Premissas!$C$39*IF(((YEAR($A271)-YEAR(Premissas!$C$27))*12+MONTH($A271)-MONTH(Premissas!$C$27))&lt;Premissas!$C$41,Premissas!$C$42,1),0)</f>
        <v>0.62</v>
      </c>
      <c r="P271" s="16" t="n">
        <f aca="false">O271*Premissas!$C$38*Premissas!$C$40*(1+Premissas!$C$60)^((YEAR($A271)-YEAR(Premissas!$C$19))*12+MONTH($A271)-MONTH(Premissas!$C$19))</f>
        <v>10205.0029522677</v>
      </c>
      <c r="Q271" s="16" t="n">
        <f aca="false">P271*Premissas!$C$43</f>
        <v>1632.80047236283</v>
      </c>
      <c r="R271" s="16" t="n">
        <f aca="false">P271*Premissas!$C$44</f>
        <v>2041.00059045354</v>
      </c>
      <c r="S271" s="16" t="n">
        <f aca="false">IF($A271&gt;=Premissas!$C$25,Premissas!$C$45*(1+Premissas!$C$60)^((YEAR($A271)-YEAR(Premissas!$C$19))*12+MONTH($A271)-MONTH(Premissas!$C$19)),0)</f>
        <v>1789.09588924749</v>
      </c>
      <c r="T271" s="16" t="n">
        <f aca="false">IF($A271&gt;=Premissas!$C$27,Premissas!$C$46*(1+Premissas!$C$60)^((YEAR($A271)-YEAR(Premissas!$C$19))*12+MONTH($A271)-MONTH(Premissas!$C$19)),0)</f>
        <v>715.638355698996</v>
      </c>
      <c r="U271" s="16" t="n">
        <f aca="false">IF($A271&gt;=Premissas!$C$27,Premissas!$C$47*(1+Premissas!$C$60)^((YEAR($A271)-YEAR(Premissas!$C$19))*12+MONTH($A271)-MONTH(Premissas!$C$19)),0)</f>
        <v>357.819177849498</v>
      </c>
      <c r="V271" s="16" t="n">
        <f aca="false">IF($A271&gt;=Premissas!$C$27,MAX(0,P271-Q271-R271-S271)*Premissas!$C$49,0)</f>
        <v>1304.07915005605</v>
      </c>
      <c r="W271" s="16" t="n">
        <f aca="false">P271-Q271-R271-S271-T271-U271-V271</f>
        <v>2364.56931659928</v>
      </c>
      <c r="X271" s="16" t="n">
        <f aca="false">W271-F271-G271-H271-M271</f>
        <v>2364.56931659928</v>
      </c>
      <c r="Y271" s="16" t="n">
        <f aca="false">Y270+X271</f>
        <v>-496902.885970761</v>
      </c>
      <c r="Z271" s="16" t="n">
        <f aca="false">Premissas!$C$14*(1+Premissas!$C$57)^((YEAR(Premissas!$C$19)-YEAR(Premissas!$C$18))*12+MONTH(Premissas!$C$19)-MONTH(Premissas!$C$18))*(1+Premissas!$C$61)^((YEAR($A271)-YEAR(Premissas!$C$19))*12+MONTH($A271)-MONTH(Premissas!$C$19))</f>
        <v>1410337.27098842</v>
      </c>
      <c r="AA271" s="16" t="n">
        <f aca="false">IF($A271&gt;=Premissas!$C$25,Z271*(1-Premissas!$C$53)-N271-Premissas!$C$54*MAX(0,Z271*(1-Premissas!$C$53)-(Premissas!$C$14*(1+Premissas!$C$57)^((YEAR(Premissas!$C$25)-YEAR(Premissas!$C$18))*12+MONTH(Premissas!$C$25)-MONTH(Premissas!$C$18))*(1+Premissas!$C$34))),"")</f>
        <v>1208061.68903142</v>
      </c>
      <c r="AB271" s="16" t="n">
        <f aca="false">IF($A271&gt;=Premissas!$C$25,Y271+AA271,"")</f>
        <v>711158.803060654</v>
      </c>
      <c r="AC271" s="20" t="n">
        <f aca="false">IF(AND($A271&gt;=Premissas!$C$27,W271&gt;=M271),$A271,"")</f>
        <v>54483</v>
      </c>
      <c r="AD271" s="20" t="str">
        <f aca="false">IF(AND($A271&gt;=Premissas!$C$27,Y271&gt;=0),$A271,"")</f>
        <v/>
      </c>
      <c r="AE271" s="20" t="n">
        <f aca="false">IF(AND($A271&gt;=Premissas!$C$25,N(AB271)&gt;=0),$A271,"")</f>
        <v>54483</v>
      </c>
    </row>
    <row r="272" customFormat="false" ht="15" hidden="false" customHeight="false" outlineLevel="0" collapsed="false">
      <c r="A272" s="20" t="n">
        <f aca="false">DATE(YEAR(A271),MONTH(A271)+1,1)</f>
        <v>54514</v>
      </c>
      <c r="B272" s="5" t="str">
        <f aca="false">IF($A272&lt;Premissas!$C$25,"Obra",IF($A272=Premissas!$C$25,"Chaves",IF($A272&lt;Premissas!$C$27,"Mobiliando","Airbnb")))</f>
        <v>Airbnb</v>
      </c>
      <c r="C272" s="35" t="n">
        <f aca="false">(YEAR($A272)-YEAR(Premissas!$C$18))*12+MONTH($A272)-MONTH(Premissas!$C$18)</f>
        <v>271</v>
      </c>
      <c r="D272" s="16" t="n">
        <f aca="false">($A272=Premissas!$C$19)*Premissas!$C$8+(($A272=EDATE(Premissas!$C$19,1))+($A272=EDATE(Premissas!$C$19,2)))*Premissas!$C$9+AND($A272&gt;=Premissas!$C$20,$A272&lt;EDATE(Premissas!$C$20,Premissas!$C$21))*Premissas!$C$10+(($A272=Premissas!$C$22)+($A272=Premissas!$C$23)+($A272=Premissas!$C$24))*Premissas!$C$11+($A272=Premissas!$C$25)*Premissas!$C$12</f>
        <v>0</v>
      </c>
      <c r="E272" s="36" t="n">
        <f aca="false">(1+Premissas!$C$57)^C272</f>
        <v>3.35056499371957</v>
      </c>
      <c r="F272" s="16" t="n">
        <f aca="false">D272*E272</f>
        <v>0</v>
      </c>
      <c r="G272" s="16" t="n">
        <f aca="false">($A272=Premissas!$C$25)*Premissas!$C$34*Premissas!$C$14*(1+Premissas!$C$57)^C272</f>
        <v>0</v>
      </c>
      <c r="H272" s="16" t="n">
        <f aca="false">IF(AND($A272&gt;Premissas!$C$25,$A272&lt;Premissas!$C$27),Premissas!$C$35/MAX(1,Premissas!$C$26),0)</f>
        <v>0</v>
      </c>
      <c r="I272" s="35" t="n">
        <f aca="false">IF(AND($A272&gt;Premissas!$C$25,((YEAR($A272)-YEAR(Premissas!$C$25))*12+MONTH($A272)-MONTH(Premissas!$C$25))&lt;=Premissas!$C$32),((YEAR($A272)-YEAR(Premissas!$C$25))*12+MONTH($A272)-MONTH(Premissas!$C$25)),0)</f>
        <v>0</v>
      </c>
      <c r="J272" s="16" t="n">
        <f aca="false">IF(I272&gt;0,N271*(1+Premissas!$C$59),0)</f>
        <v>0</v>
      </c>
      <c r="K272" s="16" t="n">
        <f aca="false">J272*Premissas!$C$58</f>
        <v>0</v>
      </c>
      <c r="L272" s="16" t="n">
        <f aca="false">IF(I272&gt;0,J272/(Premissas!$C$32-I272+1),0)</f>
        <v>0</v>
      </c>
      <c r="M272" s="16" t="n">
        <f aca="false">K272+L272</f>
        <v>0</v>
      </c>
      <c r="N272" s="16" t="n">
        <f aca="false">IF($A272=Premissas!$C$25,Premissas!$C$13*E272,IF(I272&gt;0,J272-L272,0))</f>
        <v>0</v>
      </c>
      <c r="O272" s="37" t="n">
        <f aca="false">IF($A272&gt;=Premissas!$C$27,Premissas!$C$39*IF(((YEAR($A272)-YEAR(Premissas!$C$27))*12+MONTH($A272)-MONTH(Premissas!$C$27))&lt;Premissas!$C$41,Premissas!$C$42,1),0)</f>
        <v>0.62</v>
      </c>
      <c r="P272" s="16" t="n">
        <f aca="false">O272*Premissas!$C$38*Premissas!$C$40*(1+Premissas!$C$60)^((YEAR($A272)-YEAR(Premissas!$C$19))*12+MONTH($A272)-MONTH(Premissas!$C$19))</f>
        <v>10238.41147641</v>
      </c>
      <c r="Q272" s="16" t="n">
        <f aca="false">P272*Premissas!$C$43</f>
        <v>1638.1458362256</v>
      </c>
      <c r="R272" s="16" t="n">
        <f aca="false">P272*Premissas!$C$44</f>
        <v>2047.682295282</v>
      </c>
      <c r="S272" s="16" t="n">
        <f aca="false">IF($A272&gt;=Premissas!$C$25,Premissas!$C$45*(1+Premissas!$C$60)^((YEAR($A272)-YEAR(Premissas!$C$19))*12+MONTH($A272)-MONTH(Premissas!$C$19)),0)</f>
        <v>1794.95292363429</v>
      </c>
      <c r="T272" s="16" t="n">
        <f aca="false">IF($A272&gt;=Premissas!$C$27,Premissas!$C$46*(1+Premissas!$C$60)^((YEAR($A272)-YEAR(Premissas!$C$19))*12+MONTH($A272)-MONTH(Premissas!$C$19)),0)</f>
        <v>717.981169453715</v>
      </c>
      <c r="U272" s="16" t="n">
        <f aca="false">IF($A272&gt;=Premissas!$C$27,Premissas!$C$47*(1+Premissas!$C$60)^((YEAR($A272)-YEAR(Premissas!$C$19))*12+MONTH($A272)-MONTH(Premissas!$C$19)),0)</f>
        <v>358.990584726858</v>
      </c>
      <c r="V272" s="16" t="n">
        <f aca="false">IF($A272&gt;=Premissas!$C$27,MAX(0,P272-Q272-R272-S272)*Premissas!$C$49,0)</f>
        <v>1308.34836584873</v>
      </c>
      <c r="W272" s="16" t="n">
        <f aca="false">P272-Q272-R272-S272-T272-U272-V272</f>
        <v>2372.3103012388</v>
      </c>
      <c r="X272" s="16" t="n">
        <f aca="false">W272-F272-G272-H272-M272</f>
        <v>2372.3103012388</v>
      </c>
      <c r="Y272" s="16" t="n">
        <f aca="false">Y271+X272</f>
        <v>-494530.575669522</v>
      </c>
      <c r="Z272" s="16" t="n">
        <f aca="false">Premissas!$C$14*(1+Premissas!$C$57)^((YEAR(Premissas!$C$19)-YEAR(Premissas!$C$18))*12+MONTH(Premissas!$C$19)-MONTH(Premissas!$C$18))*(1+Premissas!$C$61)^((YEAR($A272)-YEAR(Premissas!$C$19))*12+MONTH($A272)-MONTH(Premissas!$C$19))</f>
        <v>1416083.15960712</v>
      </c>
      <c r="AA272" s="16" t="n">
        <f aca="false">IF($A272&gt;=Premissas!$C$25,Z272*(1-Premissas!$C$53)-N272-Premissas!$C$54*MAX(0,Z272*(1-Premissas!$C$53)-(Premissas!$C$14*(1+Premissas!$C$57)^((YEAR(Premissas!$C$25)-YEAR(Premissas!$C$18))*12+MONTH(Premissas!$C$25)-MONTH(Premissas!$C$18))*(1+Premissas!$C$34))),"")</f>
        <v>1212652.65403776</v>
      </c>
      <c r="AB272" s="16" t="n">
        <f aca="false">IF($A272&gt;=Premissas!$C$25,Y272+AA272,"")</f>
        <v>718122.078368233</v>
      </c>
      <c r="AC272" s="20" t="n">
        <f aca="false">IF(AND($A272&gt;=Premissas!$C$27,W272&gt;=M272),$A272,"")</f>
        <v>54514</v>
      </c>
      <c r="AD272" s="20" t="str">
        <f aca="false">IF(AND($A272&gt;=Premissas!$C$27,Y272&gt;=0),$A272,"")</f>
        <v/>
      </c>
      <c r="AE272" s="20" t="n">
        <f aca="false">IF(AND($A272&gt;=Premissas!$C$25,N(AB272)&gt;=0),$A272,"")</f>
        <v>54514</v>
      </c>
    </row>
    <row r="273" customFormat="false" ht="15" hidden="false" customHeight="false" outlineLevel="0" collapsed="false">
      <c r="A273" s="20" t="n">
        <f aca="false">DATE(YEAR(A272),MONTH(A272)+1,1)</f>
        <v>54544</v>
      </c>
      <c r="B273" s="5" t="str">
        <f aca="false">IF($A273&lt;Premissas!$C$25,"Obra",IF($A273=Premissas!$C$25,"Chaves",IF($A273&lt;Premissas!$C$27,"Mobiliando","Airbnb")))</f>
        <v>Airbnb</v>
      </c>
      <c r="C273" s="35" t="n">
        <f aca="false">(YEAR($A273)-YEAR(Premissas!$C$18))*12+MONTH($A273)-MONTH(Premissas!$C$18)</f>
        <v>272</v>
      </c>
      <c r="D273" s="16" t="n">
        <f aca="false">($A273=Premissas!$C$19)*Premissas!$C$8+(($A273=EDATE(Premissas!$C$19,1))+($A273=EDATE(Premissas!$C$19,2)))*Premissas!$C$9+AND($A273&gt;=Premissas!$C$20,$A273&lt;EDATE(Premissas!$C$20,Premissas!$C$21))*Premissas!$C$10+(($A273=Premissas!$C$22)+($A273=Premissas!$C$23)+($A273=Premissas!$C$24))*Premissas!$C$11+($A273=Premissas!$C$25)*Premissas!$C$12</f>
        <v>0</v>
      </c>
      <c r="E273" s="36" t="n">
        <f aca="false">(1+Premissas!$C$57)^C273</f>
        <v>3.36554771157347</v>
      </c>
      <c r="F273" s="16" t="n">
        <f aca="false">D273*E273</f>
        <v>0</v>
      </c>
      <c r="G273" s="16" t="n">
        <f aca="false">($A273=Premissas!$C$25)*Premissas!$C$34*Premissas!$C$14*(1+Premissas!$C$57)^C273</f>
        <v>0</v>
      </c>
      <c r="H273" s="16" t="n">
        <f aca="false">IF(AND($A273&gt;Premissas!$C$25,$A273&lt;Premissas!$C$27),Premissas!$C$35/MAX(1,Premissas!$C$26),0)</f>
        <v>0</v>
      </c>
      <c r="I273" s="35" t="n">
        <f aca="false">IF(AND($A273&gt;Premissas!$C$25,((YEAR($A273)-YEAR(Premissas!$C$25))*12+MONTH($A273)-MONTH(Premissas!$C$25))&lt;=Premissas!$C$32),((YEAR($A273)-YEAR(Premissas!$C$25))*12+MONTH($A273)-MONTH(Premissas!$C$25)),0)</f>
        <v>0</v>
      </c>
      <c r="J273" s="16" t="n">
        <f aca="false">IF(I273&gt;0,N272*(1+Premissas!$C$59),0)</f>
        <v>0</v>
      </c>
      <c r="K273" s="16" t="n">
        <f aca="false">J273*Premissas!$C$58</f>
        <v>0</v>
      </c>
      <c r="L273" s="16" t="n">
        <f aca="false">IF(I273&gt;0,J273/(Premissas!$C$32-I273+1),0)</f>
        <v>0</v>
      </c>
      <c r="M273" s="16" t="n">
        <f aca="false">K273+L273</f>
        <v>0</v>
      </c>
      <c r="N273" s="16" t="n">
        <f aca="false">IF($A273=Premissas!$C$25,Premissas!$C$13*E273,IF(I273&gt;0,J273-L273,0))</f>
        <v>0</v>
      </c>
      <c r="O273" s="37" t="n">
        <f aca="false">IF($A273&gt;=Premissas!$C$27,Premissas!$C$39*IF(((YEAR($A273)-YEAR(Premissas!$C$27))*12+MONTH($A273)-MONTH(Premissas!$C$27))&lt;Premissas!$C$41,Premissas!$C$42,1),0)</f>
        <v>0.62</v>
      </c>
      <c r="P273" s="16" t="n">
        <f aca="false">O273*Premissas!$C$38*Premissas!$C$40*(1+Premissas!$C$60)^((YEAR($A273)-YEAR(Premissas!$C$19))*12+MONTH($A273)-MONTH(Premissas!$C$19))</f>
        <v>10271.9293713668</v>
      </c>
      <c r="Q273" s="16" t="n">
        <f aca="false">P273*Premissas!$C$43</f>
        <v>1643.50869941869</v>
      </c>
      <c r="R273" s="16" t="n">
        <f aca="false">P273*Premissas!$C$44</f>
        <v>2054.38587427337</v>
      </c>
      <c r="S273" s="16" t="n">
        <f aca="false">IF($A273&gt;=Premissas!$C$25,Premissas!$C$45*(1+Premissas!$C$60)^((YEAR($A273)-YEAR(Premissas!$C$19))*12+MONTH($A273)-MONTH(Premissas!$C$19)),0)</f>
        <v>1800.82913242756</v>
      </c>
      <c r="T273" s="16" t="n">
        <f aca="false">IF($A273&gt;=Premissas!$C$27,Premissas!$C$46*(1+Premissas!$C$60)^((YEAR($A273)-YEAR(Premissas!$C$19))*12+MONTH($A273)-MONTH(Premissas!$C$19)),0)</f>
        <v>720.331652971026</v>
      </c>
      <c r="U273" s="16" t="n">
        <f aca="false">IF($A273&gt;=Premissas!$C$27,Premissas!$C$47*(1+Premissas!$C$60)^((YEAR($A273)-YEAR(Premissas!$C$19))*12+MONTH($A273)-MONTH(Premissas!$C$19)),0)</f>
        <v>360.165826485513</v>
      </c>
      <c r="V273" s="16" t="n">
        <f aca="false">IF($A273&gt;=Premissas!$C$27,MAX(0,P273-Q273-R273-S273)*Premissas!$C$49,0)</f>
        <v>1312.63155794298</v>
      </c>
      <c r="W273" s="16" t="n">
        <f aca="false">P273-Q273-R273-S273-T273-U273-V273</f>
        <v>2380.07662784768</v>
      </c>
      <c r="X273" s="16" t="n">
        <f aca="false">W273-F273-G273-H273-M273</f>
        <v>2380.07662784768</v>
      </c>
      <c r="Y273" s="16" t="n">
        <f aca="false">Y272+X273</f>
        <v>-492150.499041675</v>
      </c>
      <c r="Z273" s="16" t="n">
        <f aca="false">Premissas!$C$14*(1+Premissas!$C$57)^((YEAR(Premissas!$C$19)-YEAR(Premissas!$C$18))*12+MONTH(Premissas!$C$19)-MONTH(Premissas!$C$18))*(1+Premissas!$C$61)^((YEAR($A273)-YEAR(Premissas!$C$19))*12+MONTH($A273)-MONTH(Premissas!$C$19))</f>
        <v>1421852.4576873</v>
      </c>
      <c r="AA273" s="16" t="n">
        <f aca="false">IF($A273&gt;=Premissas!$C$25,Z273*(1-Premissas!$C$53)-N273-Premissas!$C$54*MAX(0,Z273*(1-Premissas!$C$53)-(Premissas!$C$14*(1+Premissas!$C$57)^((YEAR(Premissas!$C$25)-YEAR(Premissas!$C$18))*12+MONTH(Premissas!$C$25)-MONTH(Premissas!$C$18))*(1+Premissas!$C$34))),"")</f>
        <v>1217262.32320382</v>
      </c>
      <c r="AB273" s="16" t="n">
        <f aca="false">IF($A273&gt;=Premissas!$C$25,Y273+AA273,"")</f>
        <v>725111.824162144</v>
      </c>
      <c r="AC273" s="20" t="n">
        <f aca="false">IF(AND($A273&gt;=Premissas!$C$27,W273&gt;=M273),$A273,"")</f>
        <v>54544</v>
      </c>
      <c r="AD273" s="20" t="str">
        <f aca="false">IF(AND($A273&gt;=Premissas!$C$27,Y273&gt;=0),$A273,"")</f>
        <v/>
      </c>
      <c r="AE273" s="20" t="n">
        <f aca="false">IF(AND($A273&gt;=Premissas!$C$25,N(AB273)&gt;=0),$A273,"")</f>
        <v>54544</v>
      </c>
    </row>
    <row r="274" customFormat="false" ht="15" hidden="false" customHeight="false" outlineLevel="0" collapsed="false">
      <c r="A274" s="20" t="n">
        <f aca="false">DATE(YEAR(A273),MONTH(A273)+1,1)</f>
        <v>54575</v>
      </c>
      <c r="B274" s="5" t="str">
        <f aca="false">IF($A274&lt;Premissas!$C$25,"Obra",IF($A274=Premissas!$C$25,"Chaves",IF($A274&lt;Premissas!$C$27,"Mobiliando","Airbnb")))</f>
        <v>Airbnb</v>
      </c>
      <c r="C274" s="35" t="n">
        <f aca="false">(YEAR($A274)-YEAR(Premissas!$C$18))*12+MONTH($A274)-MONTH(Premissas!$C$18)</f>
        <v>273</v>
      </c>
      <c r="D274" s="16" t="n">
        <f aca="false">($A274=Premissas!$C$19)*Premissas!$C$8+(($A274=EDATE(Premissas!$C$19,1))+($A274=EDATE(Premissas!$C$19,2)))*Premissas!$C$9+AND($A274&gt;=Premissas!$C$20,$A274&lt;EDATE(Premissas!$C$20,Premissas!$C$21))*Premissas!$C$10+(($A274=Premissas!$C$22)+($A274=Premissas!$C$23)+($A274=Premissas!$C$24))*Premissas!$C$11+($A274=Premissas!$C$25)*Premissas!$C$12</f>
        <v>0</v>
      </c>
      <c r="E274" s="36" t="n">
        <f aca="false">(1+Premissas!$C$57)^C274</f>
        <v>3.38059742763057</v>
      </c>
      <c r="F274" s="16" t="n">
        <f aca="false">D274*E274</f>
        <v>0</v>
      </c>
      <c r="G274" s="16" t="n">
        <f aca="false">($A274=Premissas!$C$25)*Premissas!$C$34*Premissas!$C$14*(1+Premissas!$C$57)^C274</f>
        <v>0</v>
      </c>
      <c r="H274" s="16" t="n">
        <f aca="false">IF(AND($A274&gt;Premissas!$C$25,$A274&lt;Premissas!$C$27),Premissas!$C$35/MAX(1,Premissas!$C$26),0)</f>
        <v>0</v>
      </c>
      <c r="I274" s="35" t="n">
        <f aca="false">IF(AND($A274&gt;Premissas!$C$25,((YEAR($A274)-YEAR(Premissas!$C$25))*12+MONTH($A274)-MONTH(Premissas!$C$25))&lt;=Premissas!$C$32),((YEAR($A274)-YEAR(Premissas!$C$25))*12+MONTH($A274)-MONTH(Premissas!$C$25)),0)</f>
        <v>0</v>
      </c>
      <c r="J274" s="16" t="n">
        <f aca="false">IF(I274&gt;0,N273*(1+Premissas!$C$59),0)</f>
        <v>0</v>
      </c>
      <c r="K274" s="16" t="n">
        <f aca="false">J274*Premissas!$C$58</f>
        <v>0</v>
      </c>
      <c r="L274" s="16" t="n">
        <f aca="false">IF(I274&gt;0,J274/(Premissas!$C$32-I274+1),0)</f>
        <v>0</v>
      </c>
      <c r="M274" s="16" t="n">
        <f aca="false">K274+L274</f>
        <v>0</v>
      </c>
      <c r="N274" s="16" t="n">
        <f aca="false">IF($A274=Premissas!$C$25,Premissas!$C$13*E274,IF(I274&gt;0,J274-L274,0))</f>
        <v>0</v>
      </c>
      <c r="O274" s="37" t="n">
        <f aca="false">IF($A274&gt;=Premissas!$C$27,Premissas!$C$39*IF(((YEAR($A274)-YEAR(Premissas!$C$27))*12+MONTH($A274)-MONTH(Premissas!$C$27))&lt;Premissas!$C$41,Premissas!$C$42,1),0)</f>
        <v>0.62</v>
      </c>
      <c r="P274" s="16" t="n">
        <f aca="false">O274*Premissas!$C$38*Premissas!$C$40*(1+Premissas!$C$60)^((YEAR($A274)-YEAR(Premissas!$C$19))*12+MONTH($A274)-MONTH(Premissas!$C$19))</f>
        <v>10305.5569951898</v>
      </c>
      <c r="Q274" s="16" t="n">
        <f aca="false">P274*Premissas!$C$43</f>
        <v>1648.88911923037</v>
      </c>
      <c r="R274" s="16" t="n">
        <f aca="false">P274*Premissas!$C$44</f>
        <v>2061.11139903796</v>
      </c>
      <c r="S274" s="16" t="n">
        <f aca="false">IF($A274&gt;=Premissas!$C$25,Premissas!$C$45*(1+Premissas!$C$60)^((YEAR($A274)-YEAR(Premissas!$C$19))*12+MONTH($A274)-MONTH(Premissas!$C$19)),0)</f>
        <v>1806.72457839934</v>
      </c>
      <c r="T274" s="16" t="n">
        <f aca="false">IF($A274&gt;=Premissas!$C$27,Premissas!$C$46*(1+Premissas!$C$60)^((YEAR($A274)-YEAR(Premissas!$C$19))*12+MONTH($A274)-MONTH(Premissas!$C$19)),0)</f>
        <v>722.689831359734</v>
      </c>
      <c r="U274" s="16" t="n">
        <f aca="false">IF($A274&gt;=Premissas!$C$27,Premissas!$C$47*(1+Premissas!$C$60)^((YEAR($A274)-YEAR(Premissas!$C$19))*12+MONTH($A274)-MONTH(Premissas!$C$19)),0)</f>
        <v>361.344915679867</v>
      </c>
      <c r="V274" s="16" t="n">
        <f aca="false">IF($A274&gt;=Premissas!$C$27,MAX(0,P274-Q274-R274-S274)*Premissas!$C$49,0)</f>
        <v>1316.92877209359</v>
      </c>
      <c r="W274" s="16" t="n">
        <f aca="false">P274-Q274-R274-S274-T274-U274-V274</f>
        <v>2387.86837938895</v>
      </c>
      <c r="X274" s="16" t="n">
        <f aca="false">W274-F274-G274-H274-M274</f>
        <v>2387.86837938895</v>
      </c>
      <c r="Y274" s="16" t="n">
        <f aca="false">Y273+X274</f>
        <v>-489762.630662286</v>
      </c>
      <c r="Z274" s="16" t="n">
        <f aca="false">Premissas!$C$14*(1+Premissas!$C$57)^((YEAR(Premissas!$C$19)-YEAR(Premissas!$C$18))*12+MONTH(Premissas!$C$19)-MONTH(Premissas!$C$18))*(1+Premissas!$C$61)^((YEAR($A274)-YEAR(Premissas!$C$19))*12+MONTH($A274)-MONTH(Premissas!$C$19))</f>
        <v>1427645.260602</v>
      </c>
      <c r="AA274" s="16" t="n">
        <f aca="false">IF($A274&gt;=Premissas!$C$25,Z274*(1-Premissas!$C$53)-N274-Premissas!$C$54*MAX(0,Z274*(1-Premissas!$C$53)-(Premissas!$C$14*(1+Premissas!$C$57)^((YEAR(Premissas!$C$25)-YEAR(Premissas!$C$18))*12+MONTH(Premissas!$C$25)-MONTH(Premissas!$C$18))*(1+Premissas!$C$34))),"")</f>
        <v>1221890.77273267</v>
      </c>
      <c r="AB274" s="16" t="n">
        <f aca="false">IF($A274&gt;=Premissas!$C$25,Y274+AA274,"")</f>
        <v>732128.142070381</v>
      </c>
      <c r="AC274" s="20" t="n">
        <f aca="false">IF(AND($A274&gt;=Premissas!$C$27,W274&gt;=M274),$A274,"")</f>
        <v>54575</v>
      </c>
      <c r="AD274" s="20" t="str">
        <f aca="false">IF(AND($A274&gt;=Premissas!$C$27,Y274&gt;=0),$A274,"")</f>
        <v/>
      </c>
      <c r="AE274" s="20" t="n">
        <f aca="false">IF(AND($A274&gt;=Premissas!$C$25,N(AB274)&gt;=0),$A274,"")</f>
        <v>54575</v>
      </c>
    </row>
    <row r="275" customFormat="false" ht="15" hidden="false" customHeight="false" outlineLevel="0" collapsed="false">
      <c r="A275" s="20" t="n">
        <f aca="false">DATE(YEAR(A274),MONTH(A274)+1,1)</f>
        <v>54605</v>
      </c>
      <c r="B275" s="5" t="str">
        <f aca="false">IF($A275&lt;Premissas!$C$25,"Obra",IF($A275=Premissas!$C$25,"Chaves",IF($A275&lt;Premissas!$C$27,"Mobiliando","Airbnb")))</f>
        <v>Airbnb</v>
      </c>
      <c r="C275" s="35" t="n">
        <f aca="false">(YEAR($A275)-YEAR(Premissas!$C$18))*12+MONTH($A275)-MONTH(Premissas!$C$18)</f>
        <v>274</v>
      </c>
      <c r="D275" s="16" t="n">
        <f aca="false">($A275=Premissas!$C$19)*Premissas!$C$8+(($A275=EDATE(Premissas!$C$19,1))+($A275=EDATE(Premissas!$C$19,2)))*Premissas!$C$9+AND($A275&gt;=Premissas!$C$20,$A275&lt;EDATE(Premissas!$C$20,Premissas!$C$21))*Premissas!$C$10+(($A275=Premissas!$C$22)+($A275=Premissas!$C$23)+($A275=Premissas!$C$24))*Premissas!$C$11+($A275=Premissas!$C$25)*Premissas!$C$12</f>
        <v>0</v>
      </c>
      <c r="E275" s="36" t="n">
        <f aca="false">(1+Premissas!$C$57)^C275</f>
        <v>3.39571444148666</v>
      </c>
      <c r="F275" s="16" t="n">
        <f aca="false">D275*E275</f>
        <v>0</v>
      </c>
      <c r="G275" s="16" t="n">
        <f aca="false">($A275=Premissas!$C$25)*Premissas!$C$34*Premissas!$C$14*(1+Premissas!$C$57)^C275</f>
        <v>0</v>
      </c>
      <c r="H275" s="16" t="n">
        <f aca="false">IF(AND($A275&gt;Premissas!$C$25,$A275&lt;Premissas!$C$27),Premissas!$C$35/MAX(1,Premissas!$C$26),0)</f>
        <v>0</v>
      </c>
      <c r="I275" s="35" t="n">
        <f aca="false">IF(AND($A275&gt;Premissas!$C$25,((YEAR($A275)-YEAR(Premissas!$C$25))*12+MONTH($A275)-MONTH(Premissas!$C$25))&lt;=Premissas!$C$32),((YEAR($A275)-YEAR(Premissas!$C$25))*12+MONTH($A275)-MONTH(Premissas!$C$25)),0)</f>
        <v>0</v>
      </c>
      <c r="J275" s="16" t="n">
        <f aca="false">IF(I275&gt;0,N274*(1+Premissas!$C$59),0)</f>
        <v>0</v>
      </c>
      <c r="K275" s="16" t="n">
        <f aca="false">J275*Premissas!$C$58</f>
        <v>0</v>
      </c>
      <c r="L275" s="16" t="n">
        <f aca="false">IF(I275&gt;0,J275/(Premissas!$C$32-I275+1),0)</f>
        <v>0</v>
      </c>
      <c r="M275" s="16" t="n">
        <f aca="false">K275+L275</f>
        <v>0</v>
      </c>
      <c r="N275" s="16" t="n">
        <f aca="false">IF($A275=Premissas!$C$25,Premissas!$C$13*E275,IF(I275&gt;0,J275-L275,0))</f>
        <v>0</v>
      </c>
      <c r="O275" s="37" t="n">
        <f aca="false">IF($A275&gt;=Premissas!$C$27,Premissas!$C$39*IF(((YEAR($A275)-YEAR(Premissas!$C$27))*12+MONTH($A275)-MONTH(Premissas!$C$27))&lt;Premissas!$C$41,Premissas!$C$42,1),0)</f>
        <v>0.62</v>
      </c>
      <c r="P275" s="16" t="n">
        <f aca="false">O275*Premissas!$C$38*Premissas!$C$40*(1+Premissas!$C$60)^((YEAR($A275)-YEAR(Premissas!$C$19))*12+MONTH($A275)-MONTH(Premissas!$C$19))</f>
        <v>10339.2947071027</v>
      </c>
      <c r="Q275" s="16" t="n">
        <f aca="false">P275*Premissas!$C$43</f>
        <v>1654.28715313643</v>
      </c>
      <c r="R275" s="16" t="n">
        <f aca="false">P275*Premissas!$C$44</f>
        <v>2067.85894142054</v>
      </c>
      <c r="S275" s="16" t="n">
        <f aca="false">IF($A275&gt;=Premissas!$C$25,Premissas!$C$45*(1+Premissas!$C$60)^((YEAR($A275)-YEAR(Premissas!$C$19))*12+MONTH($A275)-MONTH(Premissas!$C$19)),0)</f>
        <v>1812.63932452712</v>
      </c>
      <c r="T275" s="16" t="n">
        <f aca="false">IF($A275&gt;=Premissas!$C$27,Premissas!$C$46*(1+Premissas!$C$60)^((YEAR($A275)-YEAR(Premissas!$C$19))*12+MONTH($A275)-MONTH(Premissas!$C$19)),0)</f>
        <v>725.055729810847</v>
      </c>
      <c r="U275" s="16" t="n">
        <f aca="false">IF($A275&gt;=Premissas!$C$27,Premissas!$C$47*(1+Premissas!$C$60)^((YEAR($A275)-YEAR(Premissas!$C$19))*12+MONTH($A275)-MONTH(Premissas!$C$19)),0)</f>
        <v>362.527864905424</v>
      </c>
      <c r="V275" s="16" t="n">
        <f aca="false">IF($A275&gt;=Premissas!$C$27,MAX(0,P275-Q275-R275-S275)*Premissas!$C$49,0)</f>
        <v>1321.24005420511</v>
      </c>
      <c r="W275" s="16" t="n">
        <f aca="false">P275-Q275-R275-S275-T275-U275-V275</f>
        <v>2395.68563909721</v>
      </c>
      <c r="X275" s="16" t="n">
        <f aca="false">W275-F275-G275-H275-M275</f>
        <v>2395.68563909721</v>
      </c>
      <c r="Y275" s="16" t="n">
        <f aca="false">Y274+X275</f>
        <v>-487366.945023188</v>
      </c>
      <c r="Z275" s="16" t="n">
        <f aca="false">Premissas!$C$14*(1+Premissas!$C$57)^((YEAR(Premissas!$C$19)-YEAR(Premissas!$C$18))*12+MONTH(Premissas!$C$19)-MONTH(Premissas!$C$18))*(1+Premissas!$C$61)^((YEAR($A275)-YEAR(Premissas!$C$19))*12+MONTH($A275)-MONTH(Premissas!$C$19))</f>
        <v>1433461.66411284</v>
      </c>
      <c r="AA275" s="16" t="n">
        <f aca="false">IF($A275&gt;=Premissas!$C$25,Z275*(1-Premissas!$C$53)-N275-Premissas!$C$54*MAX(0,Z275*(1-Premissas!$C$53)-(Premissas!$C$14*(1+Premissas!$C$57)^((YEAR(Premissas!$C$25)-YEAR(Premissas!$C$18))*12+MONTH(Premissas!$C$25)-MONTH(Premissas!$C$18))*(1+Premissas!$C$34))),"")</f>
        <v>1226538.07913782</v>
      </c>
      <c r="AB275" s="16" t="n">
        <f aca="false">IF($A275&gt;=Premissas!$C$25,Y275+AA275,"")</f>
        <v>739171.134114633</v>
      </c>
      <c r="AC275" s="20" t="n">
        <f aca="false">IF(AND($A275&gt;=Premissas!$C$27,W275&gt;=M275),$A275,"")</f>
        <v>54605</v>
      </c>
      <c r="AD275" s="20" t="str">
        <f aca="false">IF(AND($A275&gt;=Premissas!$C$27,Y275&gt;=0),$A275,"")</f>
        <v/>
      </c>
      <c r="AE275" s="20" t="n">
        <f aca="false">IF(AND($A275&gt;=Premissas!$C$25,N(AB275)&gt;=0),$A275,"")</f>
        <v>54605</v>
      </c>
    </row>
    <row r="276" customFormat="false" ht="15" hidden="false" customHeight="false" outlineLevel="0" collapsed="false">
      <c r="A276" s="20" t="n">
        <f aca="false">DATE(YEAR(A275),MONTH(A275)+1,1)</f>
        <v>54636</v>
      </c>
      <c r="B276" s="5" t="str">
        <f aca="false">IF($A276&lt;Premissas!$C$25,"Obra",IF($A276=Premissas!$C$25,"Chaves",IF($A276&lt;Premissas!$C$27,"Mobiliando","Airbnb")))</f>
        <v>Airbnb</v>
      </c>
      <c r="C276" s="35" t="n">
        <f aca="false">(YEAR($A276)-YEAR(Premissas!$C$18))*12+MONTH($A276)-MONTH(Premissas!$C$18)</f>
        <v>275</v>
      </c>
      <c r="D276" s="16" t="n">
        <f aca="false">($A276=Premissas!$C$19)*Premissas!$C$8+(($A276=EDATE(Premissas!$C$19,1))+($A276=EDATE(Premissas!$C$19,2)))*Premissas!$C$9+AND($A276&gt;=Premissas!$C$20,$A276&lt;EDATE(Premissas!$C$20,Premissas!$C$21))*Premissas!$C$10+(($A276=Premissas!$C$22)+($A276=Premissas!$C$23)+($A276=Premissas!$C$24))*Premissas!$C$11+($A276=Premissas!$C$25)*Premissas!$C$12</f>
        <v>0</v>
      </c>
      <c r="E276" s="36" t="n">
        <f aca="false">(1+Premissas!$C$57)^C276</f>
        <v>3.41089905407725</v>
      </c>
      <c r="F276" s="16" t="n">
        <f aca="false">D276*E276</f>
        <v>0</v>
      </c>
      <c r="G276" s="16" t="n">
        <f aca="false">($A276=Premissas!$C$25)*Premissas!$C$34*Premissas!$C$14*(1+Premissas!$C$57)^C276</f>
        <v>0</v>
      </c>
      <c r="H276" s="16" t="n">
        <f aca="false">IF(AND($A276&gt;Premissas!$C$25,$A276&lt;Premissas!$C$27),Premissas!$C$35/MAX(1,Premissas!$C$26),0)</f>
        <v>0</v>
      </c>
      <c r="I276" s="35" t="n">
        <f aca="false">IF(AND($A276&gt;Premissas!$C$25,((YEAR($A276)-YEAR(Premissas!$C$25))*12+MONTH($A276)-MONTH(Premissas!$C$25))&lt;=Premissas!$C$32),((YEAR($A276)-YEAR(Premissas!$C$25))*12+MONTH($A276)-MONTH(Premissas!$C$25)),0)</f>
        <v>0</v>
      </c>
      <c r="J276" s="16" t="n">
        <f aca="false">IF(I276&gt;0,N275*(1+Premissas!$C$59),0)</f>
        <v>0</v>
      </c>
      <c r="K276" s="16" t="n">
        <f aca="false">J276*Premissas!$C$58</f>
        <v>0</v>
      </c>
      <c r="L276" s="16" t="n">
        <f aca="false">IF(I276&gt;0,J276/(Premissas!$C$32-I276+1),0)</f>
        <v>0</v>
      </c>
      <c r="M276" s="16" t="n">
        <f aca="false">K276+L276</f>
        <v>0</v>
      </c>
      <c r="N276" s="16" t="n">
        <f aca="false">IF($A276=Premissas!$C$25,Premissas!$C$13*E276,IF(I276&gt;0,J276-L276,0))</f>
        <v>0</v>
      </c>
      <c r="O276" s="37" t="n">
        <f aca="false">IF($A276&gt;=Premissas!$C$27,Premissas!$C$39*IF(((YEAR($A276)-YEAR(Premissas!$C$27))*12+MONTH($A276)-MONTH(Premissas!$C$27))&lt;Premissas!$C$41,Premissas!$C$42,1),0)</f>
        <v>0.62</v>
      </c>
      <c r="P276" s="16" t="n">
        <f aca="false">O276*Premissas!$C$38*Premissas!$C$40*(1+Premissas!$C$60)^((YEAR($A276)-YEAR(Premissas!$C$19))*12+MONTH($A276)-MONTH(Premissas!$C$19))</f>
        <v>10373.1428675052</v>
      </c>
      <c r="Q276" s="16" t="n">
        <f aca="false">P276*Premissas!$C$43</f>
        <v>1659.70285880083</v>
      </c>
      <c r="R276" s="16" t="n">
        <f aca="false">P276*Premissas!$C$44</f>
        <v>2074.62857350104</v>
      </c>
      <c r="S276" s="16" t="n">
        <f aca="false">IF($A276&gt;=Premissas!$C$25,Premissas!$C$45*(1+Premissas!$C$60)^((YEAR($A276)-YEAR(Premissas!$C$19))*12+MONTH($A276)-MONTH(Premissas!$C$19)),0)</f>
        <v>1818.5734339946</v>
      </c>
      <c r="T276" s="16" t="n">
        <f aca="false">IF($A276&gt;=Premissas!$C$27,Premissas!$C$46*(1+Premissas!$C$60)^((YEAR($A276)-YEAR(Premissas!$C$19))*12+MONTH($A276)-MONTH(Premissas!$C$19)),0)</f>
        <v>727.42937359784</v>
      </c>
      <c r="U276" s="16" t="n">
        <f aca="false">IF($A276&gt;=Premissas!$C$27,Premissas!$C$47*(1+Premissas!$C$60)^((YEAR($A276)-YEAR(Premissas!$C$19))*12+MONTH($A276)-MONTH(Premissas!$C$19)),0)</f>
        <v>363.71468679892</v>
      </c>
      <c r="V276" s="16" t="n">
        <f aca="false">IF($A276&gt;=Premissas!$C$27,MAX(0,P276-Q276-R276-S276)*Premissas!$C$49,0)</f>
        <v>1325.5654503324</v>
      </c>
      <c r="W276" s="16" t="n">
        <f aca="false">P276-Q276-R276-S276-T276-U276-V276</f>
        <v>2403.52849047957</v>
      </c>
      <c r="X276" s="16" t="n">
        <f aca="false">W276-F276-G276-H276-M276</f>
        <v>2403.52849047957</v>
      </c>
      <c r="Y276" s="16" t="n">
        <f aca="false">Y275+X276</f>
        <v>-484963.416532709</v>
      </c>
      <c r="Z276" s="16" t="n">
        <f aca="false">Premissas!$C$14*(1+Premissas!$C$57)^((YEAR(Premissas!$C$19)-YEAR(Premissas!$C$18))*12+MONTH(Premissas!$C$19)-MONTH(Premissas!$C$18))*(1+Premissas!$C$61)^((YEAR($A276)-YEAR(Premissas!$C$19))*12+MONTH($A276)-MONTH(Premissas!$C$19))</f>
        <v>1439301.76437155</v>
      </c>
      <c r="AA276" s="16" t="n">
        <f aca="false">IF($A276&gt;=Premissas!$C$25,Z276*(1-Premissas!$C$53)-N276-Premissas!$C$54*MAX(0,Z276*(1-Premissas!$C$53)-(Premissas!$C$14*(1+Premissas!$C$57)^((YEAR(Premissas!$C$25)-YEAR(Premissas!$C$18))*12+MONTH(Premissas!$C$25)-MONTH(Premissas!$C$18))*(1+Premissas!$C$34))),"")</f>
        <v>1231204.31924453</v>
      </c>
      <c r="AB276" s="16" t="n">
        <f aca="false">IF($A276&gt;=Premissas!$C$25,Y276+AA276,"")</f>
        <v>746240.902711822</v>
      </c>
      <c r="AC276" s="20" t="n">
        <f aca="false">IF(AND($A276&gt;=Premissas!$C$27,W276&gt;=M276),$A276,"")</f>
        <v>54636</v>
      </c>
      <c r="AD276" s="20" t="str">
        <f aca="false">IF(AND($A276&gt;=Premissas!$C$27,Y276&gt;=0),$A276,"")</f>
        <v/>
      </c>
      <c r="AE276" s="20" t="n">
        <f aca="false">IF(AND($A276&gt;=Premissas!$C$25,N(AB276)&gt;=0),$A276,"")</f>
        <v>54636</v>
      </c>
    </row>
    <row r="277" customFormat="false" ht="15" hidden="false" customHeight="false" outlineLevel="0" collapsed="false">
      <c r="A277" s="20" t="n">
        <f aca="false">DATE(YEAR(A276),MONTH(A276)+1,1)</f>
        <v>54667</v>
      </c>
      <c r="B277" s="5" t="str">
        <f aca="false">IF($A277&lt;Premissas!$C$25,"Obra",IF($A277=Premissas!$C$25,"Chaves",IF($A277&lt;Premissas!$C$27,"Mobiliando","Airbnb")))</f>
        <v>Airbnb</v>
      </c>
      <c r="C277" s="35" t="n">
        <f aca="false">(YEAR($A277)-YEAR(Premissas!$C$18))*12+MONTH($A277)-MONTH(Premissas!$C$18)</f>
        <v>276</v>
      </c>
      <c r="D277" s="16" t="n">
        <f aca="false">($A277=Premissas!$C$19)*Premissas!$C$8+(($A277=EDATE(Premissas!$C$19,1))+($A277=EDATE(Premissas!$C$19,2)))*Premissas!$C$9+AND($A277&gt;=Premissas!$C$20,$A277&lt;EDATE(Premissas!$C$20,Premissas!$C$21))*Premissas!$C$10+(($A277=Premissas!$C$22)+($A277=Premissas!$C$23)+($A277=Premissas!$C$24))*Premissas!$C$11+($A277=Premissas!$C$25)*Premissas!$C$12</f>
        <v>0</v>
      </c>
      <c r="E277" s="36" t="n">
        <f aca="false">(1+Premissas!$C$57)^C277</f>
        <v>3.42615156768351</v>
      </c>
      <c r="F277" s="16" t="n">
        <f aca="false">D277*E277</f>
        <v>0</v>
      </c>
      <c r="G277" s="16" t="n">
        <f aca="false">($A277=Premissas!$C$25)*Premissas!$C$34*Premissas!$C$14*(1+Premissas!$C$57)^C277</f>
        <v>0</v>
      </c>
      <c r="H277" s="16" t="n">
        <f aca="false">IF(AND($A277&gt;Premissas!$C$25,$A277&lt;Premissas!$C$27),Premissas!$C$35/MAX(1,Premissas!$C$26),0)</f>
        <v>0</v>
      </c>
      <c r="I277" s="35" t="n">
        <f aca="false">IF(AND($A277&gt;Premissas!$C$25,((YEAR($A277)-YEAR(Premissas!$C$25))*12+MONTH($A277)-MONTH(Premissas!$C$25))&lt;=Premissas!$C$32),((YEAR($A277)-YEAR(Premissas!$C$25))*12+MONTH($A277)-MONTH(Premissas!$C$25)),0)</f>
        <v>0</v>
      </c>
      <c r="J277" s="16" t="n">
        <f aca="false">IF(I277&gt;0,N276*(1+Premissas!$C$59),0)</f>
        <v>0</v>
      </c>
      <c r="K277" s="16" t="n">
        <f aca="false">J277*Premissas!$C$58</f>
        <v>0</v>
      </c>
      <c r="L277" s="16" t="n">
        <f aca="false">IF(I277&gt;0,J277/(Premissas!$C$32-I277+1),0)</f>
        <v>0</v>
      </c>
      <c r="M277" s="16" t="n">
        <f aca="false">K277+L277</f>
        <v>0</v>
      </c>
      <c r="N277" s="16" t="n">
        <f aca="false">IF($A277=Premissas!$C$25,Premissas!$C$13*E277,IF(I277&gt;0,J277-L277,0))</f>
        <v>0</v>
      </c>
      <c r="O277" s="37" t="n">
        <f aca="false">IF($A277&gt;=Premissas!$C$27,Premissas!$C$39*IF(((YEAR($A277)-YEAR(Premissas!$C$27))*12+MONTH($A277)-MONTH(Premissas!$C$27))&lt;Premissas!$C$41,Premissas!$C$42,1),0)</f>
        <v>0.62</v>
      </c>
      <c r="P277" s="16" t="n">
        <f aca="false">O277*Premissas!$C$38*Premissas!$C$40*(1+Premissas!$C$60)^((YEAR($A277)-YEAR(Premissas!$C$19))*12+MONTH($A277)-MONTH(Premissas!$C$19))</f>
        <v>10407.101837977</v>
      </c>
      <c r="Q277" s="16" t="n">
        <f aca="false">P277*Premissas!$C$43</f>
        <v>1665.13629407632</v>
      </c>
      <c r="R277" s="16" t="n">
        <f aca="false">P277*Premissas!$C$44</f>
        <v>2081.4203675954</v>
      </c>
      <c r="S277" s="16" t="n">
        <f aca="false">IF($A277&gt;=Premissas!$C$25,Premissas!$C$45*(1+Premissas!$C$60)^((YEAR($A277)-YEAR(Premissas!$C$19))*12+MONTH($A277)-MONTH(Premissas!$C$19)),0)</f>
        <v>1824.52697019232</v>
      </c>
      <c r="T277" s="16" t="n">
        <f aca="false">IF($A277&gt;=Premissas!$C$27,Premissas!$C$46*(1+Premissas!$C$60)^((YEAR($A277)-YEAR(Premissas!$C$19))*12+MONTH($A277)-MONTH(Premissas!$C$19)),0)</f>
        <v>729.810788076927</v>
      </c>
      <c r="U277" s="16" t="n">
        <f aca="false">IF($A277&gt;=Premissas!$C$27,Premissas!$C$47*(1+Premissas!$C$60)^((YEAR($A277)-YEAR(Premissas!$C$19))*12+MONTH($A277)-MONTH(Premissas!$C$19)),0)</f>
        <v>364.905394038464</v>
      </c>
      <c r="V277" s="16" t="n">
        <f aca="false">IF($A277&gt;=Premissas!$C$27,MAX(0,P277-Q277-R277-S277)*Premissas!$C$49,0)</f>
        <v>1329.90500668106</v>
      </c>
      <c r="W277" s="16" t="n">
        <f aca="false">P277-Q277-R277-S277-T277-U277-V277</f>
        <v>2411.3970173165</v>
      </c>
      <c r="X277" s="16" t="n">
        <f aca="false">W277-F277-G277-H277-M277</f>
        <v>2411.3970173165</v>
      </c>
      <c r="Y277" s="16" t="n">
        <f aca="false">Y276+X277</f>
        <v>-482552.019515392</v>
      </c>
      <c r="Z277" s="16" t="n">
        <f aca="false">Premissas!$C$14*(1+Premissas!$C$57)^((YEAR(Premissas!$C$19)-YEAR(Premissas!$C$18))*12+MONTH(Premissas!$C$19)-MONTH(Premissas!$C$18))*(1+Premissas!$C$61)^((YEAR($A277)-YEAR(Premissas!$C$19))*12+MONTH($A277)-MONTH(Premissas!$C$19))</f>
        <v>1445165.65792162</v>
      </c>
      <c r="AA277" s="16" t="n">
        <f aca="false">IF($A277&gt;=Premissas!$C$25,Z277*(1-Premissas!$C$53)-N277-Premissas!$C$54*MAX(0,Z277*(1-Premissas!$C$53)-(Premissas!$C$14*(1+Premissas!$C$57)^((YEAR(Premissas!$C$25)-YEAR(Premissas!$C$18))*12+MONTH(Premissas!$C$25)-MONTH(Premissas!$C$18))*(1+Premissas!$C$34))),"")</f>
        <v>1235889.57019104</v>
      </c>
      <c r="AB277" s="16" t="n">
        <f aca="false">IF($A277&gt;=Premissas!$C$25,Y277+AA277,"")</f>
        <v>753337.550675646</v>
      </c>
      <c r="AC277" s="20" t="n">
        <f aca="false">IF(AND($A277&gt;=Premissas!$C$27,W277&gt;=M277),$A277,"")</f>
        <v>54667</v>
      </c>
      <c r="AD277" s="20" t="str">
        <f aca="false">IF(AND($A277&gt;=Premissas!$C$27,Y277&gt;=0),$A277,"")</f>
        <v/>
      </c>
      <c r="AE277" s="20" t="n">
        <f aca="false">IF(AND($A277&gt;=Premissas!$C$25,N(AB277)&gt;=0),$A277,"")</f>
        <v>54667</v>
      </c>
    </row>
    <row r="278" customFormat="false" ht="15" hidden="false" customHeight="false" outlineLevel="0" collapsed="false">
      <c r="A278" s="20" t="n">
        <f aca="false">DATE(YEAR(A277),MONTH(A277)+1,1)</f>
        <v>54697</v>
      </c>
      <c r="B278" s="5" t="str">
        <f aca="false">IF($A278&lt;Premissas!$C$25,"Obra",IF($A278=Premissas!$C$25,"Chaves",IF($A278&lt;Premissas!$C$27,"Mobiliando","Airbnb")))</f>
        <v>Airbnb</v>
      </c>
      <c r="C278" s="35" t="n">
        <f aca="false">(YEAR($A278)-YEAR(Premissas!$C$18))*12+MONTH($A278)-MONTH(Premissas!$C$18)</f>
        <v>277</v>
      </c>
      <c r="D278" s="16" t="n">
        <f aca="false">($A278=Premissas!$C$19)*Premissas!$C$8+(($A278=EDATE(Premissas!$C$19,1))+($A278=EDATE(Premissas!$C$19,2)))*Premissas!$C$9+AND($A278&gt;=Premissas!$C$20,$A278&lt;EDATE(Premissas!$C$20,Premissas!$C$21))*Premissas!$C$10+(($A278=Premissas!$C$22)+($A278=Premissas!$C$23)+($A278=Premissas!$C$24))*Premissas!$C$11+($A278=Premissas!$C$25)*Premissas!$C$12</f>
        <v>0</v>
      </c>
      <c r="E278" s="36" t="n">
        <f aca="false">(1+Premissas!$C$57)^C278</f>
        <v>3.44147228593834</v>
      </c>
      <c r="F278" s="16" t="n">
        <f aca="false">D278*E278</f>
        <v>0</v>
      </c>
      <c r="G278" s="16" t="n">
        <f aca="false">($A278=Premissas!$C$25)*Premissas!$C$34*Premissas!$C$14*(1+Premissas!$C$57)^C278</f>
        <v>0</v>
      </c>
      <c r="H278" s="16" t="n">
        <f aca="false">IF(AND($A278&gt;Premissas!$C$25,$A278&lt;Premissas!$C$27),Premissas!$C$35/MAX(1,Premissas!$C$26),0)</f>
        <v>0</v>
      </c>
      <c r="I278" s="35" t="n">
        <f aca="false">IF(AND($A278&gt;Premissas!$C$25,((YEAR($A278)-YEAR(Premissas!$C$25))*12+MONTH($A278)-MONTH(Premissas!$C$25))&lt;=Premissas!$C$32),((YEAR($A278)-YEAR(Premissas!$C$25))*12+MONTH($A278)-MONTH(Premissas!$C$25)),0)</f>
        <v>0</v>
      </c>
      <c r="J278" s="16" t="n">
        <f aca="false">IF(I278&gt;0,N277*(1+Premissas!$C$59),0)</f>
        <v>0</v>
      </c>
      <c r="K278" s="16" t="n">
        <f aca="false">J278*Premissas!$C$58</f>
        <v>0</v>
      </c>
      <c r="L278" s="16" t="n">
        <f aca="false">IF(I278&gt;0,J278/(Premissas!$C$32-I278+1),0)</f>
        <v>0</v>
      </c>
      <c r="M278" s="16" t="n">
        <f aca="false">K278+L278</f>
        <v>0</v>
      </c>
      <c r="N278" s="16" t="n">
        <f aca="false">IF($A278=Premissas!$C$25,Premissas!$C$13*E278,IF(I278&gt;0,J278-L278,0))</f>
        <v>0</v>
      </c>
      <c r="O278" s="37" t="n">
        <f aca="false">IF($A278&gt;=Premissas!$C$27,Premissas!$C$39*IF(((YEAR($A278)-YEAR(Premissas!$C$27))*12+MONTH($A278)-MONTH(Premissas!$C$27))&lt;Premissas!$C$41,Premissas!$C$42,1),0)</f>
        <v>0.62</v>
      </c>
      <c r="P278" s="16" t="n">
        <f aca="false">O278*Premissas!$C$38*Premissas!$C$40*(1+Premissas!$C$60)^((YEAR($A278)-YEAR(Premissas!$C$19))*12+MONTH($A278)-MONTH(Premissas!$C$19))</f>
        <v>10441.1719812814</v>
      </c>
      <c r="Q278" s="16" t="n">
        <f aca="false">P278*Premissas!$C$43</f>
        <v>1670.58751700502</v>
      </c>
      <c r="R278" s="16" t="n">
        <f aca="false">P278*Premissas!$C$44</f>
        <v>2088.23439625627</v>
      </c>
      <c r="S278" s="16" t="n">
        <f aca="false">IF($A278&gt;=Premissas!$C$25,Premissas!$C$45*(1+Premissas!$C$60)^((YEAR($A278)-YEAR(Premissas!$C$19))*12+MONTH($A278)-MONTH(Premissas!$C$19)),0)</f>
        <v>1830.49999671833</v>
      </c>
      <c r="T278" s="16" t="n">
        <f aca="false">IF($A278&gt;=Premissas!$C$27,Premissas!$C$46*(1+Premissas!$C$60)^((YEAR($A278)-YEAR(Premissas!$C$19))*12+MONTH($A278)-MONTH(Premissas!$C$19)),0)</f>
        <v>732.199998687333</v>
      </c>
      <c r="U278" s="16" t="n">
        <f aca="false">IF($A278&gt;=Premissas!$C$27,Premissas!$C$47*(1+Premissas!$C$60)^((YEAR($A278)-YEAR(Premissas!$C$19))*12+MONTH($A278)-MONTH(Premissas!$C$19)),0)</f>
        <v>366.099999343666</v>
      </c>
      <c r="V278" s="16" t="n">
        <f aca="false">IF($A278&gt;=Premissas!$C$27,MAX(0,P278-Q278-R278-S278)*Premissas!$C$49,0)</f>
        <v>1334.25876960798</v>
      </c>
      <c r="W278" s="16" t="n">
        <f aca="false">P278-Q278-R278-S278-T278-U278-V278</f>
        <v>2419.29130366276</v>
      </c>
      <c r="X278" s="16" t="n">
        <f aca="false">W278-F278-G278-H278-M278</f>
        <v>2419.29130366276</v>
      </c>
      <c r="Y278" s="16" t="n">
        <f aca="false">Y277+X278</f>
        <v>-480132.72821173</v>
      </c>
      <c r="Z278" s="16" t="n">
        <f aca="false">Premissas!$C$14*(1+Premissas!$C$57)^((YEAR(Premissas!$C$19)-YEAR(Premissas!$C$18))*12+MONTH(Premissas!$C$19)-MONTH(Premissas!$C$18))*(1+Premissas!$C$61)^((YEAR($A278)-YEAR(Premissas!$C$19))*12+MONTH($A278)-MONTH(Premissas!$C$19))</f>
        <v>1451053.44169987</v>
      </c>
      <c r="AA278" s="16" t="n">
        <f aca="false">IF($A278&gt;=Premissas!$C$25,Z278*(1-Premissas!$C$53)-N278-Premissas!$C$54*MAX(0,Z278*(1-Premissas!$C$53)-(Premissas!$C$14*(1+Premissas!$C$57)^((YEAR(Premissas!$C$25)-YEAR(Premissas!$C$18))*12+MONTH(Premissas!$C$25)-MONTH(Premissas!$C$18))*(1+Premissas!$C$34))),"")</f>
        <v>1240593.90942986</v>
      </c>
      <c r="AB278" s="16" t="n">
        <f aca="false">IF($A278&gt;=Premissas!$C$25,Y278+AA278,"")</f>
        <v>760461.181218131</v>
      </c>
      <c r="AC278" s="20" t="n">
        <f aca="false">IF(AND($A278&gt;=Premissas!$C$27,W278&gt;=M278),$A278,"")</f>
        <v>54697</v>
      </c>
      <c r="AD278" s="20" t="str">
        <f aca="false">IF(AND($A278&gt;=Premissas!$C$27,Y278&gt;=0),$A278,"")</f>
        <v/>
      </c>
      <c r="AE278" s="20" t="n">
        <f aca="false">IF(AND($A278&gt;=Premissas!$C$25,N(AB278)&gt;=0),$A278,"")</f>
        <v>54697</v>
      </c>
    </row>
    <row r="279" customFormat="false" ht="15" hidden="false" customHeight="false" outlineLevel="0" collapsed="false">
      <c r="A279" s="20" t="n">
        <f aca="false">DATE(YEAR(A278),MONTH(A278)+1,1)</f>
        <v>54728</v>
      </c>
      <c r="B279" s="5" t="str">
        <f aca="false">IF($A279&lt;Premissas!$C$25,"Obra",IF($A279=Premissas!$C$25,"Chaves",IF($A279&lt;Premissas!$C$27,"Mobiliando","Airbnb")))</f>
        <v>Airbnb</v>
      </c>
      <c r="C279" s="35" t="n">
        <f aca="false">(YEAR($A279)-YEAR(Premissas!$C$18))*12+MONTH($A279)-MONTH(Premissas!$C$18)</f>
        <v>278</v>
      </c>
      <c r="D279" s="16" t="n">
        <f aca="false">($A279=Premissas!$C$19)*Premissas!$C$8+(($A279=EDATE(Premissas!$C$19,1))+($A279=EDATE(Premissas!$C$19,2)))*Premissas!$C$9+AND($A279&gt;=Premissas!$C$20,$A279&lt;EDATE(Premissas!$C$20,Premissas!$C$21))*Premissas!$C$10+(($A279=Premissas!$C$22)+($A279=Premissas!$C$23)+($A279=Premissas!$C$24))*Premissas!$C$11+($A279=Premissas!$C$25)*Premissas!$C$12</f>
        <v>0</v>
      </c>
      <c r="E279" s="36" t="n">
        <f aca="false">(1+Premissas!$C$57)^C279</f>
        <v>3.45686151383241</v>
      </c>
      <c r="F279" s="16" t="n">
        <f aca="false">D279*E279</f>
        <v>0</v>
      </c>
      <c r="G279" s="16" t="n">
        <f aca="false">($A279=Premissas!$C$25)*Premissas!$C$34*Premissas!$C$14*(1+Premissas!$C$57)^C279</f>
        <v>0</v>
      </c>
      <c r="H279" s="16" t="n">
        <f aca="false">IF(AND($A279&gt;Premissas!$C$25,$A279&lt;Premissas!$C$27),Premissas!$C$35/MAX(1,Premissas!$C$26),0)</f>
        <v>0</v>
      </c>
      <c r="I279" s="35" t="n">
        <f aca="false">IF(AND($A279&gt;Premissas!$C$25,((YEAR($A279)-YEAR(Premissas!$C$25))*12+MONTH($A279)-MONTH(Premissas!$C$25))&lt;=Premissas!$C$32),((YEAR($A279)-YEAR(Premissas!$C$25))*12+MONTH($A279)-MONTH(Premissas!$C$25)),0)</f>
        <v>0</v>
      </c>
      <c r="J279" s="16" t="n">
        <f aca="false">IF(I279&gt;0,N278*(1+Premissas!$C$59),0)</f>
        <v>0</v>
      </c>
      <c r="K279" s="16" t="n">
        <f aca="false">J279*Premissas!$C$58</f>
        <v>0</v>
      </c>
      <c r="L279" s="16" t="n">
        <f aca="false">IF(I279&gt;0,J279/(Premissas!$C$32-I279+1),0)</f>
        <v>0</v>
      </c>
      <c r="M279" s="16" t="n">
        <f aca="false">K279+L279</f>
        <v>0</v>
      </c>
      <c r="N279" s="16" t="n">
        <f aca="false">IF($A279=Premissas!$C$25,Premissas!$C$13*E279,IF(I279&gt;0,J279-L279,0))</f>
        <v>0</v>
      </c>
      <c r="O279" s="37" t="n">
        <f aca="false">IF($A279&gt;=Premissas!$C$27,Premissas!$C$39*IF(((YEAR($A279)-YEAR(Premissas!$C$27))*12+MONTH($A279)-MONTH(Premissas!$C$27))&lt;Premissas!$C$41,Premissas!$C$42,1),0)</f>
        <v>0.62</v>
      </c>
      <c r="P279" s="16" t="n">
        <f aca="false">O279*Premissas!$C$38*Premissas!$C$40*(1+Premissas!$C$60)^((YEAR($A279)-YEAR(Premissas!$C$19))*12+MONTH($A279)-MONTH(Premissas!$C$19))</f>
        <v>10475.3536613693</v>
      </c>
      <c r="Q279" s="16" t="n">
        <f aca="false">P279*Premissas!$C$43</f>
        <v>1676.05658581908</v>
      </c>
      <c r="R279" s="16" t="n">
        <f aca="false">P279*Premissas!$C$44</f>
        <v>2095.07073227385</v>
      </c>
      <c r="S279" s="16" t="n">
        <f aca="false">IF($A279&gt;=Premissas!$C$25,Premissas!$C$45*(1+Premissas!$C$60)^((YEAR($A279)-YEAR(Premissas!$C$19))*12+MONTH($A279)-MONTH(Premissas!$C$19)),0)</f>
        <v>1836.4925773789</v>
      </c>
      <c r="T279" s="16" t="n">
        <f aca="false">IF($A279&gt;=Premissas!$C$27,Premissas!$C$46*(1+Premissas!$C$60)^((YEAR($A279)-YEAR(Premissas!$C$19))*12+MONTH($A279)-MONTH(Premissas!$C$19)),0)</f>
        <v>734.597030951561</v>
      </c>
      <c r="U279" s="16" t="n">
        <f aca="false">IF($A279&gt;=Premissas!$C$27,Premissas!$C$47*(1+Premissas!$C$60)^((YEAR($A279)-YEAR(Premissas!$C$19))*12+MONTH($A279)-MONTH(Premissas!$C$19)),0)</f>
        <v>367.298515475781</v>
      </c>
      <c r="V279" s="16" t="n">
        <f aca="false">IF($A279&gt;=Premissas!$C$27,MAX(0,P279-Q279-R279-S279)*Premissas!$C$49,0)</f>
        <v>1338.62678562179</v>
      </c>
      <c r="W279" s="16" t="n">
        <f aca="false">P279-Q279-R279-S279-T279-U279-V279</f>
        <v>2427.21143384829</v>
      </c>
      <c r="X279" s="16" t="n">
        <f aca="false">W279-F279-G279-H279-M279</f>
        <v>2427.21143384829</v>
      </c>
      <c r="Y279" s="16" t="n">
        <f aca="false">Y278+X279</f>
        <v>-477705.516777881</v>
      </c>
      <c r="Z279" s="16" t="n">
        <f aca="false">Premissas!$C$14*(1+Premissas!$C$57)^((YEAR(Premissas!$C$19)-YEAR(Premissas!$C$18))*12+MONTH(Premissas!$C$19)-MONTH(Premissas!$C$18))*(1+Premissas!$C$61)^((YEAR($A279)-YEAR(Premissas!$C$19))*12+MONTH($A279)-MONTH(Premissas!$C$19))</f>
        <v>1456965.21303804</v>
      </c>
      <c r="AA279" s="16" t="n">
        <f aca="false">IF($A279&gt;=Premissas!$C$25,Z279*(1-Premissas!$C$53)-N279-Premissas!$C$54*MAX(0,Z279*(1-Premissas!$C$53)-(Premissas!$C$14*(1+Premissas!$C$57)^((YEAR(Premissas!$C$25)-YEAR(Premissas!$C$18))*12+MONTH(Premissas!$C$25)-MONTH(Premissas!$C$18))*(1+Premissas!$C$34))),"")</f>
        <v>1245317.41472906</v>
      </c>
      <c r="AB279" s="16" t="n">
        <f aca="false">IF($A279&gt;=Premissas!$C$25,Y279+AA279,"")</f>
        <v>767611.897951181</v>
      </c>
      <c r="AC279" s="20" t="n">
        <f aca="false">IF(AND($A279&gt;=Premissas!$C$27,W279&gt;=M279),$A279,"")</f>
        <v>54728</v>
      </c>
      <c r="AD279" s="20" t="str">
        <f aca="false">IF(AND($A279&gt;=Premissas!$C$27,Y279&gt;=0),$A279,"")</f>
        <v/>
      </c>
      <c r="AE279" s="20" t="n">
        <f aca="false">IF(AND($A279&gt;=Premissas!$C$25,N(AB279)&gt;=0),$A279,"")</f>
        <v>54728</v>
      </c>
    </row>
    <row r="280" customFormat="false" ht="15" hidden="false" customHeight="false" outlineLevel="0" collapsed="false">
      <c r="A280" s="20" t="n">
        <f aca="false">DATE(YEAR(A279),MONTH(A279)+1,1)</f>
        <v>54758</v>
      </c>
      <c r="B280" s="5" t="str">
        <f aca="false">IF($A280&lt;Premissas!$C$25,"Obra",IF($A280=Premissas!$C$25,"Chaves",IF($A280&lt;Premissas!$C$27,"Mobiliando","Airbnb")))</f>
        <v>Airbnb</v>
      </c>
      <c r="C280" s="35" t="n">
        <f aca="false">(YEAR($A280)-YEAR(Premissas!$C$18))*12+MONTH($A280)-MONTH(Premissas!$C$18)</f>
        <v>279</v>
      </c>
      <c r="D280" s="16" t="n">
        <f aca="false">($A280=Premissas!$C$19)*Premissas!$C$8+(($A280=EDATE(Premissas!$C$19,1))+($A280=EDATE(Premissas!$C$19,2)))*Premissas!$C$9+AND($A280&gt;=Premissas!$C$20,$A280&lt;EDATE(Premissas!$C$20,Premissas!$C$21))*Premissas!$C$10+(($A280=Premissas!$C$22)+($A280=Premissas!$C$23)+($A280=Premissas!$C$24))*Premissas!$C$11+($A280=Premissas!$C$25)*Premissas!$C$12</f>
        <v>0</v>
      </c>
      <c r="E280" s="36" t="n">
        <f aca="false">(1+Premissas!$C$57)^C280</f>
        <v>3.47231955772018</v>
      </c>
      <c r="F280" s="16" t="n">
        <f aca="false">D280*E280</f>
        <v>0</v>
      </c>
      <c r="G280" s="16" t="n">
        <f aca="false">($A280=Premissas!$C$25)*Premissas!$C$34*Premissas!$C$14*(1+Premissas!$C$57)^C280</f>
        <v>0</v>
      </c>
      <c r="H280" s="16" t="n">
        <f aca="false">IF(AND($A280&gt;Premissas!$C$25,$A280&lt;Premissas!$C$27),Premissas!$C$35/MAX(1,Premissas!$C$26),0)</f>
        <v>0</v>
      </c>
      <c r="I280" s="35" t="n">
        <f aca="false">IF(AND($A280&gt;Premissas!$C$25,((YEAR($A280)-YEAR(Premissas!$C$25))*12+MONTH($A280)-MONTH(Premissas!$C$25))&lt;=Premissas!$C$32),((YEAR($A280)-YEAR(Premissas!$C$25))*12+MONTH($A280)-MONTH(Premissas!$C$25)),0)</f>
        <v>0</v>
      </c>
      <c r="J280" s="16" t="n">
        <f aca="false">IF(I280&gt;0,N279*(1+Premissas!$C$59),0)</f>
        <v>0</v>
      </c>
      <c r="K280" s="16" t="n">
        <f aca="false">J280*Premissas!$C$58</f>
        <v>0</v>
      </c>
      <c r="L280" s="16" t="n">
        <f aca="false">IF(I280&gt;0,J280/(Premissas!$C$32-I280+1),0)</f>
        <v>0</v>
      </c>
      <c r="M280" s="16" t="n">
        <f aca="false">K280+L280</f>
        <v>0</v>
      </c>
      <c r="N280" s="16" t="n">
        <f aca="false">IF($A280=Premissas!$C$25,Premissas!$C$13*E280,IF(I280&gt;0,J280-L280,0))</f>
        <v>0</v>
      </c>
      <c r="O280" s="37" t="n">
        <f aca="false">IF($A280&gt;=Premissas!$C$27,Premissas!$C$39*IF(((YEAR($A280)-YEAR(Premissas!$C$27))*12+MONTH($A280)-MONTH(Premissas!$C$27))&lt;Premissas!$C$41,Premissas!$C$42,1),0)</f>
        <v>0.62</v>
      </c>
      <c r="P280" s="16" t="n">
        <f aca="false">O280*Premissas!$C$38*Premissas!$C$40*(1+Premissas!$C$60)^((YEAR($A280)-YEAR(Premissas!$C$19))*12+MONTH($A280)-MONTH(Premissas!$C$19))</f>
        <v>10509.6472433831</v>
      </c>
      <c r="Q280" s="16" t="n">
        <f aca="false">P280*Premissas!$C$43</f>
        <v>1681.5435589413</v>
      </c>
      <c r="R280" s="16" t="n">
        <f aca="false">P280*Premissas!$C$44</f>
        <v>2101.92944867662</v>
      </c>
      <c r="S280" s="16" t="n">
        <f aca="false">IF($A280&gt;=Premissas!$C$25,Premissas!$C$45*(1+Premissas!$C$60)^((YEAR($A280)-YEAR(Premissas!$C$19))*12+MONTH($A280)-MONTH(Premissas!$C$19)),0)</f>
        <v>1842.50477618918</v>
      </c>
      <c r="T280" s="16" t="n">
        <f aca="false">IF($A280&gt;=Premissas!$C$27,Premissas!$C$46*(1+Premissas!$C$60)^((YEAR($A280)-YEAR(Premissas!$C$19))*12+MONTH($A280)-MONTH(Premissas!$C$19)),0)</f>
        <v>737.001910475673</v>
      </c>
      <c r="U280" s="16" t="n">
        <f aca="false">IF($A280&gt;=Premissas!$C$27,Premissas!$C$47*(1+Premissas!$C$60)^((YEAR($A280)-YEAR(Premissas!$C$19))*12+MONTH($A280)-MONTH(Premissas!$C$19)),0)</f>
        <v>368.500955237836</v>
      </c>
      <c r="V280" s="16" t="n">
        <f aca="false">IF($A280&gt;=Premissas!$C$27,MAX(0,P280-Q280-R280-S280)*Premissas!$C$49,0)</f>
        <v>1343.0091013834</v>
      </c>
      <c r="W280" s="16" t="n">
        <f aca="false">P280-Q280-R280-S280-T280-U280-V280</f>
        <v>2435.15749247909</v>
      </c>
      <c r="X280" s="16" t="n">
        <f aca="false">W280-F280-G280-H280-M280</f>
        <v>2435.15749247909</v>
      </c>
      <c r="Y280" s="16" t="n">
        <f aca="false">Y279+X280</f>
        <v>-475270.359285402</v>
      </c>
      <c r="Z280" s="16" t="n">
        <f aca="false">Premissas!$C$14*(1+Premissas!$C$57)^((YEAR(Premissas!$C$19)-YEAR(Premissas!$C$18))*12+MONTH(Premissas!$C$19)-MONTH(Premissas!$C$18))*(1+Premissas!$C$61)^((YEAR($A280)-YEAR(Premissas!$C$19))*12+MONTH($A280)-MONTH(Premissas!$C$19))</f>
        <v>1462901.06966443</v>
      </c>
      <c r="AA280" s="16" t="n">
        <f aca="false">IF($A280&gt;=Premissas!$C$25,Z280*(1-Premissas!$C$53)-N280-Premissas!$C$54*MAX(0,Z280*(1-Premissas!$C$53)-(Premissas!$C$14*(1+Premissas!$C$57)^((YEAR(Premissas!$C$25)-YEAR(Premissas!$C$18))*12+MONTH(Premissas!$C$25)-MONTH(Premissas!$C$18))*(1+Premissas!$C$34))),"")</f>
        <v>1250060.16417354</v>
      </c>
      <c r="AB280" s="16" t="n">
        <f aca="false">IF($A280&gt;=Premissas!$C$25,Y280+AA280,"")</f>
        <v>774789.804888143</v>
      </c>
      <c r="AC280" s="20" t="n">
        <f aca="false">IF(AND($A280&gt;=Premissas!$C$27,W280&gt;=M280),$A280,"")</f>
        <v>54758</v>
      </c>
      <c r="AD280" s="20" t="str">
        <f aca="false">IF(AND($A280&gt;=Premissas!$C$27,Y280&gt;=0),$A280,"")</f>
        <v/>
      </c>
      <c r="AE280" s="20" t="n">
        <f aca="false">IF(AND($A280&gt;=Premissas!$C$25,N(AB280)&gt;=0),$A280,"")</f>
        <v>54758</v>
      </c>
    </row>
    <row r="281" customFormat="false" ht="15" hidden="false" customHeight="false" outlineLevel="0" collapsed="false">
      <c r="A281" s="29" t="n">
        <f aca="false">DATE(YEAR(A280),MONTH(A280)+1,1)</f>
        <v>54789</v>
      </c>
      <c r="B281" s="30" t="str">
        <f aca="false">IF($A281&lt;Premissas!$C$25,"Obra",IF($A281=Premissas!$C$25,"Chaves",IF($A281&lt;Premissas!$C$27,"Mobiliando","Airbnb")))</f>
        <v>Airbnb</v>
      </c>
      <c r="C281" s="31" t="n">
        <f aca="false">(YEAR($A281)-YEAR(Premissas!$C$18))*12+MONTH($A281)-MONTH(Premissas!$C$18)</f>
        <v>280</v>
      </c>
      <c r="D281" s="32" t="n">
        <f aca="false">($A281=Premissas!$C$19)*Premissas!$C$8+(($A281=EDATE(Premissas!$C$19,1))+($A281=EDATE(Premissas!$C$19,2)))*Premissas!$C$9+AND($A281&gt;=Premissas!$C$20,$A281&lt;EDATE(Premissas!$C$20,Premissas!$C$21))*Premissas!$C$10+(($A281=Premissas!$C$22)+($A281=Premissas!$C$23)+($A281=Premissas!$C$24))*Premissas!$C$11+($A281=Premissas!$C$25)*Premissas!$C$12</f>
        <v>0</v>
      </c>
      <c r="E281" s="33" t="n">
        <f aca="false">(1+Premissas!$C$57)^C281</f>
        <v>3.48784672532606</v>
      </c>
      <c r="F281" s="32" t="n">
        <f aca="false">D281*E281</f>
        <v>0</v>
      </c>
      <c r="G281" s="32" t="n">
        <f aca="false">($A281=Premissas!$C$25)*Premissas!$C$34*Premissas!$C$14*(1+Premissas!$C$57)^C281</f>
        <v>0</v>
      </c>
      <c r="H281" s="32" t="n">
        <f aca="false">IF(AND($A281&gt;Premissas!$C$25,$A281&lt;Premissas!$C$27),Premissas!$C$35/MAX(1,Premissas!$C$26),0)</f>
        <v>0</v>
      </c>
      <c r="I281" s="31" t="n">
        <f aca="false">IF(AND($A281&gt;Premissas!$C$25,((YEAR($A281)-YEAR(Premissas!$C$25))*12+MONTH($A281)-MONTH(Premissas!$C$25))&lt;=Premissas!$C$32),((YEAR($A281)-YEAR(Premissas!$C$25))*12+MONTH($A281)-MONTH(Premissas!$C$25)),0)</f>
        <v>0</v>
      </c>
      <c r="J281" s="32" t="n">
        <f aca="false">IF(I281&gt;0,N280*(1+Premissas!$C$59),0)</f>
        <v>0</v>
      </c>
      <c r="K281" s="32" t="n">
        <f aca="false">J281*Premissas!$C$58</f>
        <v>0</v>
      </c>
      <c r="L281" s="32" t="n">
        <f aca="false">IF(I281&gt;0,J281/(Premissas!$C$32-I281+1),0)</f>
        <v>0</v>
      </c>
      <c r="M281" s="32" t="n">
        <f aca="false">K281+L281</f>
        <v>0</v>
      </c>
      <c r="N281" s="32" t="n">
        <f aca="false">IF($A281=Premissas!$C$25,Premissas!$C$13*E281,IF(I281&gt;0,J281-L281,0))</f>
        <v>0</v>
      </c>
      <c r="O281" s="34" t="n">
        <f aca="false">IF($A281&gt;=Premissas!$C$27,Premissas!$C$39*IF(((YEAR($A281)-YEAR(Premissas!$C$27))*12+MONTH($A281)-MONTH(Premissas!$C$27))&lt;Premissas!$C$41,Premissas!$C$42,1),0)</f>
        <v>0.62</v>
      </c>
      <c r="P281" s="32" t="n">
        <f aca="false">O281*Premissas!$C$38*Premissas!$C$40*(1+Premissas!$C$60)^((YEAR($A281)-YEAR(Premissas!$C$19))*12+MONTH($A281)-MONTH(Premissas!$C$19))</f>
        <v>10544.0530936606</v>
      </c>
      <c r="Q281" s="32" t="n">
        <f aca="false">P281*Premissas!$C$43</f>
        <v>1687.0484949857</v>
      </c>
      <c r="R281" s="32" t="n">
        <f aca="false">P281*Premissas!$C$44</f>
        <v>2108.81061873213</v>
      </c>
      <c r="S281" s="32" t="n">
        <f aca="false">IF($A281&gt;=Premissas!$C$25,Premissas!$C$45*(1+Premissas!$C$60)^((YEAR($A281)-YEAR(Premissas!$C$19))*12+MONTH($A281)-MONTH(Premissas!$C$19)),0)</f>
        <v>1848.53665737388</v>
      </c>
      <c r="T281" s="32" t="n">
        <f aca="false">IF($A281&gt;=Premissas!$C$27,Premissas!$C$46*(1+Premissas!$C$60)^((YEAR($A281)-YEAR(Premissas!$C$19))*12+MONTH($A281)-MONTH(Premissas!$C$19)),0)</f>
        <v>739.414662949554</v>
      </c>
      <c r="U281" s="32" t="n">
        <f aca="false">IF($A281&gt;=Premissas!$C$27,Premissas!$C$47*(1+Premissas!$C$60)^((YEAR($A281)-YEAR(Premissas!$C$19))*12+MONTH($A281)-MONTH(Premissas!$C$19)),0)</f>
        <v>369.707331474777</v>
      </c>
      <c r="V281" s="32" t="n">
        <f aca="false">IF($A281&gt;=Premissas!$C$27,MAX(0,P281-Q281-R281-S281)*Premissas!$C$49,0)</f>
        <v>1347.40576370645</v>
      </c>
      <c r="W281" s="32" t="n">
        <f aca="false">P281-Q281-R281-S281-T281-U281-V281</f>
        <v>2443.12956443814</v>
      </c>
      <c r="X281" s="32" t="n">
        <f aca="false">W281-F281-G281-H281-M281</f>
        <v>2443.12956443814</v>
      </c>
      <c r="Y281" s="32" t="n">
        <f aca="false">Y280+X281</f>
        <v>-472827.229720964</v>
      </c>
      <c r="Z281" s="32" t="n">
        <f aca="false">Premissas!$C$14*(1+Premissas!$C$57)^((YEAR(Premissas!$C$19)-YEAR(Premissas!$C$18))*12+MONTH(Premissas!$C$19)-MONTH(Premissas!$C$18))*(1+Premissas!$C$61)^((YEAR($A281)-YEAR(Premissas!$C$19))*12+MONTH($A281)-MONTH(Premissas!$C$19))</f>
        <v>1468861.10970547</v>
      </c>
      <c r="AA281" s="32" t="n">
        <f aca="false">IF($A281&gt;=Premissas!$C$25,Z281*(1-Premissas!$C$53)-N281-Premissas!$C$54*MAX(0,Z281*(1-Premissas!$C$53)-(Premissas!$C$14*(1+Premissas!$C$57)^((YEAR(Premissas!$C$25)-YEAR(Premissas!$C$18))*12+MONTH(Premissas!$C$25)-MONTH(Premissas!$C$18))*(1+Premissas!$C$34))),"")</f>
        <v>1254822.23616634</v>
      </c>
      <c r="AB281" s="32" t="n">
        <f aca="false">IF($A281&gt;=Premissas!$C$25,Y281+AA281,"")</f>
        <v>781995.006445375</v>
      </c>
      <c r="AC281" s="29" t="n">
        <f aca="false">IF(AND($A281&gt;=Premissas!$C$27,W281&gt;=M281),$A281,"")</f>
        <v>54789</v>
      </c>
      <c r="AD281" s="29" t="str">
        <f aca="false">IF(AND($A281&gt;=Premissas!$C$27,Y281&gt;=0),$A281,"")</f>
        <v/>
      </c>
      <c r="AE281" s="29" t="n">
        <f aca="false">IF(AND($A281&gt;=Premissas!$C$25,N(AB281)&gt;=0),$A281,"")</f>
        <v>54789</v>
      </c>
    </row>
    <row r="282" customFormat="false" ht="15" hidden="false" customHeight="false" outlineLevel="0" collapsed="false">
      <c r="A282" s="20" t="n">
        <f aca="false">DATE(YEAR(A281),MONTH(A281)+1,1)</f>
        <v>54820</v>
      </c>
      <c r="B282" s="5" t="str">
        <f aca="false">IF($A282&lt;Premissas!$C$25,"Obra",IF($A282=Premissas!$C$25,"Chaves",IF($A282&lt;Premissas!$C$27,"Mobiliando","Airbnb")))</f>
        <v>Airbnb</v>
      </c>
      <c r="C282" s="35" t="n">
        <f aca="false">(YEAR($A282)-YEAR(Premissas!$C$18))*12+MONTH($A282)-MONTH(Premissas!$C$18)</f>
        <v>281</v>
      </c>
      <c r="D282" s="16" t="n">
        <f aca="false">($A282=Premissas!$C$19)*Premissas!$C$8+(($A282=EDATE(Premissas!$C$19,1))+($A282=EDATE(Premissas!$C$19,2)))*Premissas!$C$9+AND($A282&gt;=Premissas!$C$20,$A282&lt;EDATE(Premissas!$C$20,Premissas!$C$21))*Premissas!$C$10+(($A282=Premissas!$C$22)+($A282=Premissas!$C$23)+($A282=Premissas!$C$24))*Premissas!$C$11+($A282=Premissas!$C$25)*Premissas!$C$12</f>
        <v>0</v>
      </c>
      <c r="E282" s="36" t="n">
        <f aca="false">(1+Premissas!$C$57)^C282</f>
        <v>3.50344332575052</v>
      </c>
      <c r="F282" s="16" t="n">
        <f aca="false">D282*E282</f>
        <v>0</v>
      </c>
      <c r="G282" s="16" t="n">
        <f aca="false">($A282=Premissas!$C$25)*Premissas!$C$34*Premissas!$C$14*(1+Premissas!$C$57)^C282</f>
        <v>0</v>
      </c>
      <c r="H282" s="16" t="n">
        <f aca="false">IF(AND($A282&gt;Premissas!$C$25,$A282&lt;Premissas!$C$27),Premissas!$C$35/MAX(1,Premissas!$C$26),0)</f>
        <v>0</v>
      </c>
      <c r="I282" s="35" t="n">
        <f aca="false">IF(AND($A282&gt;Premissas!$C$25,((YEAR($A282)-YEAR(Premissas!$C$25))*12+MONTH($A282)-MONTH(Premissas!$C$25))&lt;=Premissas!$C$32),((YEAR($A282)-YEAR(Premissas!$C$25))*12+MONTH($A282)-MONTH(Premissas!$C$25)),0)</f>
        <v>0</v>
      </c>
      <c r="J282" s="16" t="n">
        <f aca="false">IF(I282&gt;0,N281*(1+Premissas!$C$59),0)</f>
        <v>0</v>
      </c>
      <c r="K282" s="16" t="n">
        <f aca="false">J282*Premissas!$C$58</f>
        <v>0</v>
      </c>
      <c r="L282" s="16" t="n">
        <f aca="false">IF(I282&gt;0,J282/(Premissas!$C$32-I282+1),0)</f>
        <v>0</v>
      </c>
      <c r="M282" s="16" t="n">
        <f aca="false">K282+L282</f>
        <v>0</v>
      </c>
      <c r="N282" s="16" t="n">
        <f aca="false">IF($A282=Premissas!$C$25,Premissas!$C$13*E282,IF(I282&gt;0,J282-L282,0))</f>
        <v>0</v>
      </c>
      <c r="O282" s="37" t="n">
        <f aca="false">IF($A282&gt;=Premissas!$C$27,Premissas!$C$39*IF(((YEAR($A282)-YEAR(Premissas!$C$27))*12+MONTH($A282)-MONTH(Premissas!$C$27))&lt;Premissas!$C$41,Premissas!$C$42,1),0)</f>
        <v>0.62</v>
      </c>
      <c r="P282" s="16" t="n">
        <f aca="false">O282*Premissas!$C$38*Premissas!$C$40*(1+Premissas!$C$60)^((YEAR($A282)-YEAR(Premissas!$C$19))*12+MONTH($A282)-MONTH(Premissas!$C$19))</f>
        <v>10578.571579739</v>
      </c>
      <c r="Q282" s="16" t="n">
        <f aca="false">P282*Premissas!$C$43</f>
        <v>1692.57145275824</v>
      </c>
      <c r="R282" s="16" t="n">
        <f aca="false">P282*Premissas!$C$44</f>
        <v>2115.71431594779</v>
      </c>
      <c r="S282" s="16" t="n">
        <f aca="false">IF($A282&gt;=Premissas!$C$25,Premissas!$C$45*(1+Premissas!$C$60)^((YEAR($A282)-YEAR(Premissas!$C$19))*12+MONTH($A282)-MONTH(Premissas!$C$19)),0)</f>
        <v>1854.58828536798</v>
      </c>
      <c r="T282" s="16" t="n">
        <f aca="false">IF($A282&gt;=Premissas!$C$27,Premissas!$C$46*(1+Premissas!$C$60)^((YEAR($A282)-YEAR(Premissas!$C$19))*12+MONTH($A282)-MONTH(Premissas!$C$19)),0)</f>
        <v>741.835314147193</v>
      </c>
      <c r="U282" s="16" t="n">
        <f aca="false">IF($A282&gt;=Premissas!$C$27,Premissas!$C$47*(1+Premissas!$C$60)^((YEAR($A282)-YEAR(Premissas!$C$19))*12+MONTH($A282)-MONTH(Premissas!$C$19)),0)</f>
        <v>370.917657073596</v>
      </c>
      <c r="V282" s="16" t="n">
        <f aca="false">IF($A282&gt;=Premissas!$C$27,MAX(0,P282-Q282-R282-S282)*Premissas!$C$49,0)</f>
        <v>1351.81681955786</v>
      </c>
      <c r="W282" s="16" t="n">
        <f aca="false">P282-Q282-R282-S282-T282-U282-V282</f>
        <v>2451.1277348863</v>
      </c>
      <c r="X282" s="16" t="n">
        <f aca="false">W282-F282-G282-H282-M282</f>
        <v>2451.1277348863</v>
      </c>
      <c r="Y282" s="16" t="n">
        <f aca="false">Y281+X282</f>
        <v>-470376.101986078</v>
      </c>
      <c r="Z282" s="16" t="n">
        <f aca="false">Premissas!$C$14*(1+Premissas!$C$57)^((YEAR(Premissas!$C$19)-YEAR(Premissas!$C$18))*12+MONTH(Premissas!$C$19)-MONTH(Premissas!$C$18))*(1+Premissas!$C$61)^((YEAR($A282)-YEAR(Premissas!$C$19))*12+MONTH($A282)-MONTH(Premissas!$C$19))</f>
        <v>1474845.4316874</v>
      </c>
      <c r="AA282" s="16" t="n">
        <f aca="false">IF($A282&gt;=Premissas!$C$25,Z282*(1-Premissas!$C$53)-N282-Premissas!$C$54*MAX(0,Z282*(1-Premissas!$C$53)-(Premissas!$C$14*(1+Premissas!$C$57)^((YEAR(Premissas!$C$25)-YEAR(Premissas!$C$18))*12+MONTH(Premissas!$C$25)-MONTH(Premissas!$C$18))*(1+Premissas!$C$34))),"")</f>
        <v>1259603.7094299</v>
      </c>
      <c r="AB282" s="16" t="n">
        <f aca="false">IF($A282&gt;=Premissas!$C$25,Y282+AA282,"")</f>
        <v>789227.607443821</v>
      </c>
      <c r="AC282" s="20" t="n">
        <f aca="false">IF(AND($A282&gt;=Premissas!$C$27,W282&gt;=M282),$A282,"")</f>
        <v>54820</v>
      </c>
      <c r="AD282" s="20" t="str">
        <f aca="false">IF(AND($A282&gt;=Premissas!$C$27,Y282&gt;=0),$A282,"")</f>
        <v/>
      </c>
      <c r="AE282" s="20" t="n">
        <f aca="false">IF(AND($A282&gt;=Premissas!$C$25,N(AB282)&gt;=0),$A282,"")</f>
        <v>54820</v>
      </c>
    </row>
    <row r="283" customFormat="false" ht="15" hidden="false" customHeight="false" outlineLevel="0" collapsed="false">
      <c r="A283" s="20" t="n">
        <f aca="false">DATE(YEAR(A282),MONTH(A282)+1,1)</f>
        <v>54848</v>
      </c>
      <c r="B283" s="5" t="str">
        <f aca="false">IF($A283&lt;Premissas!$C$25,"Obra",IF($A283=Premissas!$C$25,"Chaves",IF($A283&lt;Premissas!$C$27,"Mobiliando","Airbnb")))</f>
        <v>Airbnb</v>
      </c>
      <c r="C283" s="35" t="n">
        <f aca="false">(YEAR($A283)-YEAR(Premissas!$C$18))*12+MONTH($A283)-MONTH(Premissas!$C$18)</f>
        <v>282</v>
      </c>
      <c r="D283" s="16" t="n">
        <f aca="false">($A283=Premissas!$C$19)*Premissas!$C$8+(($A283=EDATE(Premissas!$C$19,1))+($A283=EDATE(Premissas!$C$19,2)))*Premissas!$C$9+AND($A283&gt;=Premissas!$C$20,$A283&lt;EDATE(Premissas!$C$20,Premissas!$C$21))*Premissas!$C$10+(($A283=Premissas!$C$22)+($A283=Premissas!$C$23)+($A283=Premissas!$C$24))*Premissas!$C$11+($A283=Premissas!$C$25)*Premissas!$C$12</f>
        <v>0</v>
      </c>
      <c r="E283" s="36" t="n">
        <f aca="false">(1+Premissas!$C$57)^C283</f>
        <v>3.5191096694762</v>
      </c>
      <c r="F283" s="16" t="n">
        <f aca="false">D283*E283</f>
        <v>0</v>
      </c>
      <c r="G283" s="16" t="n">
        <f aca="false">($A283=Premissas!$C$25)*Premissas!$C$34*Premissas!$C$14*(1+Premissas!$C$57)^C283</f>
        <v>0</v>
      </c>
      <c r="H283" s="16" t="n">
        <f aca="false">IF(AND($A283&gt;Premissas!$C$25,$A283&lt;Premissas!$C$27),Premissas!$C$35/MAX(1,Premissas!$C$26),0)</f>
        <v>0</v>
      </c>
      <c r="I283" s="35" t="n">
        <f aca="false">IF(AND($A283&gt;Premissas!$C$25,((YEAR($A283)-YEAR(Premissas!$C$25))*12+MONTH($A283)-MONTH(Premissas!$C$25))&lt;=Premissas!$C$32),((YEAR($A283)-YEAR(Premissas!$C$25))*12+MONTH($A283)-MONTH(Premissas!$C$25)),0)</f>
        <v>0</v>
      </c>
      <c r="J283" s="16" t="n">
        <f aca="false">IF(I283&gt;0,N282*(1+Premissas!$C$59),0)</f>
        <v>0</v>
      </c>
      <c r="K283" s="16" t="n">
        <f aca="false">J283*Premissas!$C$58</f>
        <v>0</v>
      </c>
      <c r="L283" s="16" t="n">
        <f aca="false">IF(I283&gt;0,J283/(Premissas!$C$32-I283+1),0)</f>
        <v>0</v>
      </c>
      <c r="M283" s="16" t="n">
        <f aca="false">K283+L283</f>
        <v>0</v>
      </c>
      <c r="N283" s="16" t="n">
        <f aca="false">IF($A283=Premissas!$C$25,Premissas!$C$13*E283,IF(I283&gt;0,J283-L283,0))</f>
        <v>0</v>
      </c>
      <c r="O283" s="37" t="n">
        <f aca="false">IF($A283&gt;=Premissas!$C$27,Premissas!$C$39*IF(((YEAR($A283)-YEAR(Premissas!$C$27))*12+MONTH($A283)-MONTH(Premissas!$C$27))&lt;Premissas!$C$41,Premissas!$C$42,1),0)</f>
        <v>0.62</v>
      </c>
      <c r="P283" s="16" t="n">
        <f aca="false">O283*Premissas!$C$38*Premissas!$C$40*(1+Premissas!$C$60)^((YEAR($A283)-YEAR(Premissas!$C$19))*12+MONTH($A283)-MONTH(Premissas!$C$19))</f>
        <v>10613.2030703584</v>
      </c>
      <c r="Q283" s="16" t="n">
        <f aca="false">P283*Premissas!$C$43</f>
        <v>1698.11249125734</v>
      </c>
      <c r="R283" s="16" t="n">
        <f aca="false">P283*Premissas!$C$44</f>
        <v>2122.64061407168</v>
      </c>
      <c r="S283" s="16" t="n">
        <f aca="false">IF($A283&gt;=Premissas!$C$25,Premissas!$C$45*(1+Premissas!$C$60)^((YEAR($A283)-YEAR(Premissas!$C$19))*12+MONTH($A283)-MONTH(Premissas!$C$19)),0)</f>
        <v>1860.65972481739</v>
      </c>
      <c r="T283" s="16" t="n">
        <f aca="false">IF($A283&gt;=Premissas!$C$27,Premissas!$C$46*(1+Premissas!$C$60)^((YEAR($A283)-YEAR(Premissas!$C$19))*12+MONTH($A283)-MONTH(Premissas!$C$19)),0)</f>
        <v>744.263889926956</v>
      </c>
      <c r="U283" s="16" t="n">
        <f aca="false">IF($A283&gt;=Premissas!$C$27,Premissas!$C$47*(1+Premissas!$C$60)^((YEAR($A283)-YEAR(Premissas!$C$19))*12+MONTH($A283)-MONTH(Premissas!$C$19)),0)</f>
        <v>372.131944963478</v>
      </c>
      <c r="V283" s="16" t="n">
        <f aca="false">IF($A283&gt;=Premissas!$C$27,MAX(0,P283-Q283-R283-S283)*Premissas!$C$49,0)</f>
        <v>1356.2423160583</v>
      </c>
      <c r="W283" s="16" t="n">
        <f aca="false">P283-Q283-R283-S283-T283-U283-V283</f>
        <v>2459.15208926325</v>
      </c>
      <c r="X283" s="16" t="n">
        <f aca="false">W283-F283-G283-H283-M283</f>
        <v>2459.15208926325</v>
      </c>
      <c r="Y283" s="16" t="n">
        <f aca="false">Y282+X283</f>
        <v>-467916.949896815</v>
      </c>
      <c r="Z283" s="16" t="n">
        <f aca="false">Premissas!$C$14*(1+Premissas!$C$57)^((YEAR(Premissas!$C$19)-YEAR(Premissas!$C$18))*12+MONTH(Premissas!$C$19)-MONTH(Premissas!$C$18))*(1+Premissas!$C$61)^((YEAR($A283)-YEAR(Premissas!$C$19))*12+MONTH($A283)-MONTH(Premissas!$C$19))</f>
        <v>1480854.13453784</v>
      </c>
      <c r="AA283" s="16" t="n">
        <f aca="false">IF($A283&gt;=Premissas!$C$25,Z283*(1-Premissas!$C$53)-N283-Premissas!$C$54*MAX(0,Z283*(1-Premissas!$C$53)-(Premissas!$C$14*(1+Premissas!$C$57)^((YEAR(Premissas!$C$25)-YEAR(Premissas!$C$18))*12+MONTH(Premissas!$C$25)-MONTH(Premissas!$C$18))*(1+Premissas!$C$34))),"")</f>
        <v>1264404.6630074</v>
      </c>
      <c r="AB283" s="16" t="n">
        <f aca="false">IF($A283&gt;=Premissas!$C$25,Y283+AA283,"")</f>
        <v>796487.713110588</v>
      </c>
      <c r="AC283" s="20" t="n">
        <f aca="false">IF(AND($A283&gt;=Premissas!$C$27,W283&gt;=M283),$A283,"")</f>
        <v>54848</v>
      </c>
      <c r="AD283" s="20" t="str">
        <f aca="false">IF(AND($A283&gt;=Premissas!$C$27,Y283&gt;=0),$A283,"")</f>
        <v/>
      </c>
      <c r="AE283" s="20" t="n">
        <f aca="false">IF(AND($A283&gt;=Premissas!$C$25,N(AB283)&gt;=0),$A283,"")</f>
        <v>54848</v>
      </c>
    </row>
    <row r="284" customFormat="false" ht="15" hidden="false" customHeight="false" outlineLevel="0" collapsed="false">
      <c r="A284" s="20" t="n">
        <f aca="false">DATE(YEAR(A283),MONTH(A283)+1,1)</f>
        <v>54879</v>
      </c>
      <c r="B284" s="5" t="str">
        <f aca="false">IF($A284&lt;Premissas!$C$25,"Obra",IF($A284=Premissas!$C$25,"Chaves",IF($A284&lt;Premissas!$C$27,"Mobiliando","Airbnb")))</f>
        <v>Airbnb</v>
      </c>
      <c r="C284" s="35" t="n">
        <f aca="false">(YEAR($A284)-YEAR(Premissas!$C$18))*12+MONTH($A284)-MONTH(Premissas!$C$18)</f>
        <v>283</v>
      </c>
      <c r="D284" s="16" t="n">
        <f aca="false">($A284=Premissas!$C$19)*Premissas!$C$8+(($A284=EDATE(Premissas!$C$19,1))+($A284=EDATE(Premissas!$C$19,2)))*Premissas!$C$9+AND($A284&gt;=Premissas!$C$20,$A284&lt;EDATE(Premissas!$C$20,Premissas!$C$21))*Premissas!$C$10+(($A284=Premissas!$C$22)+($A284=Premissas!$C$23)+($A284=Premissas!$C$24))*Premissas!$C$11+($A284=Premissas!$C$25)*Premissas!$C$12</f>
        <v>0</v>
      </c>
      <c r="E284" s="36" t="n">
        <f aca="false">(1+Premissas!$C$57)^C284</f>
        <v>3.53484606837415</v>
      </c>
      <c r="F284" s="16" t="n">
        <f aca="false">D284*E284</f>
        <v>0</v>
      </c>
      <c r="G284" s="16" t="n">
        <f aca="false">($A284=Premissas!$C$25)*Premissas!$C$34*Premissas!$C$14*(1+Premissas!$C$57)^C284</f>
        <v>0</v>
      </c>
      <c r="H284" s="16" t="n">
        <f aca="false">IF(AND($A284&gt;Premissas!$C$25,$A284&lt;Premissas!$C$27),Premissas!$C$35/MAX(1,Premissas!$C$26),0)</f>
        <v>0</v>
      </c>
      <c r="I284" s="35" t="n">
        <f aca="false">IF(AND($A284&gt;Premissas!$C$25,((YEAR($A284)-YEAR(Premissas!$C$25))*12+MONTH($A284)-MONTH(Premissas!$C$25))&lt;=Premissas!$C$32),((YEAR($A284)-YEAR(Premissas!$C$25))*12+MONTH($A284)-MONTH(Premissas!$C$25)),0)</f>
        <v>0</v>
      </c>
      <c r="J284" s="16" t="n">
        <f aca="false">IF(I284&gt;0,N283*(1+Premissas!$C$59),0)</f>
        <v>0</v>
      </c>
      <c r="K284" s="16" t="n">
        <f aca="false">J284*Premissas!$C$58</f>
        <v>0</v>
      </c>
      <c r="L284" s="16" t="n">
        <f aca="false">IF(I284&gt;0,J284/(Premissas!$C$32-I284+1),0)</f>
        <v>0</v>
      </c>
      <c r="M284" s="16" t="n">
        <f aca="false">K284+L284</f>
        <v>0</v>
      </c>
      <c r="N284" s="16" t="n">
        <f aca="false">IF($A284=Premissas!$C$25,Premissas!$C$13*E284,IF(I284&gt;0,J284-L284,0))</f>
        <v>0</v>
      </c>
      <c r="O284" s="37" t="n">
        <f aca="false">IF($A284&gt;=Premissas!$C$27,Premissas!$C$39*IF(((YEAR($A284)-YEAR(Premissas!$C$27))*12+MONTH($A284)-MONTH(Premissas!$C$27))&lt;Premissas!$C$41,Premissas!$C$42,1),0)</f>
        <v>0.62</v>
      </c>
      <c r="P284" s="16" t="n">
        <f aca="false">O284*Premissas!$C$38*Premissas!$C$40*(1+Premissas!$C$60)^((YEAR($A284)-YEAR(Premissas!$C$19))*12+MONTH($A284)-MONTH(Premissas!$C$19))</f>
        <v>10647.9479354664</v>
      </c>
      <c r="Q284" s="16" t="n">
        <f aca="false">P284*Premissas!$C$43</f>
        <v>1703.67166967462</v>
      </c>
      <c r="R284" s="16" t="n">
        <f aca="false">P284*Premissas!$C$44</f>
        <v>2129.58958709328</v>
      </c>
      <c r="S284" s="16" t="n">
        <f aca="false">IF($A284&gt;=Premissas!$C$25,Premissas!$C$45*(1+Premissas!$C$60)^((YEAR($A284)-YEAR(Premissas!$C$19))*12+MONTH($A284)-MONTH(Premissas!$C$19)),0)</f>
        <v>1866.75104057966</v>
      </c>
      <c r="T284" s="16" t="n">
        <f aca="false">IF($A284&gt;=Premissas!$C$27,Premissas!$C$46*(1+Premissas!$C$60)^((YEAR($A284)-YEAR(Premissas!$C$19))*12+MONTH($A284)-MONTH(Premissas!$C$19)),0)</f>
        <v>746.700416231864</v>
      </c>
      <c r="U284" s="16" t="n">
        <f aca="false">IF($A284&gt;=Premissas!$C$27,Premissas!$C$47*(1+Premissas!$C$60)^((YEAR($A284)-YEAR(Premissas!$C$19))*12+MONTH($A284)-MONTH(Premissas!$C$19)),0)</f>
        <v>373.350208115932</v>
      </c>
      <c r="V284" s="16" t="n">
        <f aca="false">IF($A284&gt;=Premissas!$C$27,MAX(0,P284-Q284-R284-S284)*Premissas!$C$49,0)</f>
        <v>1360.68230048268</v>
      </c>
      <c r="W284" s="16" t="n">
        <f aca="false">P284-Q284-R284-S284-T284-U284-V284</f>
        <v>2467.20271328835</v>
      </c>
      <c r="X284" s="16" t="n">
        <f aca="false">W284-F284-G284-H284-M284</f>
        <v>2467.20271328835</v>
      </c>
      <c r="Y284" s="16" t="n">
        <f aca="false">Y283+X284</f>
        <v>-465449.747183526</v>
      </c>
      <c r="Z284" s="16" t="n">
        <f aca="false">Premissas!$C$14*(1+Premissas!$C$57)^((YEAR(Premissas!$C$19)-YEAR(Premissas!$C$18))*12+MONTH(Premissas!$C$19)-MONTH(Premissas!$C$18))*(1+Premissas!$C$61)^((YEAR($A284)-YEAR(Premissas!$C$19))*12+MONTH($A284)-MONTH(Premissas!$C$19))</f>
        <v>1486887.31758748</v>
      </c>
      <c r="AA284" s="16" t="n">
        <f aca="false">IF($A284&gt;=Premissas!$C$25,Z284*(1-Premissas!$C$53)-N284-Premissas!$C$54*MAX(0,Z284*(1-Premissas!$C$53)-(Premissas!$C$14*(1+Premissas!$C$57)^((YEAR(Premissas!$C$25)-YEAR(Premissas!$C$18))*12+MONTH(Premissas!$C$25)-MONTH(Premissas!$C$18))*(1+Premissas!$C$34))),"")</f>
        <v>1269225.17626406</v>
      </c>
      <c r="AB284" s="16" t="n">
        <f aca="false">IF($A284&gt;=Premissas!$C$25,Y284+AA284,"")</f>
        <v>803775.429080535</v>
      </c>
      <c r="AC284" s="20" t="n">
        <f aca="false">IF(AND($A284&gt;=Premissas!$C$27,W284&gt;=M284),$A284,"")</f>
        <v>54879</v>
      </c>
      <c r="AD284" s="20" t="str">
        <f aca="false">IF(AND($A284&gt;=Premissas!$C$27,Y284&gt;=0),$A284,"")</f>
        <v/>
      </c>
      <c r="AE284" s="20" t="n">
        <f aca="false">IF(AND($A284&gt;=Premissas!$C$25,N(AB284)&gt;=0),$A284,"")</f>
        <v>54879</v>
      </c>
    </row>
    <row r="285" customFormat="false" ht="15" hidden="false" customHeight="false" outlineLevel="0" collapsed="false">
      <c r="A285" s="20" t="n">
        <f aca="false">DATE(YEAR(A284),MONTH(A284)+1,1)</f>
        <v>54909</v>
      </c>
      <c r="B285" s="5" t="str">
        <f aca="false">IF($A285&lt;Premissas!$C$25,"Obra",IF($A285=Premissas!$C$25,"Chaves",IF($A285&lt;Premissas!$C$27,"Mobiliando","Airbnb")))</f>
        <v>Airbnb</v>
      </c>
      <c r="C285" s="35" t="n">
        <f aca="false">(YEAR($A285)-YEAR(Premissas!$C$18))*12+MONTH($A285)-MONTH(Premissas!$C$18)</f>
        <v>284</v>
      </c>
      <c r="D285" s="16" t="n">
        <f aca="false">($A285=Premissas!$C$19)*Premissas!$C$8+(($A285=EDATE(Premissas!$C$19,1))+($A285=EDATE(Premissas!$C$19,2)))*Premissas!$C$9+AND($A285&gt;=Premissas!$C$20,$A285&lt;EDATE(Premissas!$C$20,Premissas!$C$21))*Premissas!$C$10+(($A285=Premissas!$C$22)+($A285=Premissas!$C$23)+($A285=Premissas!$C$24))*Premissas!$C$11+($A285=Premissas!$C$25)*Premissas!$C$12</f>
        <v>0</v>
      </c>
      <c r="E285" s="36" t="n">
        <f aca="false">(1+Premissas!$C$57)^C285</f>
        <v>3.55065283571001</v>
      </c>
      <c r="F285" s="16" t="n">
        <f aca="false">D285*E285</f>
        <v>0</v>
      </c>
      <c r="G285" s="16" t="n">
        <f aca="false">($A285=Premissas!$C$25)*Premissas!$C$34*Premissas!$C$14*(1+Premissas!$C$57)^C285</f>
        <v>0</v>
      </c>
      <c r="H285" s="16" t="n">
        <f aca="false">IF(AND($A285&gt;Premissas!$C$25,$A285&lt;Premissas!$C$27),Premissas!$C$35/MAX(1,Premissas!$C$26),0)</f>
        <v>0</v>
      </c>
      <c r="I285" s="35" t="n">
        <f aca="false">IF(AND($A285&gt;Premissas!$C$25,((YEAR($A285)-YEAR(Premissas!$C$25))*12+MONTH($A285)-MONTH(Premissas!$C$25))&lt;=Premissas!$C$32),((YEAR($A285)-YEAR(Premissas!$C$25))*12+MONTH($A285)-MONTH(Premissas!$C$25)),0)</f>
        <v>0</v>
      </c>
      <c r="J285" s="16" t="n">
        <f aca="false">IF(I285&gt;0,N284*(1+Premissas!$C$59),0)</f>
        <v>0</v>
      </c>
      <c r="K285" s="16" t="n">
        <f aca="false">J285*Premissas!$C$58</f>
        <v>0</v>
      </c>
      <c r="L285" s="16" t="n">
        <f aca="false">IF(I285&gt;0,J285/(Premissas!$C$32-I285+1),0)</f>
        <v>0</v>
      </c>
      <c r="M285" s="16" t="n">
        <f aca="false">K285+L285</f>
        <v>0</v>
      </c>
      <c r="N285" s="16" t="n">
        <f aca="false">IF($A285=Premissas!$C$25,Premissas!$C$13*E285,IF(I285&gt;0,J285-L285,0))</f>
        <v>0</v>
      </c>
      <c r="O285" s="37" t="n">
        <f aca="false">IF($A285&gt;=Premissas!$C$27,Premissas!$C$39*IF(((YEAR($A285)-YEAR(Premissas!$C$27))*12+MONTH($A285)-MONTH(Premissas!$C$27))&lt;Premissas!$C$41,Premissas!$C$42,1),0)</f>
        <v>0.62</v>
      </c>
      <c r="P285" s="16" t="n">
        <f aca="false">O285*Premissas!$C$38*Premissas!$C$40*(1+Premissas!$C$60)^((YEAR($A285)-YEAR(Premissas!$C$19))*12+MONTH($A285)-MONTH(Premissas!$C$19))</f>
        <v>10682.8065462215</v>
      </c>
      <c r="Q285" s="16" t="n">
        <f aca="false">P285*Premissas!$C$43</f>
        <v>1709.24904739544</v>
      </c>
      <c r="R285" s="16" t="n">
        <f aca="false">P285*Premissas!$C$44</f>
        <v>2136.5613092443</v>
      </c>
      <c r="S285" s="16" t="n">
        <f aca="false">IF($A285&gt;=Premissas!$C$25,Premissas!$C$45*(1+Premissas!$C$60)^((YEAR($A285)-YEAR(Premissas!$C$19))*12+MONTH($A285)-MONTH(Premissas!$C$19)),0)</f>
        <v>1872.86229772467</v>
      </c>
      <c r="T285" s="16" t="n">
        <f aca="false">IF($A285&gt;=Premissas!$C$27,Premissas!$C$46*(1+Premissas!$C$60)^((YEAR($A285)-YEAR(Premissas!$C$19))*12+MONTH($A285)-MONTH(Premissas!$C$19)),0)</f>
        <v>749.144919089867</v>
      </c>
      <c r="U285" s="16" t="n">
        <f aca="false">IF($A285&gt;=Premissas!$C$27,Premissas!$C$47*(1+Premissas!$C$60)^((YEAR($A285)-YEAR(Premissas!$C$19))*12+MONTH($A285)-MONTH(Premissas!$C$19)),0)</f>
        <v>374.572459544934</v>
      </c>
      <c r="V285" s="16" t="n">
        <f aca="false">IF($A285&gt;=Premissas!$C$27,MAX(0,P285-Q285-R285-S285)*Premissas!$C$49,0)</f>
        <v>1365.1368202607</v>
      </c>
      <c r="W285" s="16" t="n">
        <f aca="false">P285-Q285-R285-S285-T285-U285-V285</f>
        <v>2475.27969296159</v>
      </c>
      <c r="X285" s="16" t="n">
        <f aca="false">W285-F285-G285-H285-M285</f>
        <v>2475.27969296159</v>
      </c>
      <c r="Y285" s="16" t="n">
        <f aca="false">Y284+X285</f>
        <v>-462974.467490565</v>
      </c>
      <c r="Z285" s="16" t="n">
        <f aca="false">Premissas!$C$14*(1+Premissas!$C$57)^((YEAR(Premissas!$C$19)-YEAR(Premissas!$C$18))*12+MONTH(Premissas!$C$19)-MONTH(Premissas!$C$18))*(1+Premissas!$C$61)^((YEAR($A285)-YEAR(Premissas!$C$19))*12+MONTH($A285)-MONTH(Premissas!$C$19))</f>
        <v>1492945.08057167</v>
      </c>
      <c r="AA285" s="16" t="n">
        <f aca="false">IF($A285&gt;=Premissas!$C$25,Z285*(1-Premissas!$C$53)-N285-Premissas!$C$54*MAX(0,Z285*(1-Premissas!$C$53)-(Premissas!$C$14*(1+Premissas!$C$57)^((YEAR(Premissas!$C$25)-YEAR(Premissas!$C$18))*12+MONTH(Premissas!$C$25)-MONTH(Premissas!$C$18))*(1+Premissas!$C$34))),"")</f>
        <v>1274065.32888843</v>
      </c>
      <c r="AB285" s="16" t="n">
        <f aca="false">IF($A285&gt;=Premissas!$C$25,Y285+AA285,"")</f>
        <v>811090.861397863</v>
      </c>
      <c r="AC285" s="20" t="n">
        <f aca="false">IF(AND($A285&gt;=Premissas!$C$27,W285&gt;=M285),$A285,"")</f>
        <v>54909</v>
      </c>
      <c r="AD285" s="20" t="str">
        <f aca="false">IF(AND($A285&gt;=Premissas!$C$27,Y285&gt;=0),$A285,"")</f>
        <v/>
      </c>
      <c r="AE285" s="20" t="n">
        <f aca="false">IF(AND($A285&gt;=Premissas!$C$25,N(AB285)&gt;=0),$A285,"")</f>
        <v>54909</v>
      </c>
    </row>
    <row r="286" customFormat="false" ht="15" hidden="false" customHeight="false" outlineLevel="0" collapsed="false">
      <c r="A286" s="20" t="n">
        <f aca="false">DATE(YEAR(A285),MONTH(A285)+1,1)</f>
        <v>54940</v>
      </c>
      <c r="B286" s="5" t="str">
        <f aca="false">IF($A286&lt;Premissas!$C$25,"Obra",IF($A286=Premissas!$C$25,"Chaves",IF($A286&lt;Premissas!$C$27,"Mobiliando","Airbnb")))</f>
        <v>Airbnb</v>
      </c>
      <c r="C286" s="35" t="n">
        <f aca="false">(YEAR($A286)-YEAR(Premissas!$C$18))*12+MONTH($A286)-MONTH(Premissas!$C$18)</f>
        <v>285</v>
      </c>
      <c r="D286" s="16" t="n">
        <f aca="false">($A286=Premissas!$C$19)*Premissas!$C$8+(($A286=EDATE(Premissas!$C$19,1))+($A286=EDATE(Premissas!$C$19,2)))*Premissas!$C$9+AND($A286&gt;=Premissas!$C$20,$A286&lt;EDATE(Premissas!$C$20,Premissas!$C$21))*Premissas!$C$10+(($A286=Premissas!$C$22)+($A286=Premissas!$C$23)+($A286=Premissas!$C$24))*Premissas!$C$11+($A286=Premissas!$C$25)*Premissas!$C$12</f>
        <v>0</v>
      </c>
      <c r="E286" s="36" t="n">
        <f aca="false">(1+Premissas!$C$57)^C286</f>
        <v>3.56653028615025</v>
      </c>
      <c r="F286" s="16" t="n">
        <f aca="false">D286*E286</f>
        <v>0</v>
      </c>
      <c r="G286" s="16" t="n">
        <f aca="false">($A286=Premissas!$C$25)*Premissas!$C$34*Premissas!$C$14*(1+Premissas!$C$57)^C286</f>
        <v>0</v>
      </c>
      <c r="H286" s="16" t="n">
        <f aca="false">IF(AND($A286&gt;Premissas!$C$25,$A286&lt;Premissas!$C$27),Premissas!$C$35/MAX(1,Premissas!$C$26),0)</f>
        <v>0</v>
      </c>
      <c r="I286" s="35" t="n">
        <f aca="false">IF(AND($A286&gt;Premissas!$C$25,((YEAR($A286)-YEAR(Premissas!$C$25))*12+MONTH($A286)-MONTH(Premissas!$C$25))&lt;=Premissas!$C$32),((YEAR($A286)-YEAR(Premissas!$C$25))*12+MONTH($A286)-MONTH(Premissas!$C$25)),0)</f>
        <v>0</v>
      </c>
      <c r="J286" s="16" t="n">
        <f aca="false">IF(I286&gt;0,N285*(1+Premissas!$C$59),0)</f>
        <v>0</v>
      </c>
      <c r="K286" s="16" t="n">
        <f aca="false">J286*Premissas!$C$58</f>
        <v>0</v>
      </c>
      <c r="L286" s="16" t="n">
        <f aca="false">IF(I286&gt;0,J286/(Premissas!$C$32-I286+1),0)</f>
        <v>0</v>
      </c>
      <c r="M286" s="16" t="n">
        <f aca="false">K286+L286</f>
        <v>0</v>
      </c>
      <c r="N286" s="16" t="n">
        <f aca="false">IF($A286=Premissas!$C$25,Premissas!$C$13*E286,IF(I286&gt;0,J286-L286,0))</f>
        <v>0</v>
      </c>
      <c r="O286" s="37" t="n">
        <f aca="false">IF($A286&gt;=Premissas!$C$27,Premissas!$C$39*IF(((YEAR($A286)-YEAR(Premissas!$C$27))*12+MONTH($A286)-MONTH(Premissas!$C$27))&lt;Premissas!$C$41,Premissas!$C$42,1),0)</f>
        <v>0.62</v>
      </c>
      <c r="P286" s="16" t="n">
        <f aca="false">O286*Premissas!$C$38*Premissas!$C$40*(1+Premissas!$C$60)^((YEAR($A286)-YEAR(Premissas!$C$19))*12+MONTH($A286)-MONTH(Premissas!$C$19))</f>
        <v>10717.7792749974</v>
      </c>
      <c r="Q286" s="16" t="n">
        <f aca="false">P286*Premissas!$C$43</f>
        <v>1714.84468399959</v>
      </c>
      <c r="R286" s="16" t="n">
        <f aca="false">P286*Premissas!$C$44</f>
        <v>2143.55585499948</v>
      </c>
      <c r="S286" s="16" t="n">
        <f aca="false">IF($A286&gt;=Premissas!$C$25,Premissas!$C$45*(1+Premissas!$C$60)^((YEAR($A286)-YEAR(Premissas!$C$19))*12+MONTH($A286)-MONTH(Premissas!$C$19)),0)</f>
        <v>1878.99356153531</v>
      </c>
      <c r="T286" s="16" t="n">
        <f aca="false">IF($A286&gt;=Premissas!$C$27,Premissas!$C$46*(1+Premissas!$C$60)^((YEAR($A286)-YEAR(Premissas!$C$19))*12+MONTH($A286)-MONTH(Premissas!$C$19)),0)</f>
        <v>751.597424614124</v>
      </c>
      <c r="U286" s="16" t="n">
        <f aca="false">IF($A286&gt;=Premissas!$C$27,Premissas!$C$47*(1+Premissas!$C$60)^((YEAR($A286)-YEAR(Premissas!$C$19))*12+MONTH($A286)-MONTH(Premissas!$C$19)),0)</f>
        <v>375.798712307062</v>
      </c>
      <c r="V286" s="16" t="n">
        <f aca="false">IF($A286&gt;=Premissas!$C$27,MAX(0,P286-Q286-R286-S286)*Premissas!$C$49,0)</f>
        <v>1369.60592297733</v>
      </c>
      <c r="W286" s="16" t="n">
        <f aca="false">P286-Q286-R286-S286-T286-U286-V286</f>
        <v>2483.38311456451</v>
      </c>
      <c r="X286" s="16" t="n">
        <f aca="false">W286-F286-G286-H286-M286</f>
        <v>2483.38311456451</v>
      </c>
      <c r="Y286" s="16" t="n">
        <f aca="false">Y285+X286</f>
        <v>-460491.084376</v>
      </c>
      <c r="Z286" s="16" t="n">
        <f aca="false">Premissas!$C$14*(1+Premissas!$C$57)^((YEAR(Premissas!$C$19)-YEAR(Premissas!$C$18))*12+MONTH(Premissas!$C$19)-MONTH(Premissas!$C$18))*(1+Premissas!$C$61)^((YEAR($A286)-YEAR(Premissas!$C$19))*12+MONTH($A286)-MONTH(Premissas!$C$19))</f>
        <v>1499027.52363211</v>
      </c>
      <c r="AA286" s="16" t="n">
        <f aca="false">IF($A286&gt;=Premissas!$C$25,Z286*(1-Premissas!$C$53)-N286-Premissas!$C$54*MAX(0,Z286*(1-Premissas!$C$53)-(Premissas!$C$14*(1+Premissas!$C$57)^((YEAR(Premissas!$C$25)-YEAR(Premissas!$C$18))*12+MONTH(Premissas!$C$25)-MONTH(Premissas!$C$18))*(1+Premissas!$C$34))),"")</f>
        <v>1278925.20089372</v>
      </c>
      <c r="AB286" s="16" t="n">
        <f aca="false">IF($A286&gt;=Premissas!$C$25,Y286+AA286,"")</f>
        <v>818434.116517717</v>
      </c>
      <c r="AC286" s="20" t="n">
        <f aca="false">IF(AND($A286&gt;=Premissas!$C$27,W286&gt;=M286),$A286,"")</f>
        <v>54940</v>
      </c>
      <c r="AD286" s="20" t="str">
        <f aca="false">IF(AND($A286&gt;=Premissas!$C$27,Y286&gt;=0),$A286,"")</f>
        <v/>
      </c>
      <c r="AE286" s="20" t="n">
        <f aca="false">IF(AND($A286&gt;=Premissas!$C$25,N(AB286)&gt;=0),$A286,"")</f>
        <v>54940</v>
      </c>
    </row>
    <row r="287" customFormat="false" ht="15" hidden="false" customHeight="false" outlineLevel="0" collapsed="false">
      <c r="A287" s="20" t="n">
        <f aca="false">DATE(YEAR(A286),MONTH(A286)+1,1)</f>
        <v>54970</v>
      </c>
      <c r="B287" s="5" t="str">
        <f aca="false">IF($A287&lt;Premissas!$C$25,"Obra",IF($A287=Premissas!$C$25,"Chaves",IF($A287&lt;Premissas!$C$27,"Mobiliando","Airbnb")))</f>
        <v>Airbnb</v>
      </c>
      <c r="C287" s="35" t="n">
        <f aca="false">(YEAR($A287)-YEAR(Premissas!$C$18))*12+MONTH($A287)-MONTH(Premissas!$C$18)</f>
        <v>286</v>
      </c>
      <c r="D287" s="16" t="n">
        <f aca="false">($A287=Premissas!$C$19)*Premissas!$C$8+(($A287=EDATE(Premissas!$C$19,1))+($A287=EDATE(Premissas!$C$19,2)))*Premissas!$C$9+AND($A287&gt;=Premissas!$C$20,$A287&lt;EDATE(Premissas!$C$20,Premissas!$C$21))*Premissas!$C$10+(($A287=Premissas!$C$22)+($A287=Premissas!$C$23)+($A287=Premissas!$C$24))*Premissas!$C$11+($A287=Premissas!$C$25)*Premissas!$C$12</f>
        <v>0</v>
      </c>
      <c r="E287" s="36" t="n">
        <f aca="false">(1+Premissas!$C$57)^C287</f>
        <v>3.58247873576843</v>
      </c>
      <c r="F287" s="16" t="n">
        <f aca="false">D287*E287</f>
        <v>0</v>
      </c>
      <c r="G287" s="16" t="n">
        <f aca="false">($A287=Premissas!$C$25)*Premissas!$C$34*Premissas!$C$14*(1+Premissas!$C$57)^C287</f>
        <v>0</v>
      </c>
      <c r="H287" s="16" t="n">
        <f aca="false">IF(AND($A287&gt;Premissas!$C$25,$A287&lt;Premissas!$C$27),Premissas!$C$35/MAX(1,Premissas!$C$26),0)</f>
        <v>0</v>
      </c>
      <c r="I287" s="35" t="n">
        <f aca="false">IF(AND($A287&gt;Premissas!$C$25,((YEAR($A287)-YEAR(Premissas!$C$25))*12+MONTH($A287)-MONTH(Premissas!$C$25))&lt;=Premissas!$C$32),((YEAR($A287)-YEAR(Premissas!$C$25))*12+MONTH($A287)-MONTH(Premissas!$C$25)),0)</f>
        <v>0</v>
      </c>
      <c r="J287" s="16" t="n">
        <f aca="false">IF(I287&gt;0,N286*(1+Premissas!$C$59),0)</f>
        <v>0</v>
      </c>
      <c r="K287" s="16" t="n">
        <f aca="false">J287*Premissas!$C$58</f>
        <v>0</v>
      </c>
      <c r="L287" s="16" t="n">
        <f aca="false">IF(I287&gt;0,J287/(Premissas!$C$32-I287+1),0)</f>
        <v>0</v>
      </c>
      <c r="M287" s="16" t="n">
        <f aca="false">K287+L287</f>
        <v>0</v>
      </c>
      <c r="N287" s="16" t="n">
        <f aca="false">IF($A287=Premissas!$C$25,Premissas!$C$13*E287,IF(I287&gt;0,J287-L287,0))</f>
        <v>0</v>
      </c>
      <c r="O287" s="37" t="n">
        <f aca="false">IF($A287&gt;=Premissas!$C$27,Premissas!$C$39*IF(((YEAR($A287)-YEAR(Premissas!$C$27))*12+MONTH($A287)-MONTH(Premissas!$C$27))&lt;Premissas!$C$41,Premissas!$C$42,1),0)</f>
        <v>0.62</v>
      </c>
      <c r="P287" s="16" t="n">
        <f aca="false">O287*Premissas!$C$38*Premissas!$C$40*(1+Premissas!$C$60)^((YEAR($A287)-YEAR(Premissas!$C$19))*12+MONTH($A287)-MONTH(Premissas!$C$19))</f>
        <v>10752.8664953868</v>
      </c>
      <c r="Q287" s="16" t="n">
        <f aca="false">P287*Premissas!$C$43</f>
        <v>1720.45863926189</v>
      </c>
      <c r="R287" s="16" t="n">
        <f aca="false">P287*Premissas!$C$44</f>
        <v>2150.57329907736</v>
      </c>
      <c r="S287" s="16" t="n">
        <f aca="false">IF($A287&gt;=Premissas!$C$25,Premissas!$C$45*(1+Premissas!$C$60)^((YEAR($A287)-YEAR(Premissas!$C$19))*12+MONTH($A287)-MONTH(Premissas!$C$19)),0)</f>
        <v>1885.1448975082</v>
      </c>
      <c r="T287" s="16" t="n">
        <f aca="false">IF($A287&gt;=Premissas!$C$27,Premissas!$C$46*(1+Premissas!$C$60)^((YEAR($A287)-YEAR(Premissas!$C$19))*12+MONTH($A287)-MONTH(Premissas!$C$19)),0)</f>
        <v>754.057959003281</v>
      </c>
      <c r="U287" s="16" t="n">
        <f aca="false">IF($A287&gt;=Premissas!$C$27,Premissas!$C$47*(1+Premissas!$C$60)^((YEAR($A287)-YEAR(Premissas!$C$19))*12+MONTH($A287)-MONTH(Premissas!$C$19)),0)</f>
        <v>377.028979501641</v>
      </c>
      <c r="V287" s="16" t="n">
        <f aca="false">IF($A287&gt;=Premissas!$C$27,MAX(0,P287-Q287-R287-S287)*Premissas!$C$49,0)</f>
        <v>1374.08965637332</v>
      </c>
      <c r="W287" s="16" t="n">
        <f aca="false">P287-Q287-R287-S287-T287-U287-V287</f>
        <v>2491.5130646611</v>
      </c>
      <c r="X287" s="16" t="n">
        <f aca="false">W287-F287-G287-H287-M287</f>
        <v>2491.5130646611</v>
      </c>
      <c r="Y287" s="16" t="n">
        <f aca="false">Y286+X287</f>
        <v>-457999.571311339</v>
      </c>
      <c r="Z287" s="16" t="n">
        <f aca="false">Premissas!$C$14*(1+Premissas!$C$57)^((YEAR(Premissas!$C$19)-YEAR(Premissas!$C$18))*12+MONTH(Premissas!$C$19)-MONTH(Premissas!$C$18))*(1+Premissas!$C$61)^((YEAR($A287)-YEAR(Premissas!$C$19))*12+MONTH($A287)-MONTH(Premissas!$C$19))</f>
        <v>1505134.74731848</v>
      </c>
      <c r="AA287" s="16" t="n">
        <f aca="false">IF($A287&gt;=Premissas!$C$25,Z287*(1-Premissas!$C$53)-N287-Premissas!$C$54*MAX(0,Z287*(1-Premissas!$C$53)-(Premissas!$C$14*(1+Premissas!$C$57)^((YEAR(Premissas!$C$25)-YEAR(Premissas!$C$18))*12+MONTH(Premissas!$C$25)-MONTH(Premissas!$C$18))*(1+Premissas!$C$34))),"")</f>
        <v>1283804.87261913</v>
      </c>
      <c r="AB287" s="16" t="n">
        <f aca="false">IF($A287&gt;=Premissas!$C$25,Y287+AA287,"")</f>
        <v>825805.30130779</v>
      </c>
      <c r="AC287" s="20" t="n">
        <f aca="false">IF(AND($A287&gt;=Premissas!$C$27,W287&gt;=M287),$A287,"")</f>
        <v>54970</v>
      </c>
      <c r="AD287" s="20" t="str">
        <f aca="false">IF(AND($A287&gt;=Premissas!$C$27,Y287&gt;=0),$A287,"")</f>
        <v/>
      </c>
      <c r="AE287" s="20" t="n">
        <f aca="false">IF(AND($A287&gt;=Premissas!$C$25,N(AB287)&gt;=0),$A287,"")</f>
        <v>54970</v>
      </c>
    </row>
    <row r="288" customFormat="false" ht="15" hidden="false" customHeight="false" outlineLevel="0" collapsed="false">
      <c r="A288" s="20" t="n">
        <f aca="false">DATE(YEAR(A287),MONTH(A287)+1,1)</f>
        <v>55001</v>
      </c>
      <c r="B288" s="5" t="str">
        <f aca="false">IF($A288&lt;Premissas!$C$25,"Obra",IF($A288=Premissas!$C$25,"Chaves",IF($A288&lt;Premissas!$C$27,"Mobiliando","Airbnb")))</f>
        <v>Airbnb</v>
      </c>
      <c r="C288" s="35" t="n">
        <f aca="false">(YEAR($A288)-YEAR(Premissas!$C$18))*12+MONTH($A288)-MONTH(Premissas!$C$18)</f>
        <v>287</v>
      </c>
      <c r="D288" s="16" t="n">
        <f aca="false">($A288=Premissas!$C$19)*Premissas!$C$8+(($A288=EDATE(Premissas!$C$19,1))+($A288=EDATE(Premissas!$C$19,2)))*Premissas!$C$9+AND($A288&gt;=Premissas!$C$20,$A288&lt;EDATE(Premissas!$C$20,Premissas!$C$21))*Premissas!$C$10+(($A288=Premissas!$C$22)+($A288=Premissas!$C$23)+($A288=Premissas!$C$24))*Premissas!$C$11+($A288=Premissas!$C$25)*Premissas!$C$12</f>
        <v>0</v>
      </c>
      <c r="E288" s="36" t="n">
        <f aca="false">(1+Premissas!$C$57)^C288</f>
        <v>3.5984985020515</v>
      </c>
      <c r="F288" s="16" t="n">
        <f aca="false">D288*E288</f>
        <v>0</v>
      </c>
      <c r="G288" s="16" t="n">
        <f aca="false">($A288=Premissas!$C$25)*Premissas!$C$34*Premissas!$C$14*(1+Premissas!$C$57)^C288</f>
        <v>0</v>
      </c>
      <c r="H288" s="16" t="n">
        <f aca="false">IF(AND($A288&gt;Premissas!$C$25,$A288&lt;Premissas!$C$27),Premissas!$C$35/MAX(1,Premissas!$C$26),0)</f>
        <v>0</v>
      </c>
      <c r="I288" s="35" t="n">
        <f aca="false">IF(AND($A288&gt;Premissas!$C$25,((YEAR($A288)-YEAR(Premissas!$C$25))*12+MONTH($A288)-MONTH(Premissas!$C$25))&lt;=Premissas!$C$32),((YEAR($A288)-YEAR(Premissas!$C$25))*12+MONTH($A288)-MONTH(Premissas!$C$25)),0)</f>
        <v>0</v>
      </c>
      <c r="J288" s="16" t="n">
        <f aca="false">IF(I288&gt;0,N287*(1+Premissas!$C$59),0)</f>
        <v>0</v>
      </c>
      <c r="K288" s="16" t="n">
        <f aca="false">J288*Premissas!$C$58</f>
        <v>0</v>
      </c>
      <c r="L288" s="16" t="n">
        <f aca="false">IF(I288&gt;0,J288/(Premissas!$C$32-I288+1),0)</f>
        <v>0</v>
      </c>
      <c r="M288" s="16" t="n">
        <f aca="false">K288+L288</f>
        <v>0</v>
      </c>
      <c r="N288" s="16" t="n">
        <f aca="false">IF($A288=Premissas!$C$25,Premissas!$C$13*E288,IF(I288&gt;0,J288-L288,0))</f>
        <v>0</v>
      </c>
      <c r="O288" s="37" t="n">
        <f aca="false">IF($A288&gt;=Premissas!$C$27,Premissas!$C$39*IF(((YEAR($A288)-YEAR(Premissas!$C$27))*12+MONTH($A288)-MONTH(Premissas!$C$27))&lt;Premissas!$C$41,Premissas!$C$42,1),0)</f>
        <v>0.62</v>
      </c>
      <c r="P288" s="16" t="n">
        <f aca="false">O288*Premissas!$C$38*Premissas!$C$40*(1+Premissas!$C$60)^((YEAR($A288)-YEAR(Premissas!$C$19))*12+MONTH($A288)-MONTH(Premissas!$C$19))</f>
        <v>10788.0685822054</v>
      </c>
      <c r="Q288" s="16" t="n">
        <f aca="false">P288*Premissas!$C$43</f>
        <v>1726.09097315287</v>
      </c>
      <c r="R288" s="16" t="n">
        <f aca="false">P288*Premissas!$C$44</f>
        <v>2157.61371644108</v>
      </c>
      <c r="S288" s="16" t="n">
        <f aca="false">IF($A288&gt;=Premissas!$C$25,Premissas!$C$45*(1+Premissas!$C$60)^((YEAR($A288)-YEAR(Premissas!$C$19))*12+MONTH($A288)-MONTH(Premissas!$C$19)),0)</f>
        <v>1891.31637135439</v>
      </c>
      <c r="T288" s="16" t="n">
        <f aca="false">IF($A288&gt;=Premissas!$C$27,Premissas!$C$46*(1+Premissas!$C$60)^((YEAR($A288)-YEAR(Premissas!$C$19))*12+MONTH($A288)-MONTH(Premissas!$C$19)),0)</f>
        <v>756.526548541754</v>
      </c>
      <c r="U288" s="16" t="n">
        <f aca="false">IF($A288&gt;=Premissas!$C$27,Premissas!$C$47*(1+Premissas!$C$60)^((YEAR($A288)-YEAR(Premissas!$C$19))*12+MONTH($A288)-MONTH(Premissas!$C$19)),0)</f>
        <v>378.263274270877</v>
      </c>
      <c r="V288" s="16" t="n">
        <f aca="false">IF($A288&gt;=Premissas!$C$27,MAX(0,P288-Q288-R288-S288)*Premissas!$C$49,0)</f>
        <v>1378.5880683457</v>
      </c>
      <c r="W288" s="16" t="n">
        <f aca="false">P288-Q288-R288-S288-T288-U288-V288</f>
        <v>2499.66963009875</v>
      </c>
      <c r="X288" s="16" t="n">
        <f aca="false">W288-F288-G288-H288-M288</f>
        <v>2499.66963009875</v>
      </c>
      <c r="Y288" s="16" t="n">
        <f aca="false">Y287+X288</f>
        <v>-455499.90168124</v>
      </c>
      <c r="Z288" s="16" t="n">
        <f aca="false">Premissas!$C$14*(1+Premissas!$C$57)^((YEAR(Premissas!$C$19)-YEAR(Premissas!$C$18))*12+MONTH(Premissas!$C$19)-MONTH(Premissas!$C$18))*(1+Premissas!$C$61)^((YEAR($A288)-YEAR(Premissas!$C$19))*12+MONTH($A288)-MONTH(Premissas!$C$19))</f>
        <v>1511266.85259012</v>
      </c>
      <c r="AA288" s="16" t="n">
        <f aca="false">IF($A288&gt;=Premissas!$C$25,Z288*(1-Premissas!$C$53)-N288-Premissas!$C$54*MAX(0,Z288*(1-Premissas!$C$53)-(Premissas!$C$14*(1+Premissas!$C$57)^((YEAR(Premissas!$C$25)-YEAR(Premissas!$C$18))*12+MONTH(Premissas!$C$25)-MONTH(Premissas!$C$18))*(1+Premissas!$C$34))),"")</f>
        <v>1288704.42473117</v>
      </c>
      <c r="AB288" s="16" t="n">
        <f aca="false">IF($A288&gt;=Premissas!$C$25,Y288+AA288,"")</f>
        <v>833204.523049934</v>
      </c>
      <c r="AC288" s="20" t="n">
        <f aca="false">IF(AND($A288&gt;=Premissas!$C$27,W288&gt;=M288),$A288,"")</f>
        <v>55001</v>
      </c>
      <c r="AD288" s="20" t="str">
        <f aca="false">IF(AND($A288&gt;=Premissas!$C$27,Y288&gt;=0),$A288,"")</f>
        <v/>
      </c>
      <c r="AE288" s="20" t="n">
        <f aca="false">IF(AND($A288&gt;=Premissas!$C$25,N(AB288)&gt;=0),$A288,"")</f>
        <v>55001</v>
      </c>
    </row>
    <row r="289" customFormat="false" ht="15" hidden="false" customHeight="false" outlineLevel="0" collapsed="false">
      <c r="A289" s="20" t="n">
        <f aca="false">DATE(YEAR(A288),MONTH(A288)+1,1)</f>
        <v>55032</v>
      </c>
      <c r="B289" s="5" t="str">
        <f aca="false">IF($A289&lt;Premissas!$C$25,"Obra",IF($A289=Premissas!$C$25,"Chaves",IF($A289&lt;Premissas!$C$27,"Mobiliando","Airbnb")))</f>
        <v>Airbnb</v>
      </c>
      <c r="C289" s="35" t="n">
        <f aca="false">(YEAR($A289)-YEAR(Premissas!$C$18))*12+MONTH($A289)-MONTH(Premissas!$C$18)</f>
        <v>288</v>
      </c>
      <c r="D289" s="16" t="n">
        <f aca="false">($A289=Premissas!$C$19)*Premissas!$C$8+(($A289=EDATE(Premissas!$C$19,1))+($A289=EDATE(Premissas!$C$19,2)))*Premissas!$C$9+AND($A289&gt;=Premissas!$C$20,$A289&lt;EDATE(Premissas!$C$20,Premissas!$C$21))*Premissas!$C$10+(($A289=Premissas!$C$22)+($A289=Premissas!$C$23)+($A289=Premissas!$C$24))*Premissas!$C$11+($A289=Premissas!$C$25)*Premissas!$C$12</f>
        <v>0</v>
      </c>
      <c r="E289" s="36" t="n">
        <f aca="false">(1+Premissas!$C$57)^C289</f>
        <v>3.6145899039061</v>
      </c>
      <c r="F289" s="16" t="n">
        <f aca="false">D289*E289</f>
        <v>0</v>
      </c>
      <c r="G289" s="16" t="n">
        <f aca="false">($A289=Premissas!$C$25)*Premissas!$C$34*Premissas!$C$14*(1+Premissas!$C$57)^C289</f>
        <v>0</v>
      </c>
      <c r="H289" s="16" t="n">
        <f aca="false">IF(AND($A289&gt;Premissas!$C$25,$A289&lt;Premissas!$C$27),Premissas!$C$35/MAX(1,Premissas!$C$26),0)</f>
        <v>0</v>
      </c>
      <c r="I289" s="35" t="n">
        <f aca="false">IF(AND($A289&gt;Premissas!$C$25,((YEAR($A289)-YEAR(Premissas!$C$25))*12+MONTH($A289)-MONTH(Premissas!$C$25))&lt;=Premissas!$C$32),((YEAR($A289)-YEAR(Premissas!$C$25))*12+MONTH($A289)-MONTH(Premissas!$C$25)),0)</f>
        <v>0</v>
      </c>
      <c r="J289" s="16" t="n">
        <f aca="false">IF(I289&gt;0,N288*(1+Premissas!$C$59),0)</f>
        <v>0</v>
      </c>
      <c r="K289" s="16" t="n">
        <f aca="false">J289*Premissas!$C$58</f>
        <v>0</v>
      </c>
      <c r="L289" s="16" t="n">
        <f aca="false">IF(I289&gt;0,J289/(Premissas!$C$32-I289+1),0)</f>
        <v>0</v>
      </c>
      <c r="M289" s="16" t="n">
        <f aca="false">K289+L289</f>
        <v>0</v>
      </c>
      <c r="N289" s="16" t="n">
        <f aca="false">IF($A289=Premissas!$C$25,Premissas!$C$13*E289,IF(I289&gt;0,J289-L289,0))</f>
        <v>0</v>
      </c>
      <c r="O289" s="37" t="n">
        <f aca="false">IF($A289&gt;=Premissas!$C$27,Premissas!$C$39*IF(((YEAR($A289)-YEAR(Premissas!$C$27))*12+MONTH($A289)-MONTH(Premissas!$C$27))&lt;Premissas!$C$41,Premissas!$C$42,1),0)</f>
        <v>0.62</v>
      </c>
      <c r="P289" s="16" t="n">
        <f aca="false">O289*Premissas!$C$38*Premissas!$C$40*(1+Premissas!$C$60)^((YEAR($A289)-YEAR(Premissas!$C$19))*12+MONTH($A289)-MONTH(Premissas!$C$19))</f>
        <v>10823.3859114961</v>
      </c>
      <c r="Q289" s="16" t="n">
        <f aca="false">P289*Premissas!$C$43</f>
        <v>1731.74174583937</v>
      </c>
      <c r="R289" s="16" t="n">
        <f aca="false">P289*Premissas!$C$44</f>
        <v>2164.67718229921</v>
      </c>
      <c r="S289" s="16" t="n">
        <f aca="false">IF($A289&gt;=Premissas!$C$25,Premissas!$C$45*(1+Premissas!$C$60)^((YEAR($A289)-YEAR(Premissas!$C$19))*12+MONTH($A289)-MONTH(Premissas!$C$19)),0)</f>
        <v>1897.50804900001</v>
      </c>
      <c r="T289" s="16" t="n">
        <f aca="false">IF($A289&gt;=Premissas!$C$27,Premissas!$C$46*(1+Premissas!$C$60)^((YEAR($A289)-YEAR(Premissas!$C$19))*12+MONTH($A289)-MONTH(Premissas!$C$19)),0)</f>
        <v>759.003219600005</v>
      </c>
      <c r="U289" s="16" t="n">
        <f aca="false">IF($A289&gt;=Premissas!$C$27,Premissas!$C$47*(1+Premissas!$C$60)^((YEAR($A289)-YEAR(Premissas!$C$19))*12+MONTH($A289)-MONTH(Premissas!$C$19)),0)</f>
        <v>379.501609800003</v>
      </c>
      <c r="V289" s="16" t="n">
        <f aca="false">IF($A289&gt;=Premissas!$C$27,MAX(0,P289-Q289-R289-S289)*Premissas!$C$49,0)</f>
        <v>1383.1012069483</v>
      </c>
      <c r="W289" s="16" t="n">
        <f aca="false">P289-Q289-R289-S289-T289-U289-V289</f>
        <v>2507.85289800916</v>
      </c>
      <c r="X289" s="16" t="n">
        <f aca="false">W289-F289-G289-H289-M289</f>
        <v>2507.85289800916</v>
      </c>
      <c r="Y289" s="16" t="n">
        <f aca="false">Y288+X289</f>
        <v>-452992.048783231</v>
      </c>
      <c r="Z289" s="16" t="n">
        <f aca="false">Premissas!$C$14*(1+Premissas!$C$57)^((YEAR(Premissas!$C$19)-YEAR(Premissas!$C$18))*12+MONTH(Premissas!$C$19)-MONTH(Premissas!$C$18))*(1+Premissas!$C$61)^((YEAR($A289)-YEAR(Premissas!$C$19))*12+MONTH($A289)-MONTH(Premissas!$C$19))</f>
        <v>1517423.9408177</v>
      </c>
      <c r="AA289" s="16" t="n">
        <f aca="false">IF($A289&gt;=Premissas!$C$25,Z289*(1-Premissas!$C$53)-N289-Premissas!$C$54*MAX(0,Z289*(1-Premissas!$C$53)-(Premissas!$C$14*(1+Premissas!$C$57)^((YEAR(Premissas!$C$25)-YEAR(Premissas!$C$18))*12+MONTH(Premissas!$C$25)-MONTH(Premissas!$C$18))*(1+Premissas!$C$34))),"")</f>
        <v>1293623.93822501</v>
      </c>
      <c r="AB289" s="16" t="n">
        <f aca="false">IF($A289&gt;=Premissas!$C$25,Y289+AA289,"")</f>
        <v>840631.889441777</v>
      </c>
      <c r="AC289" s="20" t="n">
        <f aca="false">IF(AND($A289&gt;=Premissas!$C$27,W289&gt;=M289),$A289,"")</f>
        <v>55032</v>
      </c>
      <c r="AD289" s="20" t="str">
        <f aca="false">IF(AND($A289&gt;=Premissas!$C$27,Y289&gt;=0),$A289,"")</f>
        <v/>
      </c>
      <c r="AE289" s="20" t="n">
        <f aca="false">IF(AND($A289&gt;=Premissas!$C$25,N(AB289)&gt;=0),$A289,"")</f>
        <v>55032</v>
      </c>
    </row>
    <row r="290" customFormat="false" ht="15" hidden="false" customHeight="false" outlineLevel="0" collapsed="false">
      <c r="A290" s="20" t="n">
        <f aca="false">DATE(YEAR(A289),MONTH(A289)+1,1)</f>
        <v>55062</v>
      </c>
      <c r="B290" s="5" t="str">
        <f aca="false">IF($A290&lt;Premissas!$C$25,"Obra",IF($A290=Premissas!$C$25,"Chaves",IF($A290&lt;Premissas!$C$27,"Mobiliando","Airbnb")))</f>
        <v>Airbnb</v>
      </c>
      <c r="C290" s="35" t="n">
        <f aca="false">(YEAR($A290)-YEAR(Premissas!$C$18))*12+MONTH($A290)-MONTH(Premissas!$C$18)</f>
        <v>289</v>
      </c>
      <c r="D290" s="16" t="n">
        <f aca="false">($A290=Premissas!$C$19)*Premissas!$C$8+(($A290=EDATE(Premissas!$C$19,1))+($A290=EDATE(Premissas!$C$19,2)))*Premissas!$C$9+AND($A290&gt;=Premissas!$C$20,$A290&lt;EDATE(Premissas!$C$20,Premissas!$C$21))*Premissas!$C$10+(($A290=Premissas!$C$22)+($A290=Premissas!$C$23)+($A290=Premissas!$C$24))*Premissas!$C$11+($A290=Premissas!$C$25)*Premissas!$C$12</f>
        <v>0</v>
      </c>
      <c r="E290" s="36" t="n">
        <f aca="false">(1+Premissas!$C$57)^C290</f>
        <v>3.63075326166495</v>
      </c>
      <c r="F290" s="16" t="n">
        <f aca="false">D290*E290</f>
        <v>0</v>
      </c>
      <c r="G290" s="16" t="n">
        <f aca="false">($A290=Premissas!$C$25)*Premissas!$C$34*Premissas!$C$14*(1+Premissas!$C$57)^C290</f>
        <v>0</v>
      </c>
      <c r="H290" s="16" t="n">
        <f aca="false">IF(AND($A290&gt;Premissas!$C$25,$A290&lt;Premissas!$C$27),Premissas!$C$35/MAX(1,Premissas!$C$26),0)</f>
        <v>0</v>
      </c>
      <c r="I290" s="35" t="n">
        <f aca="false">IF(AND($A290&gt;Premissas!$C$25,((YEAR($A290)-YEAR(Premissas!$C$25))*12+MONTH($A290)-MONTH(Premissas!$C$25))&lt;=Premissas!$C$32),((YEAR($A290)-YEAR(Premissas!$C$25))*12+MONTH($A290)-MONTH(Premissas!$C$25)),0)</f>
        <v>0</v>
      </c>
      <c r="J290" s="16" t="n">
        <f aca="false">IF(I290&gt;0,N289*(1+Premissas!$C$59),0)</f>
        <v>0</v>
      </c>
      <c r="K290" s="16" t="n">
        <f aca="false">J290*Premissas!$C$58</f>
        <v>0</v>
      </c>
      <c r="L290" s="16" t="n">
        <f aca="false">IF(I290&gt;0,J290/(Premissas!$C$32-I290+1),0)</f>
        <v>0</v>
      </c>
      <c r="M290" s="16" t="n">
        <f aca="false">K290+L290</f>
        <v>0</v>
      </c>
      <c r="N290" s="16" t="n">
        <f aca="false">IF($A290=Premissas!$C$25,Premissas!$C$13*E290,IF(I290&gt;0,J290-L290,0))</f>
        <v>0</v>
      </c>
      <c r="O290" s="37" t="n">
        <f aca="false">IF($A290&gt;=Premissas!$C$27,Premissas!$C$39*IF(((YEAR($A290)-YEAR(Premissas!$C$27))*12+MONTH($A290)-MONTH(Premissas!$C$27))&lt;Premissas!$C$41,Premissas!$C$42,1),0)</f>
        <v>0.62</v>
      </c>
      <c r="P290" s="16" t="n">
        <f aca="false">O290*Premissas!$C$38*Premissas!$C$40*(1+Premissas!$C$60)^((YEAR($A290)-YEAR(Premissas!$C$19))*12+MONTH($A290)-MONTH(Premissas!$C$19))</f>
        <v>10858.8188605326</v>
      </c>
      <c r="Q290" s="16" t="n">
        <f aca="false">P290*Premissas!$C$43</f>
        <v>1737.41101768522</v>
      </c>
      <c r="R290" s="16" t="n">
        <f aca="false">P290*Premissas!$C$44</f>
        <v>2171.76377210653</v>
      </c>
      <c r="S290" s="16" t="n">
        <f aca="false">IF($A290&gt;=Premissas!$C$25,Premissas!$C$45*(1+Premissas!$C$60)^((YEAR($A290)-YEAR(Premissas!$C$19))*12+MONTH($A290)-MONTH(Premissas!$C$19)),0)</f>
        <v>1903.71999658707</v>
      </c>
      <c r="T290" s="16" t="n">
        <f aca="false">IF($A290&gt;=Premissas!$C$27,Premissas!$C$46*(1+Premissas!$C$60)^((YEAR($A290)-YEAR(Premissas!$C$19))*12+MONTH($A290)-MONTH(Premissas!$C$19)),0)</f>
        <v>761.487998634827</v>
      </c>
      <c r="U290" s="16" t="n">
        <f aca="false">IF($A290&gt;=Premissas!$C$27,Premissas!$C$47*(1+Premissas!$C$60)^((YEAR($A290)-YEAR(Premissas!$C$19))*12+MONTH($A290)-MONTH(Premissas!$C$19)),0)</f>
        <v>380.743999317413</v>
      </c>
      <c r="V290" s="16" t="n">
        <f aca="false">IF($A290&gt;=Premissas!$C$27,MAX(0,P290-Q290-R290-S290)*Premissas!$C$49,0)</f>
        <v>1387.6291203923</v>
      </c>
      <c r="W290" s="16" t="n">
        <f aca="false">P290-Q290-R290-S290-T290-U290-V290</f>
        <v>2516.06295580928</v>
      </c>
      <c r="X290" s="16" t="n">
        <f aca="false">W290-F290-G290-H290-M290</f>
        <v>2516.06295580928</v>
      </c>
      <c r="Y290" s="16" t="n">
        <f aca="false">Y289+X290</f>
        <v>-450475.985827422</v>
      </c>
      <c r="Z290" s="16" t="n">
        <f aca="false">Premissas!$C$14*(1+Premissas!$C$57)^((YEAR(Premissas!$C$19)-YEAR(Premissas!$C$18))*12+MONTH(Premissas!$C$19)-MONTH(Premissas!$C$18))*(1+Premissas!$C$61)^((YEAR($A290)-YEAR(Premissas!$C$19))*12+MONTH($A290)-MONTH(Premissas!$C$19))</f>
        <v>1523606.11378486</v>
      </c>
      <c r="AA290" s="16" t="n">
        <f aca="false">IF($A290&gt;=Premissas!$C$25,Z290*(1-Premissas!$C$53)-N290-Premissas!$C$54*MAX(0,Z290*(1-Premissas!$C$53)-(Premissas!$C$14*(1+Premissas!$C$57)^((YEAR(Premissas!$C$25)-YEAR(Premissas!$C$18))*12+MONTH(Premissas!$C$25)-MONTH(Premissas!$C$18))*(1+Premissas!$C$34))),"")</f>
        <v>1298563.49442577</v>
      </c>
      <c r="AB290" s="16" t="n">
        <f aca="false">IF($A290&gt;=Premissas!$C$25,Y290+AA290,"")</f>
        <v>848087.50859835</v>
      </c>
      <c r="AC290" s="20" t="n">
        <f aca="false">IF(AND($A290&gt;=Premissas!$C$27,W290&gt;=M290),$A290,"")</f>
        <v>55062</v>
      </c>
      <c r="AD290" s="20" t="str">
        <f aca="false">IF(AND($A290&gt;=Premissas!$C$27,Y290&gt;=0),$A290,"")</f>
        <v/>
      </c>
      <c r="AE290" s="20" t="n">
        <f aca="false">IF(AND($A290&gt;=Premissas!$C$25,N(AB290)&gt;=0),$A290,"")</f>
        <v>55062</v>
      </c>
    </row>
    <row r="291" customFormat="false" ht="15" hidden="false" customHeight="false" outlineLevel="0" collapsed="false">
      <c r="A291" s="20" t="n">
        <f aca="false">DATE(YEAR(A290),MONTH(A290)+1,1)</f>
        <v>55093</v>
      </c>
      <c r="B291" s="5" t="str">
        <f aca="false">IF($A291&lt;Premissas!$C$25,"Obra",IF($A291=Premissas!$C$25,"Chaves",IF($A291&lt;Premissas!$C$27,"Mobiliando","Airbnb")))</f>
        <v>Airbnb</v>
      </c>
      <c r="C291" s="35" t="n">
        <f aca="false">(YEAR($A291)-YEAR(Premissas!$C$18))*12+MONTH($A291)-MONTH(Premissas!$C$18)</f>
        <v>290</v>
      </c>
      <c r="D291" s="16" t="n">
        <f aca="false">($A291=Premissas!$C$19)*Premissas!$C$8+(($A291=EDATE(Premissas!$C$19,1))+($A291=EDATE(Premissas!$C$19,2)))*Premissas!$C$9+AND($A291&gt;=Premissas!$C$20,$A291&lt;EDATE(Premissas!$C$20,Premissas!$C$21))*Premissas!$C$10+(($A291=Premissas!$C$22)+($A291=Premissas!$C$23)+($A291=Premissas!$C$24))*Premissas!$C$11+($A291=Premissas!$C$25)*Premissas!$C$12</f>
        <v>0</v>
      </c>
      <c r="E291" s="36" t="n">
        <f aca="false">(1+Premissas!$C$57)^C291</f>
        <v>3.64698889709319</v>
      </c>
      <c r="F291" s="16" t="n">
        <f aca="false">D291*E291</f>
        <v>0</v>
      </c>
      <c r="G291" s="16" t="n">
        <f aca="false">($A291=Premissas!$C$25)*Premissas!$C$34*Premissas!$C$14*(1+Premissas!$C$57)^C291</f>
        <v>0</v>
      </c>
      <c r="H291" s="16" t="n">
        <f aca="false">IF(AND($A291&gt;Premissas!$C$25,$A291&lt;Premissas!$C$27),Premissas!$C$35/MAX(1,Premissas!$C$26),0)</f>
        <v>0</v>
      </c>
      <c r="I291" s="35" t="n">
        <f aca="false">IF(AND($A291&gt;Premissas!$C$25,((YEAR($A291)-YEAR(Premissas!$C$25))*12+MONTH($A291)-MONTH(Premissas!$C$25))&lt;=Premissas!$C$32),((YEAR($A291)-YEAR(Premissas!$C$25))*12+MONTH($A291)-MONTH(Premissas!$C$25)),0)</f>
        <v>0</v>
      </c>
      <c r="J291" s="16" t="n">
        <f aca="false">IF(I291&gt;0,N290*(1+Premissas!$C$59),0)</f>
        <v>0</v>
      </c>
      <c r="K291" s="16" t="n">
        <f aca="false">J291*Premissas!$C$58</f>
        <v>0</v>
      </c>
      <c r="L291" s="16" t="n">
        <f aca="false">IF(I291&gt;0,J291/(Premissas!$C$32-I291+1),0)</f>
        <v>0</v>
      </c>
      <c r="M291" s="16" t="n">
        <f aca="false">K291+L291</f>
        <v>0</v>
      </c>
      <c r="N291" s="16" t="n">
        <f aca="false">IF($A291=Premissas!$C$25,Premissas!$C$13*E291,IF(I291&gt;0,J291-L291,0))</f>
        <v>0</v>
      </c>
      <c r="O291" s="37" t="n">
        <f aca="false">IF($A291&gt;=Premissas!$C$27,Premissas!$C$39*IF(((YEAR($A291)-YEAR(Premissas!$C$27))*12+MONTH($A291)-MONTH(Premissas!$C$27))&lt;Premissas!$C$41,Premissas!$C$42,1),0)</f>
        <v>0.62</v>
      </c>
      <c r="P291" s="16" t="n">
        <f aca="false">O291*Premissas!$C$38*Premissas!$C$40*(1+Premissas!$C$60)^((YEAR($A291)-YEAR(Premissas!$C$19))*12+MONTH($A291)-MONTH(Premissas!$C$19))</f>
        <v>10894.367807824</v>
      </c>
      <c r="Q291" s="16" t="n">
        <f aca="false">P291*Premissas!$C$43</f>
        <v>1743.09884925185</v>
      </c>
      <c r="R291" s="16" t="n">
        <f aca="false">P291*Premissas!$C$44</f>
        <v>2178.87356156481</v>
      </c>
      <c r="S291" s="16" t="n">
        <f aca="false">IF($A291&gt;=Premissas!$C$25,Premissas!$C$45*(1+Premissas!$C$60)^((YEAR($A291)-YEAR(Premissas!$C$19))*12+MONTH($A291)-MONTH(Premissas!$C$19)),0)</f>
        <v>1909.95228047406</v>
      </c>
      <c r="T291" s="16" t="n">
        <f aca="false">IF($A291&gt;=Premissas!$C$27,Premissas!$C$46*(1+Premissas!$C$60)^((YEAR($A291)-YEAR(Premissas!$C$19))*12+MONTH($A291)-MONTH(Premissas!$C$19)),0)</f>
        <v>763.980912189624</v>
      </c>
      <c r="U291" s="16" t="n">
        <f aca="false">IF($A291&gt;=Premissas!$C$27,Premissas!$C$47*(1+Premissas!$C$60)^((YEAR($A291)-YEAR(Premissas!$C$19))*12+MONTH($A291)-MONTH(Premissas!$C$19)),0)</f>
        <v>381.990456094812</v>
      </c>
      <c r="V291" s="16" t="n">
        <f aca="false">IF($A291&gt;=Premissas!$C$27,MAX(0,P291-Q291-R291-S291)*Premissas!$C$49,0)</f>
        <v>1392.17185704666</v>
      </c>
      <c r="W291" s="16" t="n">
        <f aca="false">P291-Q291-R291-S291-T291-U291-V291</f>
        <v>2524.29989120223</v>
      </c>
      <c r="X291" s="16" t="n">
        <f aca="false">W291-F291-G291-H291-M291</f>
        <v>2524.29989120223</v>
      </c>
      <c r="Y291" s="16" t="n">
        <f aca="false">Y290+X291</f>
        <v>-447951.685936219</v>
      </c>
      <c r="Z291" s="16" t="n">
        <f aca="false">Premissas!$C$14*(1+Premissas!$C$57)^((YEAR(Premissas!$C$19)-YEAR(Premissas!$C$18))*12+MONTH(Premissas!$C$19)-MONTH(Premissas!$C$18))*(1+Premissas!$C$61)^((YEAR($A291)-YEAR(Premissas!$C$19))*12+MONTH($A291)-MONTH(Premissas!$C$19))</f>
        <v>1529813.47368995</v>
      </c>
      <c r="AA291" s="16" t="n">
        <f aca="false">IF($A291&gt;=Premissas!$C$25,Z291*(1-Premissas!$C$53)-N291-Premissas!$C$54*MAX(0,Z291*(1-Premissas!$C$53)-(Premissas!$C$14*(1+Premissas!$C$57)^((YEAR(Premissas!$C$25)-YEAR(Premissas!$C$18))*12+MONTH(Premissas!$C$25)-MONTH(Premissas!$C$18))*(1+Premissas!$C$34))),"")</f>
        <v>1303523.17498993</v>
      </c>
      <c r="AB291" s="16" t="n">
        <f aca="false">IF($A291&gt;=Premissas!$C$25,Y291+AA291,"")</f>
        <v>855571.489053713</v>
      </c>
      <c r="AC291" s="20" t="n">
        <f aca="false">IF(AND($A291&gt;=Premissas!$C$27,W291&gt;=M291),$A291,"")</f>
        <v>55093</v>
      </c>
      <c r="AD291" s="20" t="str">
        <f aca="false">IF(AND($A291&gt;=Premissas!$C$27,Y291&gt;=0),$A291,"")</f>
        <v/>
      </c>
      <c r="AE291" s="20" t="n">
        <f aca="false">IF(AND($A291&gt;=Premissas!$C$25,N(AB291)&gt;=0),$A291,"")</f>
        <v>55093</v>
      </c>
    </row>
    <row r="292" customFormat="false" ht="15" hidden="false" customHeight="false" outlineLevel="0" collapsed="false">
      <c r="A292" s="20" t="n">
        <f aca="false">DATE(YEAR(A291),MONTH(A291)+1,1)</f>
        <v>55123</v>
      </c>
      <c r="B292" s="5" t="str">
        <f aca="false">IF($A292&lt;Premissas!$C$25,"Obra",IF($A292=Premissas!$C$25,"Chaves",IF($A292&lt;Premissas!$C$27,"Mobiliando","Airbnb")))</f>
        <v>Airbnb</v>
      </c>
      <c r="C292" s="35" t="n">
        <f aca="false">(YEAR($A292)-YEAR(Premissas!$C$18))*12+MONTH($A292)-MONTH(Premissas!$C$18)</f>
        <v>291</v>
      </c>
      <c r="D292" s="16" t="n">
        <f aca="false">($A292=Premissas!$C$19)*Premissas!$C$8+(($A292=EDATE(Premissas!$C$19,1))+($A292=EDATE(Premissas!$C$19,2)))*Premissas!$C$9+AND($A292&gt;=Premissas!$C$20,$A292&lt;EDATE(Premissas!$C$20,Premissas!$C$21))*Premissas!$C$10+(($A292=Premissas!$C$22)+($A292=Premissas!$C$23)+($A292=Premissas!$C$24))*Premissas!$C$11+($A292=Premissas!$C$25)*Premissas!$C$12</f>
        <v>0</v>
      </c>
      <c r="E292" s="36" t="n">
        <f aca="false">(1+Premissas!$C$57)^C292</f>
        <v>3.66329713339479</v>
      </c>
      <c r="F292" s="16" t="n">
        <f aca="false">D292*E292</f>
        <v>0</v>
      </c>
      <c r="G292" s="16" t="n">
        <f aca="false">($A292=Premissas!$C$25)*Premissas!$C$34*Premissas!$C$14*(1+Premissas!$C$57)^C292</f>
        <v>0</v>
      </c>
      <c r="H292" s="16" t="n">
        <f aca="false">IF(AND($A292&gt;Premissas!$C$25,$A292&lt;Premissas!$C$27),Premissas!$C$35/MAX(1,Premissas!$C$26),0)</f>
        <v>0</v>
      </c>
      <c r="I292" s="35" t="n">
        <f aca="false">IF(AND($A292&gt;Premissas!$C$25,((YEAR($A292)-YEAR(Premissas!$C$25))*12+MONTH($A292)-MONTH(Premissas!$C$25))&lt;=Premissas!$C$32),((YEAR($A292)-YEAR(Premissas!$C$25))*12+MONTH($A292)-MONTH(Premissas!$C$25)),0)</f>
        <v>0</v>
      </c>
      <c r="J292" s="16" t="n">
        <f aca="false">IF(I292&gt;0,N291*(1+Premissas!$C$59),0)</f>
        <v>0</v>
      </c>
      <c r="K292" s="16" t="n">
        <f aca="false">J292*Premissas!$C$58</f>
        <v>0</v>
      </c>
      <c r="L292" s="16" t="n">
        <f aca="false">IF(I292&gt;0,J292/(Premissas!$C$32-I292+1),0)</f>
        <v>0</v>
      </c>
      <c r="M292" s="16" t="n">
        <f aca="false">K292+L292</f>
        <v>0</v>
      </c>
      <c r="N292" s="16" t="n">
        <f aca="false">IF($A292=Premissas!$C$25,Premissas!$C$13*E292,IF(I292&gt;0,J292-L292,0))</f>
        <v>0</v>
      </c>
      <c r="O292" s="37" t="n">
        <f aca="false">IF($A292&gt;=Premissas!$C$27,Premissas!$C$39*IF(((YEAR($A292)-YEAR(Premissas!$C$27))*12+MONTH($A292)-MONTH(Premissas!$C$27))&lt;Premissas!$C$41,Premissas!$C$42,1),0)</f>
        <v>0.62</v>
      </c>
      <c r="P292" s="16" t="n">
        <f aca="false">O292*Premissas!$C$38*Premissas!$C$40*(1+Premissas!$C$60)^((YEAR($A292)-YEAR(Premissas!$C$19))*12+MONTH($A292)-MONTH(Premissas!$C$19))</f>
        <v>10930.0331331184</v>
      </c>
      <c r="Q292" s="16" t="n">
        <f aca="false">P292*Premissas!$C$43</f>
        <v>1748.80530129895</v>
      </c>
      <c r="R292" s="16" t="n">
        <f aca="false">P292*Premissas!$C$44</f>
        <v>2186.00662662369</v>
      </c>
      <c r="S292" s="16" t="n">
        <f aca="false">IF($A292&gt;=Premissas!$C$25,Premissas!$C$45*(1+Premissas!$C$60)^((YEAR($A292)-YEAR(Premissas!$C$19))*12+MONTH($A292)-MONTH(Premissas!$C$19)),0)</f>
        <v>1916.20496723675</v>
      </c>
      <c r="T292" s="16" t="n">
        <f aca="false">IF($A292&gt;=Premissas!$C$27,Premissas!$C$46*(1+Premissas!$C$60)^((YEAR($A292)-YEAR(Premissas!$C$19))*12+MONTH($A292)-MONTH(Premissas!$C$19)),0)</f>
        <v>766.4819868947</v>
      </c>
      <c r="U292" s="16" t="n">
        <f aca="false">IF($A292&gt;=Premissas!$C$27,Premissas!$C$47*(1+Premissas!$C$60)^((YEAR($A292)-YEAR(Premissas!$C$19))*12+MONTH($A292)-MONTH(Premissas!$C$19)),0)</f>
        <v>383.24099344735</v>
      </c>
      <c r="V292" s="16" t="n">
        <f aca="false">IF($A292&gt;=Premissas!$C$27,MAX(0,P292-Q292-R292-S292)*Premissas!$C$49,0)</f>
        <v>1396.72946543874</v>
      </c>
      <c r="W292" s="16" t="n">
        <f aca="false">P292-Q292-R292-S292-T292-U292-V292</f>
        <v>2532.56379217826</v>
      </c>
      <c r="X292" s="16" t="n">
        <f aca="false">W292-F292-G292-H292-M292</f>
        <v>2532.56379217826</v>
      </c>
      <c r="Y292" s="16" t="n">
        <f aca="false">Y291+X292</f>
        <v>-445419.122144041</v>
      </c>
      <c r="Z292" s="16" t="n">
        <f aca="false">Premissas!$C$14*(1+Premissas!$C$57)^((YEAR(Premissas!$C$19)-YEAR(Premissas!$C$18))*12+MONTH(Premissas!$C$19)-MONTH(Premissas!$C$18))*(1+Premissas!$C$61)^((YEAR($A292)-YEAR(Premissas!$C$19))*12+MONTH($A292)-MONTH(Premissas!$C$19))</f>
        <v>1536046.12314765</v>
      </c>
      <c r="AA292" s="16" t="n">
        <f aca="false">IF($A292&gt;=Premissas!$C$25,Z292*(1-Premissas!$C$53)-N292-Premissas!$C$54*MAX(0,Z292*(1-Premissas!$C$53)-(Premissas!$C$14*(1+Premissas!$C$57)^((YEAR(Premissas!$C$25)-YEAR(Premissas!$C$18))*12+MONTH(Premissas!$C$25)-MONTH(Premissas!$C$18))*(1+Premissas!$C$34))),"")</f>
        <v>1308503.06190664</v>
      </c>
      <c r="AB292" s="16" t="n">
        <f aca="false">IF($A292&gt;=Premissas!$C$25,Y292+AA292,"")</f>
        <v>863083.939762598</v>
      </c>
      <c r="AC292" s="20" t="n">
        <f aca="false">IF(AND($A292&gt;=Premissas!$C$27,W292&gt;=M292),$A292,"")</f>
        <v>55123</v>
      </c>
      <c r="AD292" s="20" t="str">
        <f aca="false">IF(AND($A292&gt;=Premissas!$C$27,Y292&gt;=0),$A292,"")</f>
        <v/>
      </c>
      <c r="AE292" s="20" t="n">
        <f aca="false">IF(AND($A292&gt;=Premissas!$C$25,N(AB292)&gt;=0),$A292,"")</f>
        <v>55123</v>
      </c>
    </row>
    <row r="293" customFormat="false" ht="15" hidden="false" customHeight="false" outlineLevel="0" collapsed="false">
      <c r="A293" s="29" t="n">
        <f aca="false">DATE(YEAR(A292),MONTH(A292)+1,1)</f>
        <v>55154</v>
      </c>
      <c r="B293" s="30" t="str">
        <f aca="false">IF($A293&lt;Premissas!$C$25,"Obra",IF($A293=Premissas!$C$25,"Chaves",IF($A293&lt;Premissas!$C$27,"Mobiliando","Airbnb")))</f>
        <v>Airbnb</v>
      </c>
      <c r="C293" s="31" t="n">
        <f aca="false">(YEAR($A293)-YEAR(Premissas!$C$18))*12+MONTH($A293)-MONTH(Premissas!$C$18)</f>
        <v>292</v>
      </c>
      <c r="D293" s="32" t="n">
        <f aca="false">($A293=Premissas!$C$19)*Premissas!$C$8+(($A293=EDATE(Premissas!$C$19,1))+($A293=EDATE(Premissas!$C$19,2)))*Premissas!$C$9+AND($A293&gt;=Premissas!$C$20,$A293&lt;EDATE(Premissas!$C$20,Premissas!$C$21))*Premissas!$C$10+(($A293=Premissas!$C$22)+($A293=Premissas!$C$23)+($A293=Premissas!$C$24))*Premissas!$C$11+($A293=Premissas!$C$25)*Premissas!$C$12</f>
        <v>0</v>
      </c>
      <c r="E293" s="33" t="n">
        <f aca="false">(1+Premissas!$C$57)^C293</f>
        <v>3.679678295219</v>
      </c>
      <c r="F293" s="32" t="n">
        <f aca="false">D293*E293</f>
        <v>0</v>
      </c>
      <c r="G293" s="32" t="n">
        <f aca="false">($A293=Premissas!$C$25)*Premissas!$C$34*Premissas!$C$14*(1+Premissas!$C$57)^C293</f>
        <v>0</v>
      </c>
      <c r="H293" s="32" t="n">
        <f aca="false">IF(AND($A293&gt;Premissas!$C$25,$A293&lt;Premissas!$C$27),Premissas!$C$35/MAX(1,Premissas!$C$26),0)</f>
        <v>0</v>
      </c>
      <c r="I293" s="31" t="n">
        <f aca="false">IF(AND($A293&gt;Premissas!$C$25,((YEAR($A293)-YEAR(Premissas!$C$25))*12+MONTH($A293)-MONTH(Premissas!$C$25))&lt;=Premissas!$C$32),((YEAR($A293)-YEAR(Premissas!$C$25))*12+MONTH($A293)-MONTH(Premissas!$C$25)),0)</f>
        <v>0</v>
      </c>
      <c r="J293" s="32" t="n">
        <f aca="false">IF(I293&gt;0,N292*(1+Premissas!$C$59),0)</f>
        <v>0</v>
      </c>
      <c r="K293" s="32" t="n">
        <f aca="false">J293*Premissas!$C$58</f>
        <v>0</v>
      </c>
      <c r="L293" s="32" t="n">
        <f aca="false">IF(I293&gt;0,J293/(Premissas!$C$32-I293+1),0)</f>
        <v>0</v>
      </c>
      <c r="M293" s="32" t="n">
        <f aca="false">K293+L293</f>
        <v>0</v>
      </c>
      <c r="N293" s="32" t="n">
        <f aca="false">IF($A293=Premissas!$C$25,Premissas!$C$13*E293,IF(I293&gt;0,J293-L293,0))</f>
        <v>0</v>
      </c>
      <c r="O293" s="34" t="n">
        <f aca="false">IF($A293&gt;=Premissas!$C$27,Premissas!$C$39*IF(((YEAR($A293)-YEAR(Premissas!$C$27))*12+MONTH($A293)-MONTH(Premissas!$C$27))&lt;Premissas!$C$41,Premissas!$C$42,1),0)</f>
        <v>0.62</v>
      </c>
      <c r="P293" s="32" t="n">
        <f aca="false">O293*Premissas!$C$38*Premissas!$C$40*(1+Premissas!$C$60)^((YEAR($A293)-YEAR(Premissas!$C$19))*12+MONTH($A293)-MONTH(Premissas!$C$19))</f>
        <v>10965.8152174071</v>
      </c>
      <c r="Q293" s="32" t="n">
        <f aca="false">P293*Premissas!$C$43</f>
        <v>1754.53043478513</v>
      </c>
      <c r="R293" s="32" t="n">
        <f aca="false">P293*Premissas!$C$44</f>
        <v>2193.16304348141</v>
      </c>
      <c r="S293" s="32" t="n">
        <f aca="false">IF($A293&gt;=Premissas!$C$25,Premissas!$C$45*(1+Premissas!$C$60)^((YEAR($A293)-YEAR(Premissas!$C$19))*12+MONTH($A293)-MONTH(Premissas!$C$19)),0)</f>
        <v>1922.47812366884</v>
      </c>
      <c r="T293" s="32" t="n">
        <f aca="false">IF($A293&gt;=Premissas!$C$27,Premissas!$C$46*(1+Premissas!$C$60)^((YEAR($A293)-YEAR(Premissas!$C$19))*12+MONTH($A293)-MONTH(Premissas!$C$19)),0)</f>
        <v>768.991249467536</v>
      </c>
      <c r="U293" s="32" t="n">
        <f aca="false">IF($A293&gt;=Premissas!$C$27,Premissas!$C$47*(1+Premissas!$C$60)^((YEAR($A293)-YEAR(Premissas!$C$19))*12+MONTH($A293)-MONTH(Premissas!$C$19)),0)</f>
        <v>384.495624733768</v>
      </c>
      <c r="V293" s="32" t="n">
        <f aca="false">IF($A293&gt;=Premissas!$C$27,MAX(0,P293-Q293-R293-S293)*Premissas!$C$49,0)</f>
        <v>1401.30199425471</v>
      </c>
      <c r="W293" s="32" t="n">
        <f aca="false">P293-Q293-R293-S293-T293-U293-V293</f>
        <v>2540.85474701566</v>
      </c>
      <c r="X293" s="32" t="n">
        <f aca="false">W293-F293-G293-H293-M293</f>
        <v>2540.85474701566</v>
      </c>
      <c r="Y293" s="32" t="n">
        <f aca="false">Y292+X293</f>
        <v>-442878.267397026</v>
      </c>
      <c r="Z293" s="32" t="n">
        <f aca="false">Premissas!$C$14*(1+Premissas!$C$57)^((YEAR(Premissas!$C$19)-YEAR(Premissas!$C$18))*12+MONTH(Premissas!$C$19)-MONTH(Premissas!$C$18))*(1+Premissas!$C$61)^((YEAR($A293)-YEAR(Premissas!$C$19))*12+MONTH($A293)-MONTH(Premissas!$C$19))</f>
        <v>1542304.16519075</v>
      </c>
      <c r="AA293" s="32" t="n">
        <f aca="false">IF($A293&gt;=Premissas!$C$25,Z293*(1-Premissas!$C$53)-N293-Premissas!$C$54*MAX(0,Z293*(1-Premissas!$C$53)-(Premissas!$C$14*(1+Premissas!$C$57)^((YEAR(Premissas!$C$25)-YEAR(Premissas!$C$18))*12+MONTH(Premissas!$C$25)-MONTH(Premissas!$C$18))*(1+Premissas!$C$34))),"")</f>
        <v>1313503.23749907</v>
      </c>
      <c r="AB293" s="32" t="n">
        <f aca="false">IF($A293&gt;=Premissas!$C$25,Y293+AA293,"")</f>
        <v>870624.970102048</v>
      </c>
      <c r="AC293" s="29" t="n">
        <f aca="false">IF(AND($A293&gt;=Premissas!$C$27,W293&gt;=M293),$A293,"")</f>
        <v>55154</v>
      </c>
      <c r="AD293" s="29" t="str">
        <f aca="false">IF(AND($A293&gt;=Premissas!$C$27,Y293&gt;=0),$A293,"")</f>
        <v/>
      </c>
      <c r="AE293" s="29" t="n">
        <f aca="false">IF(AND($A293&gt;=Premissas!$C$25,N(AB293)&gt;=0),$A293,"")</f>
        <v>55154</v>
      </c>
    </row>
    <row r="294" customFormat="false" ht="15" hidden="false" customHeight="false" outlineLevel="0" collapsed="false">
      <c r="A294" s="20" t="n">
        <f aca="false">DATE(YEAR(A293),MONTH(A293)+1,1)</f>
        <v>55185</v>
      </c>
      <c r="B294" s="5" t="str">
        <f aca="false">IF($A294&lt;Premissas!$C$25,"Obra",IF($A294=Premissas!$C$25,"Chaves",IF($A294&lt;Premissas!$C$27,"Mobiliando","Airbnb")))</f>
        <v>Airbnb</v>
      </c>
      <c r="C294" s="35" t="n">
        <f aca="false">(YEAR($A294)-YEAR(Premissas!$C$18))*12+MONTH($A294)-MONTH(Premissas!$C$18)</f>
        <v>293</v>
      </c>
      <c r="D294" s="16" t="n">
        <f aca="false">($A294=Premissas!$C$19)*Premissas!$C$8+(($A294=EDATE(Premissas!$C$19,1))+($A294=EDATE(Premissas!$C$19,2)))*Premissas!$C$9+AND($A294&gt;=Premissas!$C$20,$A294&lt;EDATE(Premissas!$C$20,Premissas!$C$21))*Premissas!$C$10+(($A294=Premissas!$C$22)+($A294=Premissas!$C$23)+($A294=Premissas!$C$24))*Premissas!$C$11+($A294=Premissas!$C$25)*Premissas!$C$12</f>
        <v>0</v>
      </c>
      <c r="E294" s="36" t="n">
        <f aca="false">(1+Premissas!$C$57)^C294</f>
        <v>3.69613270866679</v>
      </c>
      <c r="F294" s="16" t="n">
        <f aca="false">D294*E294</f>
        <v>0</v>
      </c>
      <c r="G294" s="16" t="n">
        <f aca="false">($A294=Premissas!$C$25)*Premissas!$C$34*Premissas!$C$14*(1+Premissas!$C$57)^C294</f>
        <v>0</v>
      </c>
      <c r="H294" s="16" t="n">
        <f aca="false">IF(AND($A294&gt;Premissas!$C$25,$A294&lt;Premissas!$C$27),Premissas!$C$35/MAX(1,Premissas!$C$26),0)</f>
        <v>0</v>
      </c>
      <c r="I294" s="35" t="n">
        <f aca="false">IF(AND($A294&gt;Premissas!$C$25,((YEAR($A294)-YEAR(Premissas!$C$25))*12+MONTH($A294)-MONTH(Premissas!$C$25))&lt;=Premissas!$C$32),((YEAR($A294)-YEAR(Premissas!$C$25))*12+MONTH($A294)-MONTH(Premissas!$C$25)),0)</f>
        <v>0</v>
      </c>
      <c r="J294" s="16" t="n">
        <f aca="false">IF(I294&gt;0,N293*(1+Premissas!$C$59),0)</f>
        <v>0</v>
      </c>
      <c r="K294" s="16" t="n">
        <f aca="false">J294*Premissas!$C$58</f>
        <v>0</v>
      </c>
      <c r="L294" s="16" t="n">
        <f aca="false">IF(I294&gt;0,J294/(Premissas!$C$32-I294+1),0)</f>
        <v>0</v>
      </c>
      <c r="M294" s="16" t="n">
        <f aca="false">K294+L294</f>
        <v>0</v>
      </c>
      <c r="N294" s="16" t="n">
        <f aca="false">IF($A294=Premissas!$C$25,Premissas!$C$13*E294,IF(I294&gt;0,J294-L294,0))</f>
        <v>0</v>
      </c>
      <c r="O294" s="37" t="n">
        <f aca="false">IF($A294&gt;=Premissas!$C$27,Premissas!$C$39*IF(((YEAR($A294)-YEAR(Premissas!$C$27))*12+MONTH($A294)-MONTH(Premissas!$C$27))&lt;Premissas!$C$41,Premissas!$C$42,1),0)</f>
        <v>0.62</v>
      </c>
      <c r="P294" s="16" t="n">
        <f aca="false">O294*Premissas!$C$38*Premissas!$C$40*(1+Premissas!$C$60)^((YEAR($A294)-YEAR(Premissas!$C$19))*12+MONTH($A294)-MONTH(Premissas!$C$19))</f>
        <v>11001.7144429285</v>
      </c>
      <c r="Q294" s="16" t="n">
        <f aca="false">P294*Premissas!$C$43</f>
        <v>1760.27431086857</v>
      </c>
      <c r="R294" s="16" t="n">
        <f aca="false">P294*Premissas!$C$44</f>
        <v>2200.34288858571</v>
      </c>
      <c r="S294" s="16" t="n">
        <f aca="false">IF($A294&gt;=Premissas!$C$25,Premissas!$C$45*(1+Premissas!$C$60)^((YEAR($A294)-YEAR(Premissas!$C$19))*12+MONTH($A294)-MONTH(Premissas!$C$19)),0)</f>
        <v>1928.7718167827</v>
      </c>
      <c r="T294" s="16" t="n">
        <f aca="false">IF($A294&gt;=Premissas!$C$27,Premissas!$C$46*(1+Premissas!$C$60)^((YEAR($A294)-YEAR(Premissas!$C$19))*12+MONTH($A294)-MONTH(Premissas!$C$19)),0)</f>
        <v>771.508726713081</v>
      </c>
      <c r="U294" s="16" t="n">
        <f aca="false">IF($A294&gt;=Premissas!$C$27,Premissas!$C$47*(1+Premissas!$C$60)^((YEAR($A294)-YEAR(Premissas!$C$19))*12+MONTH($A294)-MONTH(Premissas!$C$19)),0)</f>
        <v>385.75436335654</v>
      </c>
      <c r="V294" s="16" t="n">
        <f aca="false">IF($A294&gt;=Premissas!$C$27,MAX(0,P294-Q294-R294-S294)*Premissas!$C$49,0)</f>
        <v>1405.88949234018</v>
      </c>
      <c r="W294" s="16" t="n">
        <f aca="false">P294-Q294-R294-S294-T294-U294-V294</f>
        <v>2549.17284428176</v>
      </c>
      <c r="X294" s="16" t="n">
        <f aca="false">W294-F294-G294-H294-M294</f>
        <v>2549.17284428176</v>
      </c>
      <c r="Y294" s="16" t="n">
        <f aca="false">Y293+X294</f>
        <v>-440329.094552744</v>
      </c>
      <c r="Z294" s="16" t="n">
        <f aca="false">Premissas!$C$14*(1+Premissas!$C$57)^((YEAR(Premissas!$C$19)-YEAR(Premissas!$C$18))*12+MONTH(Premissas!$C$19)-MONTH(Premissas!$C$18))*(1+Premissas!$C$61)^((YEAR($A294)-YEAR(Premissas!$C$19))*12+MONTH($A294)-MONTH(Premissas!$C$19))</f>
        <v>1548587.70327177</v>
      </c>
      <c r="AA294" s="16" t="n">
        <f aca="false">IF($A294&gt;=Premissas!$C$25,Z294*(1-Premissas!$C$53)-N294-Premissas!$C$54*MAX(0,Z294*(1-Premissas!$C$53)-(Premissas!$C$14*(1+Premissas!$C$57)^((YEAR(Premissas!$C$25)-YEAR(Premissas!$C$18))*12+MONTH(Premissas!$C$25)-MONTH(Premissas!$C$18))*(1+Premissas!$C$34))),"")</f>
        <v>1318523.78442581</v>
      </c>
      <c r="AB294" s="16" t="n">
        <f aca="false">IF($A294&gt;=Premissas!$C$25,Y294+AA294,"")</f>
        <v>878194.689873068</v>
      </c>
      <c r="AC294" s="20" t="n">
        <f aca="false">IF(AND($A294&gt;=Premissas!$C$27,W294&gt;=M294),$A294,"")</f>
        <v>55185</v>
      </c>
      <c r="AD294" s="20" t="str">
        <f aca="false">IF(AND($A294&gt;=Premissas!$C$27,Y294&gt;=0),$A294,"")</f>
        <v/>
      </c>
      <c r="AE294" s="20" t="n">
        <f aca="false">IF(AND($A294&gt;=Premissas!$C$25,N(AB294)&gt;=0),$A294,"")</f>
        <v>55185</v>
      </c>
    </row>
    <row r="295" customFormat="false" ht="15" hidden="false" customHeight="false" outlineLevel="0" collapsed="false">
      <c r="A295" s="20" t="n">
        <f aca="false">DATE(YEAR(A294),MONTH(A294)+1,1)</f>
        <v>55213</v>
      </c>
      <c r="B295" s="5" t="str">
        <f aca="false">IF($A295&lt;Premissas!$C$25,"Obra",IF($A295=Premissas!$C$25,"Chaves",IF($A295&lt;Premissas!$C$27,"Mobiliando","Airbnb")))</f>
        <v>Airbnb</v>
      </c>
      <c r="C295" s="35" t="n">
        <f aca="false">(YEAR($A295)-YEAR(Premissas!$C$18))*12+MONTH($A295)-MONTH(Premissas!$C$18)</f>
        <v>294</v>
      </c>
      <c r="D295" s="16" t="n">
        <f aca="false">($A295=Premissas!$C$19)*Premissas!$C$8+(($A295=EDATE(Premissas!$C$19,1))+($A295=EDATE(Premissas!$C$19,2)))*Premissas!$C$9+AND($A295&gt;=Premissas!$C$20,$A295&lt;EDATE(Premissas!$C$20,Premissas!$C$21))*Premissas!$C$10+(($A295=Premissas!$C$22)+($A295=Premissas!$C$23)+($A295=Premissas!$C$24))*Premissas!$C$11+($A295=Premissas!$C$25)*Premissas!$C$12</f>
        <v>0</v>
      </c>
      <c r="E295" s="36" t="n">
        <f aca="false">(1+Premissas!$C$57)^C295</f>
        <v>3.71266070129739</v>
      </c>
      <c r="F295" s="16" t="n">
        <f aca="false">D295*E295</f>
        <v>0</v>
      </c>
      <c r="G295" s="16" t="n">
        <f aca="false">($A295=Premissas!$C$25)*Premissas!$C$34*Premissas!$C$14*(1+Premissas!$C$57)^C295</f>
        <v>0</v>
      </c>
      <c r="H295" s="16" t="n">
        <f aca="false">IF(AND($A295&gt;Premissas!$C$25,$A295&lt;Premissas!$C$27),Premissas!$C$35/MAX(1,Premissas!$C$26),0)</f>
        <v>0</v>
      </c>
      <c r="I295" s="35" t="n">
        <f aca="false">IF(AND($A295&gt;Premissas!$C$25,((YEAR($A295)-YEAR(Premissas!$C$25))*12+MONTH($A295)-MONTH(Premissas!$C$25))&lt;=Premissas!$C$32),((YEAR($A295)-YEAR(Premissas!$C$25))*12+MONTH($A295)-MONTH(Premissas!$C$25)),0)</f>
        <v>0</v>
      </c>
      <c r="J295" s="16" t="n">
        <f aca="false">IF(I295&gt;0,N294*(1+Premissas!$C$59),0)</f>
        <v>0</v>
      </c>
      <c r="K295" s="16" t="n">
        <f aca="false">J295*Premissas!$C$58</f>
        <v>0</v>
      </c>
      <c r="L295" s="16" t="n">
        <f aca="false">IF(I295&gt;0,J295/(Premissas!$C$32-I295+1),0)</f>
        <v>0</v>
      </c>
      <c r="M295" s="16" t="n">
        <f aca="false">K295+L295</f>
        <v>0</v>
      </c>
      <c r="N295" s="16" t="n">
        <f aca="false">IF($A295=Premissas!$C$25,Premissas!$C$13*E295,IF(I295&gt;0,J295-L295,0))</f>
        <v>0</v>
      </c>
      <c r="O295" s="37" t="n">
        <f aca="false">IF($A295&gt;=Premissas!$C$27,Premissas!$C$39*IF(((YEAR($A295)-YEAR(Premissas!$C$27))*12+MONTH($A295)-MONTH(Premissas!$C$27))&lt;Premissas!$C$41,Premissas!$C$42,1),0)</f>
        <v>0.62</v>
      </c>
      <c r="P295" s="16" t="n">
        <f aca="false">O295*Premissas!$C$38*Premissas!$C$40*(1+Premissas!$C$60)^((YEAR($A295)-YEAR(Premissas!$C$19))*12+MONTH($A295)-MONTH(Premissas!$C$19))</f>
        <v>11037.7311931727</v>
      </c>
      <c r="Q295" s="16" t="n">
        <f aca="false">P295*Premissas!$C$43</f>
        <v>1766.03699090764</v>
      </c>
      <c r="R295" s="16" t="n">
        <f aca="false">P295*Premissas!$C$44</f>
        <v>2207.54623863455</v>
      </c>
      <c r="S295" s="16" t="n">
        <f aca="false">IF($A295&gt;=Premissas!$C$25,Premissas!$C$45*(1+Premissas!$C$60)^((YEAR($A295)-YEAR(Premissas!$C$19))*12+MONTH($A295)-MONTH(Premissas!$C$19)),0)</f>
        <v>1935.08611381009</v>
      </c>
      <c r="T295" s="16" t="n">
        <f aca="false">IF($A295&gt;=Premissas!$C$27,Premissas!$C$46*(1+Premissas!$C$60)^((YEAR($A295)-YEAR(Premissas!$C$19))*12+MONTH($A295)-MONTH(Premissas!$C$19)),0)</f>
        <v>774.034445524035</v>
      </c>
      <c r="U295" s="16" t="n">
        <f aca="false">IF($A295&gt;=Premissas!$C$27,Premissas!$C$47*(1+Premissas!$C$60)^((YEAR($A295)-YEAR(Premissas!$C$19))*12+MONTH($A295)-MONTH(Premissas!$C$19)),0)</f>
        <v>387.017222762018</v>
      </c>
      <c r="V295" s="16" t="n">
        <f aca="false">IF($A295&gt;=Premissas!$C$27,MAX(0,P295-Q295-R295-S295)*Premissas!$C$49,0)</f>
        <v>1410.49200870063</v>
      </c>
      <c r="W295" s="16" t="n">
        <f aca="false">P295-Q295-R295-S295-T295-U295-V295</f>
        <v>2557.51817283378</v>
      </c>
      <c r="X295" s="16" t="n">
        <f aca="false">W295-F295-G295-H295-M295</f>
        <v>2557.51817283378</v>
      </c>
      <c r="Y295" s="16" t="n">
        <f aca="false">Y294+X295</f>
        <v>-437771.57637991</v>
      </c>
      <c r="Z295" s="16" t="n">
        <f aca="false">Premissas!$C$14*(1+Premissas!$C$57)^((YEAR(Premissas!$C$19)-YEAR(Premissas!$C$18))*12+MONTH(Premissas!$C$19)-MONTH(Premissas!$C$18))*(1+Premissas!$C$61)^((YEAR($A295)-YEAR(Premissas!$C$19))*12+MONTH($A295)-MONTH(Premissas!$C$19))</f>
        <v>1554896.84126474</v>
      </c>
      <c r="AA295" s="16" t="n">
        <f aca="false">IF($A295&gt;=Premissas!$C$25,Z295*(1-Premissas!$C$53)-N295-Premissas!$C$54*MAX(0,Z295*(1-Premissas!$C$53)-(Premissas!$C$14*(1+Premissas!$C$57)^((YEAR(Premissas!$C$25)-YEAR(Premissas!$C$18))*12+MONTH(Premissas!$C$25)-MONTH(Premissas!$C$18))*(1+Premissas!$C$34))),"")</f>
        <v>1323564.78568219</v>
      </c>
      <c r="AB295" s="16" t="n">
        <f aca="false">IF($A295&gt;=Premissas!$C$25,Y295+AA295,"")</f>
        <v>885793.209302281</v>
      </c>
      <c r="AC295" s="20" t="n">
        <f aca="false">IF(AND($A295&gt;=Premissas!$C$27,W295&gt;=M295),$A295,"")</f>
        <v>55213</v>
      </c>
      <c r="AD295" s="20" t="str">
        <f aca="false">IF(AND($A295&gt;=Premissas!$C$27,Y295&gt;=0),$A295,"")</f>
        <v/>
      </c>
      <c r="AE295" s="20" t="n">
        <f aca="false">IF(AND($A295&gt;=Premissas!$C$25,N(AB295)&gt;=0),$A295,"")</f>
        <v>55213</v>
      </c>
    </row>
    <row r="296" customFormat="false" ht="15" hidden="false" customHeight="false" outlineLevel="0" collapsed="false">
      <c r="A296" s="20" t="n">
        <f aca="false">DATE(YEAR(A295),MONTH(A295)+1,1)</f>
        <v>55244</v>
      </c>
      <c r="B296" s="5" t="str">
        <f aca="false">IF($A296&lt;Premissas!$C$25,"Obra",IF($A296=Premissas!$C$25,"Chaves",IF($A296&lt;Premissas!$C$27,"Mobiliando","Airbnb")))</f>
        <v>Airbnb</v>
      </c>
      <c r="C296" s="35" t="n">
        <f aca="false">(YEAR($A296)-YEAR(Premissas!$C$18))*12+MONTH($A296)-MONTH(Premissas!$C$18)</f>
        <v>295</v>
      </c>
      <c r="D296" s="16" t="n">
        <f aca="false">($A296=Premissas!$C$19)*Premissas!$C$8+(($A296=EDATE(Premissas!$C$19,1))+($A296=EDATE(Premissas!$C$19,2)))*Premissas!$C$9+AND($A296&gt;=Premissas!$C$20,$A296&lt;EDATE(Premissas!$C$20,Premissas!$C$21))*Premissas!$C$10+(($A296=Premissas!$C$22)+($A296=Premissas!$C$23)+($A296=Premissas!$C$24))*Premissas!$C$11+($A296=Premissas!$C$25)*Premissas!$C$12</f>
        <v>0</v>
      </c>
      <c r="E296" s="36" t="n">
        <f aca="false">(1+Premissas!$C$57)^C296</f>
        <v>3.72926260213473</v>
      </c>
      <c r="F296" s="16" t="n">
        <f aca="false">D296*E296</f>
        <v>0</v>
      </c>
      <c r="G296" s="16" t="n">
        <f aca="false">($A296=Premissas!$C$25)*Premissas!$C$34*Premissas!$C$14*(1+Premissas!$C$57)^C296</f>
        <v>0</v>
      </c>
      <c r="H296" s="16" t="n">
        <f aca="false">IF(AND($A296&gt;Premissas!$C$25,$A296&lt;Premissas!$C$27),Premissas!$C$35/MAX(1,Premissas!$C$26),0)</f>
        <v>0</v>
      </c>
      <c r="I296" s="35" t="n">
        <f aca="false">IF(AND($A296&gt;Premissas!$C$25,((YEAR($A296)-YEAR(Premissas!$C$25))*12+MONTH($A296)-MONTH(Premissas!$C$25))&lt;=Premissas!$C$32),((YEAR($A296)-YEAR(Premissas!$C$25))*12+MONTH($A296)-MONTH(Premissas!$C$25)),0)</f>
        <v>0</v>
      </c>
      <c r="J296" s="16" t="n">
        <f aca="false">IF(I296&gt;0,N295*(1+Premissas!$C$59),0)</f>
        <v>0</v>
      </c>
      <c r="K296" s="16" t="n">
        <f aca="false">J296*Premissas!$C$58</f>
        <v>0</v>
      </c>
      <c r="L296" s="16" t="n">
        <f aca="false">IF(I296&gt;0,J296/(Premissas!$C$32-I296+1),0)</f>
        <v>0</v>
      </c>
      <c r="M296" s="16" t="n">
        <f aca="false">K296+L296</f>
        <v>0</v>
      </c>
      <c r="N296" s="16" t="n">
        <f aca="false">IF($A296=Premissas!$C$25,Premissas!$C$13*E296,IF(I296&gt;0,J296-L296,0))</f>
        <v>0</v>
      </c>
      <c r="O296" s="37" t="n">
        <f aca="false">IF($A296&gt;=Premissas!$C$27,Premissas!$C$39*IF(((YEAR($A296)-YEAR(Premissas!$C$27))*12+MONTH($A296)-MONTH(Premissas!$C$27))&lt;Premissas!$C$41,Premissas!$C$42,1),0)</f>
        <v>0.62</v>
      </c>
      <c r="P296" s="16" t="n">
        <f aca="false">O296*Premissas!$C$38*Premissas!$C$40*(1+Premissas!$C$60)^((YEAR($A296)-YEAR(Premissas!$C$19))*12+MONTH($A296)-MONTH(Premissas!$C$19))</f>
        <v>11073.865852885</v>
      </c>
      <c r="Q296" s="16" t="n">
        <f aca="false">P296*Premissas!$C$43</f>
        <v>1771.81853646161</v>
      </c>
      <c r="R296" s="16" t="n">
        <f aca="false">P296*Premissas!$C$44</f>
        <v>2214.77317057701</v>
      </c>
      <c r="S296" s="16" t="n">
        <f aca="false">IF($A296&gt;=Premissas!$C$25,Premissas!$C$45*(1+Premissas!$C$60)^((YEAR($A296)-YEAR(Premissas!$C$19))*12+MONTH($A296)-MONTH(Premissas!$C$19)),0)</f>
        <v>1941.42108220285</v>
      </c>
      <c r="T296" s="16" t="n">
        <f aca="false">IF($A296&gt;=Premissas!$C$27,Premissas!$C$46*(1+Premissas!$C$60)^((YEAR($A296)-YEAR(Premissas!$C$19))*12+MONTH($A296)-MONTH(Premissas!$C$19)),0)</f>
        <v>776.568432881139</v>
      </c>
      <c r="U296" s="16" t="n">
        <f aca="false">IF($A296&gt;=Premissas!$C$27,Premissas!$C$47*(1+Premissas!$C$60)^((YEAR($A296)-YEAR(Premissas!$C$19))*12+MONTH($A296)-MONTH(Premissas!$C$19)),0)</f>
        <v>388.28421644057</v>
      </c>
      <c r="V296" s="16" t="n">
        <f aca="false">IF($A296&gt;=Premissas!$C$27,MAX(0,P296-Q296-R296-S296)*Premissas!$C$49,0)</f>
        <v>1415.10959250199</v>
      </c>
      <c r="W296" s="16" t="n">
        <f aca="false">P296-Q296-R296-S296-T296-U296-V296</f>
        <v>2565.89082181989</v>
      </c>
      <c r="X296" s="16" t="n">
        <f aca="false">W296-F296-G296-H296-M296</f>
        <v>2565.89082181989</v>
      </c>
      <c r="Y296" s="16" t="n">
        <f aca="false">Y295+X296</f>
        <v>-435205.68555809</v>
      </c>
      <c r="Z296" s="16" t="n">
        <f aca="false">Premissas!$C$14*(1+Premissas!$C$57)^((YEAR(Premissas!$C$19)-YEAR(Premissas!$C$18))*12+MONTH(Premissas!$C$19)-MONTH(Premissas!$C$18))*(1+Premissas!$C$61)^((YEAR($A296)-YEAR(Premissas!$C$19))*12+MONTH($A296)-MONTH(Premissas!$C$19))</f>
        <v>1561231.68346685</v>
      </c>
      <c r="AA296" s="16" t="n">
        <f aca="false">IF($A296&gt;=Premissas!$C$25,Z296*(1-Premissas!$C$53)-N296-Premissas!$C$54*MAX(0,Z296*(1-Premissas!$C$53)-(Premissas!$C$14*(1+Premissas!$C$57)^((YEAR(Premissas!$C$25)-YEAR(Premissas!$C$18))*12+MONTH(Premissas!$C$25)-MONTH(Premissas!$C$18))*(1+Premissas!$C$34))),"")</f>
        <v>1328626.32460168</v>
      </c>
      <c r="AB296" s="16" t="n">
        <f aca="false">IF($A296&gt;=Premissas!$C$25,Y296+AA296,"")</f>
        <v>893420.639043591</v>
      </c>
      <c r="AC296" s="20" t="n">
        <f aca="false">IF(AND($A296&gt;=Premissas!$C$27,W296&gt;=M296),$A296,"")</f>
        <v>55244</v>
      </c>
      <c r="AD296" s="20" t="str">
        <f aca="false">IF(AND($A296&gt;=Premissas!$C$27,Y296&gt;=0),$A296,"")</f>
        <v/>
      </c>
      <c r="AE296" s="20" t="n">
        <f aca="false">IF(AND($A296&gt;=Premissas!$C$25,N(AB296)&gt;=0),$A296,"")</f>
        <v>55244</v>
      </c>
    </row>
    <row r="297" customFormat="false" ht="15" hidden="false" customHeight="false" outlineLevel="0" collapsed="false">
      <c r="A297" s="20" t="n">
        <f aca="false">DATE(YEAR(A296),MONTH(A296)+1,1)</f>
        <v>55274</v>
      </c>
      <c r="B297" s="5" t="str">
        <f aca="false">IF($A297&lt;Premissas!$C$25,"Obra",IF($A297=Premissas!$C$25,"Chaves",IF($A297&lt;Premissas!$C$27,"Mobiliando","Airbnb")))</f>
        <v>Airbnb</v>
      </c>
      <c r="C297" s="35" t="n">
        <f aca="false">(YEAR($A297)-YEAR(Premissas!$C$18))*12+MONTH($A297)-MONTH(Premissas!$C$18)</f>
        <v>296</v>
      </c>
      <c r="D297" s="16" t="n">
        <f aca="false">($A297=Premissas!$C$19)*Premissas!$C$8+(($A297=EDATE(Premissas!$C$19,1))+($A297=EDATE(Premissas!$C$19,2)))*Premissas!$C$9+AND($A297&gt;=Premissas!$C$20,$A297&lt;EDATE(Premissas!$C$20,Premissas!$C$21))*Premissas!$C$10+(($A297=Premissas!$C$22)+($A297=Premissas!$C$23)+($A297=Premissas!$C$24))*Premissas!$C$11+($A297=Premissas!$C$25)*Premissas!$C$12</f>
        <v>0</v>
      </c>
      <c r="E297" s="36" t="n">
        <f aca="false">(1+Premissas!$C$57)^C297</f>
        <v>3.74593874167406</v>
      </c>
      <c r="F297" s="16" t="n">
        <f aca="false">D297*E297</f>
        <v>0</v>
      </c>
      <c r="G297" s="16" t="n">
        <f aca="false">($A297=Premissas!$C$25)*Premissas!$C$34*Premissas!$C$14*(1+Premissas!$C$57)^C297</f>
        <v>0</v>
      </c>
      <c r="H297" s="16" t="n">
        <f aca="false">IF(AND($A297&gt;Premissas!$C$25,$A297&lt;Premissas!$C$27),Premissas!$C$35/MAX(1,Premissas!$C$26),0)</f>
        <v>0</v>
      </c>
      <c r="I297" s="35" t="n">
        <f aca="false">IF(AND($A297&gt;Premissas!$C$25,((YEAR($A297)-YEAR(Premissas!$C$25))*12+MONTH($A297)-MONTH(Premissas!$C$25))&lt;=Premissas!$C$32),((YEAR($A297)-YEAR(Premissas!$C$25))*12+MONTH($A297)-MONTH(Premissas!$C$25)),0)</f>
        <v>0</v>
      </c>
      <c r="J297" s="16" t="n">
        <f aca="false">IF(I297&gt;0,N296*(1+Premissas!$C$59),0)</f>
        <v>0</v>
      </c>
      <c r="K297" s="16" t="n">
        <f aca="false">J297*Premissas!$C$58</f>
        <v>0</v>
      </c>
      <c r="L297" s="16" t="n">
        <f aca="false">IF(I297&gt;0,J297/(Premissas!$C$32-I297+1),0)</f>
        <v>0</v>
      </c>
      <c r="M297" s="16" t="n">
        <f aca="false">K297+L297</f>
        <v>0</v>
      </c>
      <c r="N297" s="16" t="n">
        <f aca="false">IF($A297=Premissas!$C$25,Premissas!$C$13*E297,IF(I297&gt;0,J297-L297,0))</f>
        <v>0</v>
      </c>
      <c r="O297" s="37" t="n">
        <f aca="false">IF($A297&gt;=Premissas!$C$27,Premissas!$C$39*IF(((YEAR($A297)-YEAR(Premissas!$C$27))*12+MONTH($A297)-MONTH(Premissas!$C$27))&lt;Premissas!$C$41,Premissas!$C$42,1),0)</f>
        <v>0.62</v>
      </c>
      <c r="P297" s="16" t="n">
        <f aca="false">O297*Premissas!$C$38*Premissas!$C$40*(1+Premissas!$C$60)^((YEAR($A297)-YEAR(Premissas!$C$19))*12+MONTH($A297)-MONTH(Premissas!$C$19))</f>
        <v>11110.1188080704</v>
      </c>
      <c r="Q297" s="16" t="n">
        <f aca="false">P297*Premissas!$C$43</f>
        <v>1777.61900929126</v>
      </c>
      <c r="R297" s="16" t="n">
        <f aca="false">P297*Premissas!$C$44</f>
        <v>2222.02376161407</v>
      </c>
      <c r="S297" s="16" t="n">
        <f aca="false">IF($A297&gt;=Premissas!$C$25,Premissas!$C$45*(1+Premissas!$C$60)^((YEAR($A297)-YEAR(Premissas!$C$19))*12+MONTH($A297)-MONTH(Premissas!$C$19)),0)</f>
        <v>1947.77678963366</v>
      </c>
      <c r="T297" s="16" t="n">
        <f aca="false">IF($A297&gt;=Premissas!$C$27,Premissas!$C$46*(1+Premissas!$C$60)^((YEAR($A297)-YEAR(Premissas!$C$19))*12+MONTH($A297)-MONTH(Premissas!$C$19)),0)</f>
        <v>779.110715853462</v>
      </c>
      <c r="U297" s="16" t="n">
        <f aca="false">IF($A297&gt;=Premissas!$C$27,Premissas!$C$47*(1+Premissas!$C$60)^((YEAR($A297)-YEAR(Premissas!$C$19))*12+MONTH($A297)-MONTH(Premissas!$C$19)),0)</f>
        <v>389.555357926731</v>
      </c>
      <c r="V297" s="16" t="n">
        <f aca="false">IF($A297&gt;=Premissas!$C$27,MAX(0,P297-Q297-R297-S297)*Premissas!$C$49,0)</f>
        <v>1419.74229307113</v>
      </c>
      <c r="W297" s="16" t="n">
        <f aca="false">P297-Q297-R297-S297-T297-U297-V297</f>
        <v>2574.29088068006</v>
      </c>
      <c r="X297" s="16" t="n">
        <f aca="false">W297-F297-G297-H297-M297</f>
        <v>2574.29088068006</v>
      </c>
      <c r="Y297" s="16" t="n">
        <f aca="false">Y296+X297</f>
        <v>-432631.39467741</v>
      </c>
      <c r="Z297" s="16" t="n">
        <f aca="false">Premissas!$C$14*(1+Premissas!$C$57)^((YEAR(Premissas!$C$19)-YEAR(Premissas!$C$18))*12+MONTH(Premissas!$C$19)-MONTH(Premissas!$C$18))*(1+Premissas!$C$61)^((YEAR($A297)-YEAR(Premissas!$C$19))*12+MONTH($A297)-MONTH(Premissas!$C$19))</f>
        <v>1567592.33460025</v>
      </c>
      <c r="AA297" s="16" t="n">
        <f aca="false">IF($A297&gt;=Premissas!$C$25,Z297*(1-Premissas!$C$53)-N297-Premissas!$C$54*MAX(0,Z297*(1-Premissas!$C$53)-(Premissas!$C$14*(1+Premissas!$C$57)^((YEAR(Premissas!$C$25)-YEAR(Premissas!$C$18))*12+MONTH(Premissas!$C$25)-MONTH(Premissas!$C$18))*(1+Premissas!$C$34))),"")</f>
        <v>1333708.48485727</v>
      </c>
      <c r="AB297" s="16" t="n">
        <f aca="false">IF($A297&gt;=Premissas!$C$25,Y297+AA297,"")</f>
        <v>901077.090179856</v>
      </c>
      <c r="AC297" s="20" t="n">
        <f aca="false">IF(AND($A297&gt;=Premissas!$C$27,W297&gt;=M297),$A297,"")</f>
        <v>55274</v>
      </c>
      <c r="AD297" s="20" t="str">
        <f aca="false">IF(AND($A297&gt;=Premissas!$C$27,Y297&gt;=0),$A297,"")</f>
        <v/>
      </c>
      <c r="AE297" s="20" t="n">
        <f aca="false">IF(AND($A297&gt;=Premissas!$C$25,N(AB297)&gt;=0),$A297,"")</f>
        <v>55274</v>
      </c>
    </row>
    <row r="298" customFormat="false" ht="15" hidden="false" customHeight="false" outlineLevel="0" collapsed="false">
      <c r="A298" s="20" t="n">
        <f aca="false">DATE(YEAR(A297),MONTH(A297)+1,1)</f>
        <v>55305</v>
      </c>
      <c r="B298" s="5" t="str">
        <f aca="false">IF($A298&lt;Premissas!$C$25,"Obra",IF($A298=Premissas!$C$25,"Chaves",IF($A298&lt;Premissas!$C$27,"Mobiliando","Airbnb")))</f>
        <v>Airbnb</v>
      </c>
      <c r="C298" s="35" t="n">
        <f aca="false">(YEAR($A298)-YEAR(Premissas!$C$18))*12+MONTH($A298)-MONTH(Premissas!$C$18)</f>
        <v>297</v>
      </c>
      <c r="D298" s="16" t="n">
        <f aca="false">($A298=Premissas!$C$19)*Premissas!$C$8+(($A298=EDATE(Premissas!$C$19,1))+($A298=EDATE(Premissas!$C$19,2)))*Premissas!$C$9+AND($A298&gt;=Premissas!$C$20,$A298&lt;EDATE(Premissas!$C$20,Premissas!$C$21))*Premissas!$C$10+(($A298=Premissas!$C$22)+($A298=Premissas!$C$23)+($A298=Premissas!$C$24))*Premissas!$C$11+($A298=Premissas!$C$25)*Premissas!$C$12</f>
        <v>0</v>
      </c>
      <c r="E298" s="36" t="n">
        <f aca="false">(1+Premissas!$C$57)^C298</f>
        <v>3.76268945188851</v>
      </c>
      <c r="F298" s="16" t="n">
        <f aca="false">D298*E298</f>
        <v>0</v>
      </c>
      <c r="G298" s="16" t="n">
        <f aca="false">($A298=Premissas!$C$25)*Premissas!$C$34*Premissas!$C$14*(1+Premissas!$C$57)^C298</f>
        <v>0</v>
      </c>
      <c r="H298" s="16" t="n">
        <f aca="false">IF(AND($A298&gt;Premissas!$C$25,$A298&lt;Premissas!$C$27),Premissas!$C$35/MAX(1,Premissas!$C$26),0)</f>
        <v>0</v>
      </c>
      <c r="I298" s="35" t="n">
        <f aca="false">IF(AND($A298&gt;Premissas!$C$25,((YEAR($A298)-YEAR(Premissas!$C$25))*12+MONTH($A298)-MONTH(Premissas!$C$25))&lt;=Premissas!$C$32),((YEAR($A298)-YEAR(Premissas!$C$25))*12+MONTH($A298)-MONTH(Premissas!$C$25)),0)</f>
        <v>0</v>
      </c>
      <c r="J298" s="16" t="n">
        <f aca="false">IF(I298&gt;0,N297*(1+Premissas!$C$59),0)</f>
        <v>0</v>
      </c>
      <c r="K298" s="16" t="n">
        <f aca="false">J298*Premissas!$C$58</f>
        <v>0</v>
      </c>
      <c r="L298" s="16" t="n">
        <f aca="false">IF(I298&gt;0,J298/(Premissas!$C$32-I298+1),0)</f>
        <v>0</v>
      </c>
      <c r="M298" s="16" t="n">
        <f aca="false">K298+L298</f>
        <v>0</v>
      </c>
      <c r="N298" s="16" t="n">
        <f aca="false">IF($A298=Premissas!$C$25,Premissas!$C$13*E298,IF(I298&gt;0,J298-L298,0))</f>
        <v>0</v>
      </c>
      <c r="O298" s="37" t="n">
        <f aca="false">IF($A298&gt;=Premissas!$C$27,Premissas!$C$39*IF(((YEAR($A298)-YEAR(Premissas!$C$27))*12+MONTH($A298)-MONTH(Premissas!$C$27))&lt;Premissas!$C$41,Premissas!$C$42,1),0)</f>
        <v>0.62</v>
      </c>
      <c r="P298" s="16" t="n">
        <f aca="false">O298*Premissas!$C$38*Premissas!$C$40*(1+Premissas!$C$60)^((YEAR($A298)-YEAR(Premissas!$C$19))*12+MONTH($A298)-MONTH(Premissas!$C$19))</f>
        <v>11146.4904459973</v>
      </c>
      <c r="Q298" s="16" t="n">
        <f aca="false">P298*Premissas!$C$43</f>
        <v>1783.43847135957</v>
      </c>
      <c r="R298" s="16" t="n">
        <f aca="false">P298*Premissas!$C$44</f>
        <v>2229.29808919946</v>
      </c>
      <c r="S298" s="16" t="n">
        <f aca="false">IF($A298&gt;=Premissas!$C$25,Premissas!$C$45*(1+Premissas!$C$60)^((YEAR($A298)-YEAR(Premissas!$C$19))*12+MONTH($A298)-MONTH(Premissas!$C$19)),0)</f>
        <v>1954.15330399672</v>
      </c>
      <c r="T298" s="16" t="n">
        <f aca="false">IF($A298&gt;=Premissas!$C$27,Premissas!$C$46*(1+Premissas!$C$60)^((YEAR($A298)-YEAR(Premissas!$C$19))*12+MONTH($A298)-MONTH(Premissas!$C$19)),0)</f>
        <v>781.661321598689</v>
      </c>
      <c r="U298" s="16" t="n">
        <f aca="false">IF($A298&gt;=Premissas!$C$27,Premissas!$C$47*(1+Premissas!$C$60)^((YEAR($A298)-YEAR(Premissas!$C$19))*12+MONTH($A298)-MONTH(Premissas!$C$19)),0)</f>
        <v>390.830660799345</v>
      </c>
      <c r="V298" s="16" t="n">
        <f aca="false">IF($A298&gt;=Premissas!$C$27,MAX(0,P298-Q298-R298-S298)*Premissas!$C$49,0)</f>
        <v>1424.39015989643</v>
      </c>
      <c r="W298" s="16" t="n">
        <f aca="false">P298-Q298-R298-S298-T298-U298-V298</f>
        <v>2582.71843914709</v>
      </c>
      <c r="X298" s="16" t="n">
        <f aca="false">W298-F298-G298-H298-M298</f>
        <v>2582.71843914709</v>
      </c>
      <c r="Y298" s="16" t="n">
        <f aca="false">Y297+X298</f>
        <v>-430048.676238263</v>
      </c>
      <c r="Z298" s="16" t="n">
        <f aca="false">Premissas!$C$14*(1+Premissas!$C$57)^((YEAR(Premissas!$C$19)-YEAR(Premissas!$C$18))*12+MONTH(Premissas!$C$19)-MONTH(Premissas!$C$18))*(1+Premissas!$C$61)^((YEAR($A298)-YEAR(Premissas!$C$19))*12+MONTH($A298)-MONTH(Premissas!$C$19))</f>
        <v>1573978.89981371</v>
      </c>
      <c r="AA298" s="16" t="n">
        <f aca="false">IF($A298&gt;=Premissas!$C$25,Z298*(1-Premissas!$C$53)-N298-Premissas!$C$54*MAX(0,Z298*(1-Premissas!$C$53)-(Premissas!$C$14*(1+Premissas!$C$57)^((YEAR(Premissas!$C$25)-YEAR(Premissas!$C$18))*12+MONTH(Premissas!$C$25)-MONTH(Premissas!$C$18))*(1+Premissas!$C$34))),"")</f>
        <v>1338811.35046282</v>
      </c>
      <c r="AB298" s="16" t="n">
        <f aca="false">IF($A298&gt;=Premissas!$C$25,Y298+AA298,"")</f>
        <v>908762.674224558</v>
      </c>
      <c r="AC298" s="20" t="n">
        <f aca="false">IF(AND($A298&gt;=Premissas!$C$27,W298&gt;=M298),$A298,"")</f>
        <v>55305</v>
      </c>
      <c r="AD298" s="20" t="str">
        <f aca="false">IF(AND($A298&gt;=Premissas!$C$27,Y298&gt;=0),$A298,"")</f>
        <v/>
      </c>
      <c r="AE298" s="20" t="n">
        <f aca="false">IF(AND($A298&gt;=Premissas!$C$25,N(AB298)&gt;=0),$A298,"")</f>
        <v>55305</v>
      </c>
    </row>
    <row r="299" customFormat="false" ht="15" hidden="false" customHeight="false" outlineLevel="0" collapsed="false">
      <c r="A299" s="20" t="n">
        <f aca="false">DATE(YEAR(A298),MONTH(A298)+1,1)</f>
        <v>55335</v>
      </c>
      <c r="B299" s="5" t="str">
        <f aca="false">IF($A299&lt;Premissas!$C$25,"Obra",IF($A299=Premissas!$C$25,"Chaves",IF($A299&lt;Premissas!$C$27,"Mobiliando","Airbnb")))</f>
        <v>Airbnb</v>
      </c>
      <c r="C299" s="35" t="n">
        <f aca="false">(YEAR($A299)-YEAR(Premissas!$C$18))*12+MONTH($A299)-MONTH(Premissas!$C$18)</f>
        <v>298</v>
      </c>
      <c r="D299" s="16" t="n">
        <f aca="false">($A299=Premissas!$C$19)*Premissas!$C$8+(($A299=EDATE(Premissas!$C$19,1))+($A299=EDATE(Premissas!$C$19,2)))*Premissas!$C$9+AND($A299&gt;=Premissas!$C$20,$A299&lt;EDATE(Premissas!$C$20,Premissas!$C$21))*Premissas!$C$10+(($A299=Premissas!$C$22)+($A299=Premissas!$C$23)+($A299=Premissas!$C$24))*Premissas!$C$11+($A299=Premissas!$C$25)*Premissas!$C$12</f>
        <v>0</v>
      </c>
      <c r="E299" s="36" t="n">
        <f aca="false">(1+Premissas!$C$57)^C299</f>
        <v>3.77951506623569</v>
      </c>
      <c r="F299" s="16" t="n">
        <f aca="false">D299*E299</f>
        <v>0</v>
      </c>
      <c r="G299" s="16" t="n">
        <f aca="false">($A299=Premissas!$C$25)*Premissas!$C$34*Premissas!$C$14*(1+Premissas!$C$57)^C299</f>
        <v>0</v>
      </c>
      <c r="H299" s="16" t="n">
        <f aca="false">IF(AND($A299&gt;Premissas!$C$25,$A299&lt;Premissas!$C$27),Premissas!$C$35/MAX(1,Premissas!$C$26),0)</f>
        <v>0</v>
      </c>
      <c r="I299" s="35" t="n">
        <f aca="false">IF(AND($A299&gt;Premissas!$C$25,((YEAR($A299)-YEAR(Premissas!$C$25))*12+MONTH($A299)-MONTH(Premissas!$C$25))&lt;=Premissas!$C$32),((YEAR($A299)-YEAR(Premissas!$C$25))*12+MONTH($A299)-MONTH(Premissas!$C$25)),0)</f>
        <v>0</v>
      </c>
      <c r="J299" s="16" t="n">
        <f aca="false">IF(I299&gt;0,N298*(1+Premissas!$C$59),0)</f>
        <v>0</v>
      </c>
      <c r="K299" s="16" t="n">
        <f aca="false">J299*Premissas!$C$58</f>
        <v>0</v>
      </c>
      <c r="L299" s="16" t="n">
        <f aca="false">IF(I299&gt;0,J299/(Premissas!$C$32-I299+1),0)</f>
        <v>0</v>
      </c>
      <c r="M299" s="16" t="n">
        <f aca="false">K299+L299</f>
        <v>0</v>
      </c>
      <c r="N299" s="16" t="n">
        <f aca="false">IF($A299=Premissas!$C$25,Premissas!$C$13*E299,IF(I299&gt;0,J299-L299,0))</f>
        <v>0</v>
      </c>
      <c r="O299" s="37" t="n">
        <f aca="false">IF($A299&gt;=Premissas!$C$27,Premissas!$C$39*IF(((YEAR($A299)-YEAR(Premissas!$C$27))*12+MONTH($A299)-MONTH(Premissas!$C$27))&lt;Premissas!$C$41,Premissas!$C$42,1),0)</f>
        <v>0.62</v>
      </c>
      <c r="P299" s="16" t="n">
        <f aca="false">O299*Premissas!$C$38*Premissas!$C$40*(1+Premissas!$C$60)^((YEAR($A299)-YEAR(Premissas!$C$19))*12+MONTH($A299)-MONTH(Premissas!$C$19))</f>
        <v>11182.9811552023</v>
      </c>
      <c r="Q299" s="16" t="n">
        <f aca="false">P299*Premissas!$C$43</f>
        <v>1789.27698483236</v>
      </c>
      <c r="R299" s="16" t="n">
        <f aca="false">P299*Premissas!$C$44</f>
        <v>2236.59623104045</v>
      </c>
      <c r="S299" s="16" t="n">
        <f aca="false">IF($A299&gt;=Premissas!$C$25,Premissas!$C$45*(1+Premissas!$C$60)^((YEAR($A299)-YEAR(Premissas!$C$19))*12+MONTH($A299)-MONTH(Premissas!$C$19)),0)</f>
        <v>1960.55069340853</v>
      </c>
      <c r="T299" s="16" t="n">
        <f aca="false">IF($A299&gt;=Premissas!$C$27,Premissas!$C$46*(1+Premissas!$C$60)^((YEAR($A299)-YEAR(Premissas!$C$19))*12+MONTH($A299)-MONTH(Premissas!$C$19)),0)</f>
        <v>784.220277363413</v>
      </c>
      <c r="U299" s="16" t="n">
        <f aca="false">IF($A299&gt;=Premissas!$C$27,Premissas!$C$47*(1+Premissas!$C$60)^((YEAR($A299)-YEAR(Premissas!$C$19))*12+MONTH($A299)-MONTH(Premissas!$C$19)),0)</f>
        <v>392.110138681707</v>
      </c>
      <c r="V299" s="16" t="n">
        <f aca="false">IF($A299&gt;=Premissas!$C$27,MAX(0,P299-Q299-R299-S299)*Premissas!$C$49,0)</f>
        <v>1429.05324262825</v>
      </c>
      <c r="W299" s="16" t="n">
        <f aca="false">P299-Q299-R299-S299-T299-U299-V299</f>
        <v>2591.17358724755</v>
      </c>
      <c r="X299" s="16" t="n">
        <f aca="false">W299-F299-G299-H299-M299</f>
        <v>2591.17358724755</v>
      </c>
      <c r="Y299" s="16" t="n">
        <f aca="false">Y298+X299</f>
        <v>-427457.502651015</v>
      </c>
      <c r="Z299" s="16" t="n">
        <f aca="false">Premissas!$C$14*(1+Premissas!$C$57)^((YEAR(Premissas!$C$19)-YEAR(Premissas!$C$18))*12+MONTH(Premissas!$C$19)-MONTH(Premissas!$C$18))*(1+Premissas!$C$61)^((YEAR($A299)-YEAR(Premissas!$C$19))*12+MONTH($A299)-MONTH(Premissas!$C$19))</f>
        <v>1580391.4846844</v>
      </c>
      <c r="AA299" s="16" t="n">
        <f aca="false">IF($A299&gt;=Premissas!$C$25,Z299*(1-Premissas!$C$53)-N299-Premissas!$C$54*MAX(0,Z299*(1-Premissas!$C$53)-(Premissas!$C$14*(1+Premissas!$C$57)^((YEAR(Premissas!$C$25)-YEAR(Premissas!$C$18))*12+MONTH(Premissas!$C$25)-MONTH(Premissas!$C$18))*(1+Premissas!$C$34))),"")</f>
        <v>1343935.0057745</v>
      </c>
      <c r="AB299" s="16" t="n">
        <f aca="false">IF($A299&gt;=Premissas!$C$25,Y299+AA299,"")</f>
        <v>916477.503123488</v>
      </c>
      <c r="AC299" s="20" t="n">
        <f aca="false">IF(AND($A299&gt;=Premissas!$C$27,W299&gt;=M299),$A299,"")</f>
        <v>55335</v>
      </c>
      <c r="AD299" s="20" t="str">
        <f aca="false">IF(AND($A299&gt;=Premissas!$C$27,Y299&gt;=0),$A299,"")</f>
        <v/>
      </c>
      <c r="AE299" s="20" t="n">
        <f aca="false">IF(AND($A299&gt;=Premissas!$C$25,N(AB299)&gt;=0),$A299,"")</f>
        <v>55335</v>
      </c>
    </row>
    <row r="300" customFormat="false" ht="15" hidden="false" customHeight="false" outlineLevel="0" collapsed="false">
      <c r="A300" s="20" t="n">
        <f aca="false">DATE(YEAR(A299),MONTH(A299)+1,1)</f>
        <v>55366</v>
      </c>
      <c r="B300" s="5" t="str">
        <f aca="false">IF($A300&lt;Premissas!$C$25,"Obra",IF($A300=Premissas!$C$25,"Chaves",IF($A300&lt;Premissas!$C$27,"Mobiliando","Airbnb")))</f>
        <v>Airbnb</v>
      </c>
      <c r="C300" s="35" t="n">
        <f aca="false">(YEAR($A300)-YEAR(Premissas!$C$18))*12+MONTH($A300)-MONTH(Premissas!$C$18)</f>
        <v>299</v>
      </c>
      <c r="D300" s="16" t="n">
        <f aca="false">($A300=Premissas!$C$19)*Premissas!$C$8+(($A300=EDATE(Premissas!$C$19,1))+($A300=EDATE(Premissas!$C$19,2)))*Premissas!$C$9+AND($A300&gt;=Premissas!$C$20,$A300&lt;EDATE(Premissas!$C$20,Premissas!$C$21))*Premissas!$C$10+(($A300=Premissas!$C$22)+($A300=Premissas!$C$23)+($A300=Premissas!$C$24))*Premissas!$C$11+($A300=Premissas!$C$25)*Premissas!$C$12</f>
        <v>0</v>
      </c>
      <c r="E300" s="36" t="n">
        <f aca="false">(1+Premissas!$C$57)^C300</f>
        <v>3.79641591966433</v>
      </c>
      <c r="F300" s="16" t="n">
        <f aca="false">D300*E300</f>
        <v>0</v>
      </c>
      <c r="G300" s="16" t="n">
        <f aca="false">($A300=Premissas!$C$25)*Premissas!$C$34*Premissas!$C$14*(1+Premissas!$C$57)^C300</f>
        <v>0</v>
      </c>
      <c r="H300" s="16" t="n">
        <f aca="false">IF(AND($A300&gt;Premissas!$C$25,$A300&lt;Premissas!$C$27),Premissas!$C$35/MAX(1,Premissas!$C$26),0)</f>
        <v>0</v>
      </c>
      <c r="I300" s="35" t="n">
        <f aca="false">IF(AND($A300&gt;Premissas!$C$25,((YEAR($A300)-YEAR(Premissas!$C$25))*12+MONTH($A300)-MONTH(Premissas!$C$25))&lt;=Premissas!$C$32),((YEAR($A300)-YEAR(Premissas!$C$25))*12+MONTH($A300)-MONTH(Premissas!$C$25)),0)</f>
        <v>0</v>
      </c>
      <c r="J300" s="16" t="n">
        <f aca="false">IF(I300&gt;0,N299*(1+Premissas!$C$59),0)</f>
        <v>0</v>
      </c>
      <c r="K300" s="16" t="n">
        <f aca="false">J300*Premissas!$C$58</f>
        <v>0</v>
      </c>
      <c r="L300" s="16" t="n">
        <f aca="false">IF(I300&gt;0,J300/(Premissas!$C$32-I300+1),0)</f>
        <v>0</v>
      </c>
      <c r="M300" s="16" t="n">
        <f aca="false">K300+L300</f>
        <v>0</v>
      </c>
      <c r="N300" s="16" t="n">
        <f aca="false">IF($A300=Premissas!$C$25,Premissas!$C$13*E300,IF(I300&gt;0,J300-L300,0))</f>
        <v>0</v>
      </c>
      <c r="O300" s="37" t="n">
        <f aca="false">IF($A300&gt;=Premissas!$C$27,Premissas!$C$39*IF(((YEAR($A300)-YEAR(Premissas!$C$27))*12+MONTH($A300)-MONTH(Premissas!$C$27))&lt;Premissas!$C$41,Premissas!$C$42,1),0)</f>
        <v>0.62</v>
      </c>
      <c r="P300" s="16" t="n">
        <f aca="false">O300*Premissas!$C$38*Premissas!$C$40*(1+Premissas!$C$60)^((YEAR($A300)-YEAR(Premissas!$C$19))*12+MONTH($A300)-MONTH(Premissas!$C$19))</f>
        <v>11219.5913254936</v>
      </c>
      <c r="Q300" s="16" t="n">
        <f aca="false">P300*Premissas!$C$43</f>
        <v>1795.13461207898</v>
      </c>
      <c r="R300" s="16" t="n">
        <f aca="false">P300*Premissas!$C$44</f>
        <v>2243.91826509873</v>
      </c>
      <c r="S300" s="16" t="n">
        <f aca="false">IF($A300&gt;=Premissas!$C$25,Premissas!$C$45*(1+Premissas!$C$60)^((YEAR($A300)-YEAR(Premissas!$C$19))*12+MONTH($A300)-MONTH(Premissas!$C$19)),0)</f>
        <v>1966.96902620856</v>
      </c>
      <c r="T300" s="16" t="n">
        <f aca="false">IF($A300&gt;=Premissas!$C$27,Premissas!$C$46*(1+Premissas!$C$60)^((YEAR($A300)-YEAR(Premissas!$C$19))*12+MONTH($A300)-MONTH(Premissas!$C$19)),0)</f>
        <v>786.787610483425</v>
      </c>
      <c r="U300" s="16" t="n">
        <f aca="false">IF($A300&gt;=Premissas!$C$27,Premissas!$C$47*(1+Premissas!$C$60)^((YEAR($A300)-YEAR(Premissas!$C$19))*12+MONTH($A300)-MONTH(Premissas!$C$19)),0)</f>
        <v>393.393805241712</v>
      </c>
      <c r="V300" s="16" t="n">
        <f aca="false">IF($A300&gt;=Premissas!$C$27,MAX(0,P300-Q300-R300-S300)*Premissas!$C$49,0)</f>
        <v>1433.73159107953</v>
      </c>
      <c r="W300" s="16" t="n">
        <f aca="false">P300-Q300-R300-S300-T300-U300-V300</f>
        <v>2599.6564153027</v>
      </c>
      <c r="X300" s="16" t="n">
        <f aca="false">W300-F300-G300-H300-M300</f>
        <v>2599.6564153027</v>
      </c>
      <c r="Y300" s="16" t="n">
        <f aca="false">Y299+X300</f>
        <v>-424857.846235713</v>
      </c>
      <c r="Z300" s="16" t="n">
        <f aca="false">Premissas!$C$14*(1+Premissas!$C$57)^((YEAR(Premissas!$C$19)-YEAR(Premissas!$C$18))*12+MONTH(Premissas!$C$19)-MONTH(Premissas!$C$18))*(1+Premissas!$C$61)^((YEAR($A300)-YEAR(Premissas!$C$19))*12+MONTH($A300)-MONTH(Premissas!$C$19))</f>
        <v>1586830.19521963</v>
      </c>
      <c r="AA300" s="16" t="n">
        <f aca="false">IF($A300&gt;=Premissas!$C$25,Z300*(1-Premissas!$C$53)-N300-Premissas!$C$54*MAX(0,Z300*(1-Premissas!$C$53)-(Premissas!$C$14*(1+Premissas!$C$57)^((YEAR(Premissas!$C$25)-YEAR(Premissas!$C$18))*12+MONTH(Premissas!$C$25)-MONTH(Premissas!$C$18))*(1+Premissas!$C$34))),"")</f>
        <v>1349079.53549215</v>
      </c>
      <c r="AB300" s="16" t="n">
        <f aca="false">IF($A300&gt;=Premissas!$C$25,Y300+AA300,"")</f>
        <v>924221.689256438</v>
      </c>
      <c r="AC300" s="20" t="n">
        <f aca="false">IF(AND($A300&gt;=Premissas!$C$27,W300&gt;=M300),$A300,"")</f>
        <v>55366</v>
      </c>
      <c r="AD300" s="20" t="str">
        <f aca="false">IF(AND($A300&gt;=Premissas!$C$27,Y300&gt;=0),$A300,"")</f>
        <v/>
      </c>
      <c r="AE300" s="20" t="n">
        <f aca="false">IF(AND($A300&gt;=Premissas!$C$25,N(AB300)&gt;=0),$A300,"")</f>
        <v>55366</v>
      </c>
    </row>
    <row r="301" customFormat="false" ht="15" hidden="false" customHeight="false" outlineLevel="0" collapsed="false">
      <c r="A301" s="20" t="n">
        <f aca="false">DATE(YEAR(A300),MONTH(A300)+1,1)</f>
        <v>55397</v>
      </c>
      <c r="B301" s="5" t="str">
        <f aca="false">IF($A301&lt;Premissas!$C$25,"Obra",IF($A301=Premissas!$C$25,"Chaves",IF($A301&lt;Premissas!$C$27,"Mobiliando","Airbnb")))</f>
        <v>Airbnb</v>
      </c>
      <c r="C301" s="35" t="n">
        <f aca="false">(YEAR($A301)-YEAR(Premissas!$C$18))*12+MONTH($A301)-MONTH(Premissas!$C$18)</f>
        <v>300</v>
      </c>
      <c r="D301" s="16" t="n">
        <f aca="false">($A301=Premissas!$C$19)*Premissas!$C$8+(($A301=EDATE(Premissas!$C$19,1))+($A301=EDATE(Premissas!$C$19,2)))*Premissas!$C$9+AND($A301&gt;=Premissas!$C$20,$A301&lt;EDATE(Premissas!$C$20,Premissas!$C$21))*Premissas!$C$10+(($A301=Premissas!$C$22)+($A301=Premissas!$C$23)+($A301=Premissas!$C$24))*Premissas!$C$11+($A301=Premissas!$C$25)*Premissas!$C$12</f>
        <v>0</v>
      </c>
      <c r="E301" s="36" t="n">
        <f aca="false">(1+Premissas!$C$57)^C301</f>
        <v>3.81339234862094</v>
      </c>
      <c r="F301" s="16" t="n">
        <f aca="false">D301*E301</f>
        <v>0</v>
      </c>
      <c r="G301" s="16" t="n">
        <f aca="false">($A301=Premissas!$C$25)*Premissas!$C$34*Premissas!$C$14*(1+Premissas!$C$57)^C301</f>
        <v>0</v>
      </c>
      <c r="H301" s="16" t="n">
        <f aca="false">IF(AND($A301&gt;Premissas!$C$25,$A301&lt;Premissas!$C$27),Premissas!$C$35/MAX(1,Premissas!$C$26),0)</f>
        <v>0</v>
      </c>
      <c r="I301" s="35" t="n">
        <f aca="false">IF(AND($A301&gt;Premissas!$C$25,((YEAR($A301)-YEAR(Premissas!$C$25))*12+MONTH($A301)-MONTH(Premissas!$C$25))&lt;=Premissas!$C$32),((YEAR($A301)-YEAR(Premissas!$C$25))*12+MONTH($A301)-MONTH(Premissas!$C$25)),0)</f>
        <v>0</v>
      </c>
      <c r="J301" s="16" t="n">
        <f aca="false">IF(I301&gt;0,N300*(1+Premissas!$C$59),0)</f>
        <v>0</v>
      </c>
      <c r="K301" s="16" t="n">
        <f aca="false">J301*Premissas!$C$58</f>
        <v>0</v>
      </c>
      <c r="L301" s="16" t="n">
        <f aca="false">IF(I301&gt;0,J301/(Premissas!$C$32-I301+1),0)</f>
        <v>0</v>
      </c>
      <c r="M301" s="16" t="n">
        <f aca="false">K301+L301</f>
        <v>0</v>
      </c>
      <c r="N301" s="16" t="n">
        <f aca="false">IF($A301=Premissas!$C$25,Premissas!$C$13*E301,IF(I301&gt;0,J301-L301,0))</f>
        <v>0</v>
      </c>
      <c r="O301" s="37" t="n">
        <f aca="false">IF($A301&gt;=Premissas!$C$27,Premissas!$C$39*IF(((YEAR($A301)-YEAR(Premissas!$C$27))*12+MONTH($A301)-MONTH(Premissas!$C$27))&lt;Premissas!$C$41,Premissas!$C$42,1),0)</f>
        <v>0.62</v>
      </c>
      <c r="P301" s="16" t="n">
        <f aca="false">O301*Premissas!$C$38*Premissas!$C$40*(1+Premissas!$C$60)^((YEAR($A301)-YEAR(Premissas!$C$19))*12+MONTH($A301)-MONTH(Premissas!$C$19))</f>
        <v>11256.3213479559</v>
      </c>
      <c r="Q301" s="16" t="n">
        <f aca="false">P301*Premissas!$C$43</f>
        <v>1801.01141567295</v>
      </c>
      <c r="R301" s="16" t="n">
        <f aca="false">P301*Premissas!$C$44</f>
        <v>2251.26426959118</v>
      </c>
      <c r="S301" s="16" t="n">
        <f aca="false">IF($A301&gt;=Premissas!$C$25,Premissas!$C$45*(1+Premissas!$C$60)^((YEAR($A301)-YEAR(Premissas!$C$19))*12+MONTH($A301)-MONTH(Premissas!$C$19)),0)</f>
        <v>1973.40837096001</v>
      </c>
      <c r="T301" s="16" t="n">
        <f aca="false">IF($A301&gt;=Premissas!$C$27,Premissas!$C$46*(1+Premissas!$C$60)^((YEAR($A301)-YEAR(Premissas!$C$19))*12+MONTH($A301)-MONTH(Premissas!$C$19)),0)</f>
        <v>789.363348384006</v>
      </c>
      <c r="U301" s="16" t="n">
        <f aca="false">IF($A301&gt;=Premissas!$C$27,Premissas!$C$47*(1+Premissas!$C$60)^((YEAR($A301)-YEAR(Premissas!$C$19))*12+MONTH($A301)-MONTH(Premissas!$C$19)),0)</f>
        <v>394.681674192003</v>
      </c>
      <c r="V301" s="16" t="n">
        <f aca="false">IF($A301&gt;=Premissas!$C$27,MAX(0,P301-Q301-R301-S301)*Premissas!$C$49,0)</f>
        <v>1438.42525522624</v>
      </c>
      <c r="W301" s="16" t="n">
        <f aca="false">P301-Q301-R301-S301-T301-U301-V301</f>
        <v>2608.16701392953</v>
      </c>
      <c r="X301" s="16" t="n">
        <f aca="false">W301-F301-G301-H301-M301</f>
        <v>2608.16701392953</v>
      </c>
      <c r="Y301" s="16" t="n">
        <f aca="false">Y300+X301</f>
        <v>-422249.679221783</v>
      </c>
      <c r="Z301" s="16" t="n">
        <f aca="false">Premissas!$C$14*(1+Premissas!$C$57)^((YEAR(Premissas!$C$19)-YEAR(Premissas!$C$18))*12+MONTH(Premissas!$C$19)-MONTH(Premissas!$C$18))*(1+Premissas!$C$61)^((YEAR($A301)-YEAR(Premissas!$C$19))*12+MONTH($A301)-MONTH(Premissas!$C$19))</f>
        <v>1593295.13785859</v>
      </c>
      <c r="AA301" s="16" t="n">
        <f aca="false">IF($A301&gt;=Premissas!$C$25,Z301*(1-Premissas!$C$53)-N301-Premissas!$C$54*MAX(0,Z301*(1-Premissas!$C$53)-(Premissas!$C$14*(1+Premissas!$C$57)^((YEAR(Premissas!$C$25)-YEAR(Premissas!$C$18))*12+MONTH(Premissas!$C$25)-MONTH(Premissas!$C$18))*(1+Premissas!$C$34))),"")</f>
        <v>1354245.02466068</v>
      </c>
      <c r="AB301" s="16" t="n">
        <f aca="false">IF($A301&gt;=Premissas!$C$25,Y301+AA301,"")</f>
        <v>931995.345438893</v>
      </c>
      <c r="AC301" s="20" t="n">
        <f aca="false">IF(AND($A301&gt;=Premissas!$C$27,W301&gt;=M301),$A301,"")</f>
        <v>55397</v>
      </c>
      <c r="AD301" s="20" t="str">
        <f aca="false">IF(AND($A301&gt;=Premissas!$C$27,Y301&gt;=0),$A301,"")</f>
        <v/>
      </c>
      <c r="AE301" s="20" t="n">
        <f aca="false">IF(AND($A301&gt;=Premissas!$C$25,N(AB301)&gt;=0),$A301,"")</f>
        <v>55397</v>
      </c>
    </row>
    <row r="302" customFormat="false" ht="15" hidden="false" customHeight="false" outlineLevel="0" collapsed="false">
      <c r="A302" s="20" t="n">
        <f aca="false">DATE(YEAR(A301),MONTH(A301)+1,1)</f>
        <v>55427</v>
      </c>
      <c r="B302" s="5" t="str">
        <f aca="false">IF($A302&lt;Premissas!$C$25,"Obra",IF($A302=Premissas!$C$25,"Chaves",IF($A302&lt;Premissas!$C$27,"Mobiliando","Airbnb")))</f>
        <v>Airbnb</v>
      </c>
      <c r="C302" s="35" t="n">
        <f aca="false">(YEAR($A302)-YEAR(Premissas!$C$18))*12+MONTH($A302)-MONTH(Premissas!$C$18)</f>
        <v>301</v>
      </c>
      <c r="D302" s="16" t="n">
        <f aca="false">($A302=Premissas!$C$19)*Premissas!$C$8+(($A302=EDATE(Premissas!$C$19,1))+($A302=EDATE(Premissas!$C$19,2)))*Premissas!$C$9+AND($A302&gt;=Premissas!$C$20,$A302&lt;EDATE(Premissas!$C$20,Premissas!$C$21))*Premissas!$C$10+(($A302=Premissas!$C$22)+($A302=Premissas!$C$23)+($A302=Premissas!$C$24))*Premissas!$C$11+($A302=Premissas!$C$25)*Premissas!$C$12</f>
        <v>0</v>
      </c>
      <c r="E302" s="36" t="n">
        <f aca="false">(1+Premissas!$C$57)^C302</f>
        <v>3.83044469105652</v>
      </c>
      <c r="F302" s="16" t="n">
        <f aca="false">D302*E302</f>
        <v>0</v>
      </c>
      <c r="G302" s="16" t="n">
        <f aca="false">($A302=Premissas!$C$25)*Premissas!$C$34*Premissas!$C$14*(1+Premissas!$C$57)^C302</f>
        <v>0</v>
      </c>
      <c r="H302" s="16" t="n">
        <f aca="false">IF(AND($A302&gt;Premissas!$C$25,$A302&lt;Premissas!$C$27),Premissas!$C$35/MAX(1,Premissas!$C$26),0)</f>
        <v>0</v>
      </c>
      <c r="I302" s="35" t="n">
        <f aca="false">IF(AND($A302&gt;Premissas!$C$25,((YEAR($A302)-YEAR(Premissas!$C$25))*12+MONTH($A302)-MONTH(Premissas!$C$25))&lt;=Premissas!$C$32),((YEAR($A302)-YEAR(Premissas!$C$25))*12+MONTH($A302)-MONTH(Premissas!$C$25)),0)</f>
        <v>0</v>
      </c>
      <c r="J302" s="16" t="n">
        <f aca="false">IF(I302&gt;0,N301*(1+Premissas!$C$59),0)</f>
        <v>0</v>
      </c>
      <c r="K302" s="16" t="n">
        <f aca="false">J302*Premissas!$C$58</f>
        <v>0</v>
      </c>
      <c r="L302" s="16" t="n">
        <f aca="false">IF(I302&gt;0,J302/(Premissas!$C$32-I302+1),0)</f>
        <v>0</v>
      </c>
      <c r="M302" s="16" t="n">
        <f aca="false">K302+L302</f>
        <v>0</v>
      </c>
      <c r="N302" s="16" t="n">
        <f aca="false">IF($A302=Premissas!$C$25,Premissas!$C$13*E302,IF(I302&gt;0,J302-L302,0))</f>
        <v>0</v>
      </c>
      <c r="O302" s="37" t="n">
        <f aca="false">IF($A302&gt;=Premissas!$C$27,Premissas!$C$39*IF(((YEAR($A302)-YEAR(Premissas!$C$27))*12+MONTH($A302)-MONTH(Premissas!$C$27))&lt;Premissas!$C$41,Premissas!$C$42,1),0)</f>
        <v>0.62</v>
      </c>
      <c r="P302" s="16" t="n">
        <f aca="false">O302*Premissas!$C$38*Premissas!$C$40*(1+Premissas!$C$60)^((YEAR($A302)-YEAR(Premissas!$C$19))*12+MONTH($A302)-MONTH(Premissas!$C$19))</f>
        <v>11293.1716149539</v>
      </c>
      <c r="Q302" s="16" t="n">
        <f aca="false">P302*Premissas!$C$43</f>
        <v>1806.90745839263</v>
      </c>
      <c r="R302" s="16" t="n">
        <f aca="false">P302*Premissas!$C$44</f>
        <v>2258.63432299079</v>
      </c>
      <c r="S302" s="16" t="n">
        <f aca="false">IF($A302&gt;=Premissas!$C$25,Premissas!$C$45*(1+Premissas!$C$60)^((YEAR($A302)-YEAR(Premissas!$C$19))*12+MONTH($A302)-MONTH(Premissas!$C$19)),0)</f>
        <v>1979.86879645055</v>
      </c>
      <c r="T302" s="16" t="n">
        <f aca="false">IF($A302&gt;=Premissas!$C$27,Premissas!$C$46*(1+Premissas!$C$60)^((YEAR($A302)-YEAR(Premissas!$C$19))*12+MONTH($A302)-MONTH(Premissas!$C$19)),0)</f>
        <v>791.94751858022</v>
      </c>
      <c r="U302" s="16" t="n">
        <f aca="false">IF($A302&gt;=Premissas!$C$27,Premissas!$C$47*(1+Premissas!$C$60)^((YEAR($A302)-YEAR(Premissas!$C$19))*12+MONTH($A302)-MONTH(Premissas!$C$19)),0)</f>
        <v>395.97375929011</v>
      </c>
      <c r="V302" s="16" t="n">
        <f aca="false">IF($A302&gt;=Premissas!$C$27,MAX(0,P302-Q302-R302-S302)*Premissas!$C$49,0)</f>
        <v>1443.13428520799</v>
      </c>
      <c r="W302" s="16" t="n">
        <f aca="false">P302-Q302-R302-S302-T302-U302-V302</f>
        <v>2616.70547404165</v>
      </c>
      <c r="X302" s="16" t="n">
        <f aca="false">W302-F302-G302-H302-M302</f>
        <v>2616.70547404165</v>
      </c>
      <c r="Y302" s="16" t="n">
        <f aca="false">Y301+X302</f>
        <v>-419632.973747742</v>
      </c>
      <c r="Z302" s="16" t="n">
        <f aca="false">Premissas!$C$14*(1+Premissas!$C$57)^((YEAR(Premissas!$C$19)-YEAR(Premissas!$C$18))*12+MONTH(Premissas!$C$19)-MONTH(Premissas!$C$18))*(1+Premissas!$C$61)^((YEAR($A302)-YEAR(Premissas!$C$19))*12+MONTH($A302)-MONTH(Premissas!$C$19))</f>
        <v>1599786.41947411</v>
      </c>
      <c r="AA302" s="16" t="n">
        <f aca="false">IF($A302&gt;=Premissas!$C$25,Z302*(1-Premissas!$C$53)-N302-Premissas!$C$54*MAX(0,Z302*(1-Premissas!$C$53)-(Premissas!$C$14*(1+Premissas!$C$57)^((YEAR(Premissas!$C$25)-YEAR(Premissas!$C$18))*12+MONTH(Premissas!$C$25)-MONTH(Premissas!$C$18))*(1+Premissas!$C$34))),"")</f>
        <v>1359431.55867148</v>
      </c>
      <c r="AB302" s="16" t="n">
        <f aca="false">IF($A302&gt;=Premissas!$C$25,Y302+AA302,"")</f>
        <v>939798.584923736</v>
      </c>
      <c r="AC302" s="20" t="n">
        <f aca="false">IF(AND($A302&gt;=Premissas!$C$27,W302&gt;=M302),$A302,"")</f>
        <v>55427</v>
      </c>
      <c r="AD302" s="20" t="str">
        <f aca="false">IF(AND($A302&gt;=Premissas!$C$27,Y302&gt;=0),$A302,"")</f>
        <v/>
      </c>
      <c r="AE302" s="20" t="n">
        <f aca="false">IF(AND($A302&gt;=Premissas!$C$25,N(AB302)&gt;=0),$A302,"")</f>
        <v>55427</v>
      </c>
    </row>
    <row r="303" customFormat="false" ht="15" hidden="false" customHeight="false" outlineLevel="0" collapsed="false">
      <c r="A303" s="20" t="n">
        <f aca="false">DATE(YEAR(A302),MONTH(A302)+1,1)</f>
        <v>55458</v>
      </c>
      <c r="B303" s="5" t="str">
        <f aca="false">IF($A303&lt;Premissas!$C$25,"Obra",IF($A303=Premissas!$C$25,"Chaves",IF($A303&lt;Premissas!$C$27,"Mobiliando","Airbnb")))</f>
        <v>Airbnb</v>
      </c>
      <c r="C303" s="35" t="n">
        <f aca="false">(YEAR($A303)-YEAR(Premissas!$C$18))*12+MONTH($A303)-MONTH(Premissas!$C$18)</f>
        <v>302</v>
      </c>
      <c r="D303" s="16" t="n">
        <f aca="false">($A303=Premissas!$C$19)*Premissas!$C$8+(($A303=EDATE(Premissas!$C$19,1))+($A303=EDATE(Premissas!$C$19,2)))*Premissas!$C$9+AND($A303&gt;=Premissas!$C$20,$A303&lt;EDATE(Premissas!$C$20,Premissas!$C$21))*Premissas!$C$10+(($A303=Premissas!$C$22)+($A303=Premissas!$C$23)+($A303=Premissas!$C$24))*Premissas!$C$11+($A303=Premissas!$C$25)*Premissas!$C$12</f>
        <v>0</v>
      </c>
      <c r="E303" s="36" t="n">
        <f aca="false">(1+Premissas!$C$57)^C303</f>
        <v>3.84757328643331</v>
      </c>
      <c r="F303" s="16" t="n">
        <f aca="false">D303*E303</f>
        <v>0</v>
      </c>
      <c r="G303" s="16" t="n">
        <f aca="false">($A303=Premissas!$C$25)*Premissas!$C$34*Premissas!$C$14*(1+Premissas!$C$57)^C303</f>
        <v>0</v>
      </c>
      <c r="H303" s="16" t="n">
        <f aca="false">IF(AND($A303&gt;Premissas!$C$25,$A303&lt;Premissas!$C$27),Premissas!$C$35/MAX(1,Premissas!$C$26),0)</f>
        <v>0</v>
      </c>
      <c r="I303" s="35" t="n">
        <f aca="false">IF(AND($A303&gt;Premissas!$C$25,((YEAR($A303)-YEAR(Premissas!$C$25))*12+MONTH($A303)-MONTH(Premissas!$C$25))&lt;=Premissas!$C$32),((YEAR($A303)-YEAR(Premissas!$C$25))*12+MONTH($A303)-MONTH(Premissas!$C$25)),0)</f>
        <v>0</v>
      </c>
      <c r="J303" s="16" t="n">
        <f aca="false">IF(I303&gt;0,N302*(1+Premissas!$C$59),0)</f>
        <v>0</v>
      </c>
      <c r="K303" s="16" t="n">
        <f aca="false">J303*Premissas!$C$58</f>
        <v>0</v>
      </c>
      <c r="L303" s="16" t="n">
        <f aca="false">IF(I303&gt;0,J303/(Premissas!$C$32-I303+1),0)</f>
        <v>0</v>
      </c>
      <c r="M303" s="16" t="n">
        <f aca="false">K303+L303</f>
        <v>0</v>
      </c>
      <c r="N303" s="16" t="n">
        <f aca="false">IF($A303=Premissas!$C$25,Premissas!$C$13*E303,IF(I303&gt;0,J303-L303,0))</f>
        <v>0</v>
      </c>
      <c r="O303" s="37" t="n">
        <f aca="false">IF($A303&gt;=Premissas!$C$27,Premissas!$C$39*IF(((YEAR($A303)-YEAR(Premissas!$C$27))*12+MONTH($A303)-MONTH(Premissas!$C$27))&lt;Premissas!$C$41,Premissas!$C$42,1),0)</f>
        <v>0.62</v>
      </c>
      <c r="P303" s="16" t="n">
        <f aca="false">O303*Premissas!$C$38*Premissas!$C$40*(1+Premissas!$C$60)^((YEAR($A303)-YEAR(Premissas!$C$19))*12+MONTH($A303)-MONTH(Premissas!$C$19))</f>
        <v>11330.142520137</v>
      </c>
      <c r="Q303" s="16" t="n">
        <f aca="false">P303*Premissas!$C$43</f>
        <v>1812.82280322192</v>
      </c>
      <c r="R303" s="16" t="n">
        <f aca="false">P303*Premissas!$C$44</f>
        <v>2266.0285040274</v>
      </c>
      <c r="S303" s="16" t="n">
        <f aca="false">IF($A303&gt;=Premissas!$C$25,Premissas!$C$45*(1+Premissas!$C$60)^((YEAR($A303)-YEAR(Premissas!$C$19))*12+MONTH($A303)-MONTH(Premissas!$C$19)),0)</f>
        <v>1986.35037169302</v>
      </c>
      <c r="T303" s="16" t="n">
        <f aca="false">IF($A303&gt;=Premissas!$C$27,Premissas!$C$46*(1+Premissas!$C$60)^((YEAR($A303)-YEAR(Premissas!$C$19))*12+MONTH($A303)-MONTH(Premissas!$C$19)),0)</f>
        <v>794.54014867721</v>
      </c>
      <c r="U303" s="16" t="n">
        <f aca="false">IF($A303&gt;=Premissas!$C$27,Premissas!$C$47*(1+Premissas!$C$60)^((YEAR($A303)-YEAR(Premissas!$C$19))*12+MONTH($A303)-MONTH(Premissas!$C$19)),0)</f>
        <v>397.270074338605</v>
      </c>
      <c r="V303" s="16" t="n">
        <f aca="false">IF($A303&gt;=Premissas!$C$27,MAX(0,P303-Q303-R303-S303)*Premissas!$C$49,0)</f>
        <v>1447.85873132853</v>
      </c>
      <c r="W303" s="16" t="n">
        <f aca="false">P303-Q303-R303-S303-T303-U303-V303</f>
        <v>2625.27188685032</v>
      </c>
      <c r="X303" s="16" t="n">
        <f aca="false">W303-F303-G303-H303-M303</f>
        <v>2625.27188685032</v>
      </c>
      <c r="Y303" s="16" t="n">
        <f aca="false">Y302+X303</f>
        <v>-417007.701860891</v>
      </c>
      <c r="Z303" s="16" t="n">
        <f aca="false">Premissas!$C$14*(1+Premissas!$C$57)^((YEAR(Premissas!$C$19)-YEAR(Premissas!$C$18))*12+MONTH(Premissas!$C$19)-MONTH(Premissas!$C$18))*(1+Premissas!$C$61)^((YEAR($A303)-YEAR(Premissas!$C$19))*12+MONTH($A303)-MONTH(Premissas!$C$19))</f>
        <v>1606304.14737445</v>
      </c>
      <c r="AA303" s="16" t="n">
        <f aca="false">IF($A303&gt;=Premissas!$C$25,Z303*(1-Premissas!$C$53)-N303-Premissas!$C$54*MAX(0,Z303*(1-Premissas!$C$53)-(Premissas!$C$14*(1+Premissas!$C$57)^((YEAR(Premissas!$C$25)-YEAR(Premissas!$C$18))*12+MONTH(Premissas!$C$25)-MONTH(Premissas!$C$18))*(1+Premissas!$C$34))),"")</f>
        <v>1364639.22326385</v>
      </c>
      <c r="AB303" s="16" t="n">
        <f aca="false">IF($A303&gt;=Premissas!$C$25,Y303+AA303,"")</f>
        <v>947631.521402956</v>
      </c>
      <c r="AC303" s="20" t="n">
        <f aca="false">IF(AND($A303&gt;=Premissas!$C$27,W303&gt;=M303),$A303,"")</f>
        <v>55458</v>
      </c>
      <c r="AD303" s="20" t="str">
        <f aca="false">IF(AND($A303&gt;=Premissas!$C$27,Y303&gt;=0),$A303,"")</f>
        <v/>
      </c>
      <c r="AE303" s="20" t="n">
        <f aca="false">IF(AND($A303&gt;=Premissas!$C$25,N(AB303)&gt;=0),$A303,"")</f>
        <v>55458</v>
      </c>
    </row>
    <row r="304" customFormat="false" ht="15" hidden="false" customHeight="false" outlineLevel="0" collapsed="false">
      <c r="A304" s="20" t="n">
        <f aca="false">DATE(YEAR(A303),MONTH(A303)+1,1)</f>
        <v>55488</v>
      </c>
      <c r="B304" s="5" t="str">
        <f aca="false">IF($A304&lt;Premissas!$C$25,"Obra",IF($A304=Premissas!$C$25,"Chaves",IF($A304&lt;Premissas!$C$27,"Mobiliando","Airbnb")))</f>
        <v>Airbnb</v>
      </c>
      <c r="C304" s="35" t="n">
        <f aca="false">(YEAR($A304)-YEAR(Premissas!$C$18))*12+MONTH($A304)-MONTH(Premissas!$C$18)</f>
        <v>303</v>
      </c>
      <c r="D304" s="16" t="n">
        <f aca="false">($A304=Premissas!$C$19)*Premissas!$C$8+(($A304=EDATE(Premissas!$C$19,1))+($A304=EDATE(Premissas!$C$19,2)))*Premissas!$C$9+AND($A304&gt;=Premissas!$C$20,$A304&lt;EDATE(Premissas!$C$20,Premissas!$C$21))*Premissas!$C$10+(($A304=Premissas!$C$22)+($A304=Premissas!$C$23)+($A304=Premissas!$C$24))*Premissas!$C$11+($A304=Premissas!$C$25)*Premissas!$C$12</f>
        <v>0</v>
      </c>
      <c r="E304" s="36" t="n">
        <f aca="false">(1+Premissas!$C$57)^C304</f>
        <v>3.8647784757315</v>
      </c>
      <c r="F304" s="16" t="n">
        <f aca="false">D304*E304</f>
        <v>0</v>
      </c>
      <c r="G304" s="16" t="n">
        <f aca="false">($A304=Premissas!$C$25)*Premissas!$C$34*Premissas!$C$14*(1+Premissas!$C$57)^C304</f>
        <v>0</v>
      </c>
      <c r="H304" s="16" t="n">
        <f aca="false">IF(AND($A304&gt;Premissas!$C$25,$A304&lt;Premissas!$C$27),Premissas!$C$35/MAX(1,Premissas!$C$26),0)</f>
        <v>0</v>
      </c>
      <c r="I304" s="35" t="n">
        <f aca="false">IF(AND($A304&gt;Premissas!$C$25,((YEAR($A304)-YEAR(Premissas!$C$25))*12+MONTH($A304)-MONTH(Premissas!$C$25))&lt;=Premissas!$C$32),((YEAR($A304)-YEAR(Premissas!$C$25))*12+MONTH($A304)-MONTH(Premissas!$C$25)),0)</f>
        <v>0</v>
      </c>
      <c r="J304" s="16" t="n">
        <f aca="false">IF(I304&gt;0,N303*(1+Premissas!$C$59),0)</f>
        <v>0</v>
      </c>
      <c r="K304" s="16" t="n">
        <f aca="false">J304*Premissas!$C$58</f>
        <v>0</v>
      </c>
      <c r="L304" s="16" t="n">
        <f aca="false">IF(I304&gt;0,J304/(Premissas!$C$32-I304+1),0)</f>
        <v>0</v>
      </c>
      <c r="M304" s="16" t="n">
        <f aca="false">K304+L304</f>
        <v>0</v>
      </c>
      <c r="N304" s="16" t="n">
        <f aca="false">IF($A304=Premissas!$C$25,Premissas!$C$13*E304,IF(I304&gt;0,J304-L304,0))</f>
        <v>0</v>
      </c>
      <c r="O304" s="37" t="n">
        <f aca="false">IF($A304&gt;=Premissas!$C$27,Premissas!$C$39*IF(((YEAR($A304)-YEAR(Premissas!$C$27))*12+MONTH($A304)-MONTH(Premissas!$C$27))&lt;Premissas!$C$41,Premissas!$C$42,1),0)</f>
        <v>0.62</v>
      </c>
      <c r="P304" s="16" t="n">
        <f aca="false">O304*Premissas!$C$38*Premissas!$C$40*(1+Premissas!$C$60)^((YEAR($A304)-YEAR(Premissas!$C$19))*12+MONTH($A304)-MONTH(Premissas!$C$19))</f>
        <v>11367.2344584432</v>
      </c>
      <c r="Q304" s="16" t="n">
        <f aca="false">P304*Premissas!$C$43</f>
        <v>1818.75751335091</v>
      </c>
      <c r="R304" s="16" t="n">
        <f aca="false">P304*Premissas!$C$44</f>
        <v>2273.44689168863</v>
      </c>
      <c r="S304" s="16" t="n">
        <f aca="false">IF($A304&gt;=Premissas!$C$25,Premissas!$C$45*(1+Premissas!$C$60)^((YEAR($A304)-YEAR(Premissas!$C$19))*12+MONTH($A304)-MONTH(Premissas!$C$19)),0)</f>
        <v>1992.85316592622</v>
      </c>
      <c r="T304" s="16" t="n">
        <f aca="false">IF($A304&gt;=Premissas!$C$27,Premissas!$C$46*(1+Premissas!$C$60)^((YEAR($A304)-YEAR(Premissas!$C$19))*12+MONTH($A304)-MONTH(Premissas!$C$19)),0)</f>
        <v>797.141266370489</v>
      </c>
      <c r="U304" s="16" t="n">
        <f aca="false">IF($A304&gt;=Premissas!$C$27,Premissas!$C$47*(1+Premissas!$C$60)^((YEAR($A304)-YEAR(Premissas!$C$19))*12+MONTH($A304)-MONTH(Premissas!$C$19)),0)</f>
        <v>398.570633185244</v>
      </c>
      <c r="V304" s="16" t="n">
        <f aca="false">IF($A304&gt;=Premissas!$C$27,MAX(0,P304-Q304-R304-S304)*Premissas!$C$49,0)</f>
        <v>1452.59864405629</v>
      </c>
      <c r="W304" s="16" t="n">
        <f aca="false">P304-Q304-R304-S304-T304-U304-V304</f>
        <v>2633.86634386539</v>
      </c>
      <c r="X304" s="16" t="n">
        <f aca="false">W304-F304-G304-H304-M304</f>
        <v>2633.86634386539</v>
      </c>
      <c r="Y304" s="16" t="n">
        <f aca="false">Y303+X304</f>
        <v>-414373.835517026</v>
      </c>
      <c r="Z304" s="16" t="n">
        <f aca="false">Premissas!$C$14*(1+Premissas!$C$57)^((YEAR(Premissas!$C$19)-YEAR(Premissas!$C$18))*12+MONTH(Premissas!$C$19)-MONTH(Premissas!$C$18))*(1+Premissas!$C$61)^((YEAR($A304)-YEAR(Premissas!$C$19))*12+MONTH($A304)-MONTH(Premissas!$C$19))</f>
        <v>1612848.42930504</v>
      </c>
      <c r="AA304" s="16" t="n">
        <f aca="false">IF($A304&gt;=Premissas!$C$25,Z304*(1-Premissas!$C$53)-N304-Premissas!$C$54*MAX(0,Z304*(1-Premissas!$C$53)-(Premissas!$C$14*(1+Premissas!$C$57)^((YEAR(Premissas!$C$25)-YEAR(Premissas!$C$18))*12+MONTH(Premissas!$C$25)-MONTH(Premissas!$C$18))*(1+Premissas!$C$34))),"")</f>
        <v>1369868.10452639</v>
      </c>
      <c r="AB304" s="16" t="n">
        <f aca="false">IF($A304&gt;=Premissas!$C$25,Y304+AA304,"")</f>
        <v>955494.269009363</v>
      </c>
      <c r="AC304" s="20" t="n">
        <f aca="false">IF(AND($A304&gt;=Premissas!$C$27,W304&gt;=M304),$A304,"")</f>
        <v>55488</v>
      </c>
      <c r="AD304" s="20" t="str">
        <f aca="false">IF(AND($A304&gt;=Premissas!$C$27,Y304&gt;=0),$A304,"")</f>
        <v/>
      </c>
      <c r="AE304" s="20" t="n">
        <f aca="false">IF(AND($A304&gt;=Premissas!$C$25,N(AB304)&gt;=0),$A304,"")</f>
        <v>55488</v>
      </c>
    </row>
    <row r="305" customFormat="false" ht="15" hidden="false" customHeight="false" outlineLevel="0" collapsed="false">
      <c r="A305" s="29" t="n">
        <f aca="false">DATE(YEAR(A304),MONTH(A304)+1,1)</f>
        <v>55519</v>
      </c>
      <c r="B305" s="30" t="str">
        <f aca="false">IF($A305&lt;Premissas!$C$25,"Obra",IF($A305=Premissas!$C$25,"Chaves",IF($A305&lt;Premissas!$C$27,"Mobiliando","Airbnb")))</f>
        <v>Airbnb</v>
      </c>
      <c r="C305" s="31" t="n">
        <f aca="false">(YEAR($A305)-YEAR(Premissas!$C$18))*12+MONTH($A305)-MONTH(Premissas!$C$18)</f>
        <v>304</v>
      </c>
      <c r="D305" s="32" t="n">
        <f aca="false">($A305=Premissas!$C$19)*Premissas!$C$8+(($A305=EDATE(Premissas!$C$19,1))+($A305=EDATE(Premissas!$C$19,2)))*Premissas!$C$9+AND($A305&gt;=Premissas!$C$20,$A305&lt;EDATE(Premissas!$C$20,Premissas!$C$21))*Premissas!$C$10+(($A305=Premissas!$C$22)+($A305=Premissas!$C$23)+($A305=Premissas!$C$24))*Premissas!$C$11+($A305=Premissas!$C$25)*Premissas!$C$12</f>
        <v>0</v>
      </c>
      <c r="E305" s="33" t="n">
        <f aca="false">(1+Premissas!$C$57)^C305</f>
        <v>3.88206060145604</v>
      </c>
      <c r="F305" s="32" t="n">
        <f aca="false">D305*E305</f>
        <v>0</v>
      </c>
      <c r="G305" s="32" t="n">
        <f aca="false">($A305=Premissas!$C$25)*Premissas!$C$34*Premissas!$C$14*(1+Premissas!$C$57)^C305</f>
        <v>0</v>
      </c>
      <c r="H305" s="32" t="n">
        <f aca="false">IF(AND($A305&gt;Premissas!$C$25,$A305&lt;Premissas!$C$27),Premissas!$C$35/MAX(1,Premissas!$C$26),0)</f>
        <v>0</v>
      </c>
      <c r="I305" s="31" t="n">
        <f aca="false">IF(AND($A305&gt;Premissas!$C$25,((YEAR($A305)-YEAR(Premissas!$C$25))*12+MONTH($A305)-MONTH(Premissas!$C$25))&lt;=Premissas!$C$32),((YEAR($A305)-YEAR(Premissas!$C$25))*12+MONTH($A305)-MONTH(Premissas!$C$25)),0)</f>
        <v>0</v>
      </c>
      <c r="J305" s="32" t="n">
        <f aca="false">IF(I305&gt;0,N304*(1+Premissas!$C$59),0)</f>
        <v>0</v>
      </c>
      <c r="K305" s="32" t="n">
        <f aca="false">J305*Premissas!$C$58</f>
        <v>0</v>
      </c>
      <c r="L305" s="32" t="n">
        <f aca="false">IF(I305&gt;0,J305/(Premissas!$C$32-I305+1),0)</f>
        <v>0</v>
      </c>
      <c r="M305" s="32" t="n">
        <f aca="false">K305+L305</f>
        <v>0</v>
      </c>
      <c r="N305" s="32" t="n">
        <f aca="false">IF($A305=Premissas!$C$25,Premissas!$C$13*E305,IF(I305&gt;0,J305-L305,0))</f>
        <v>0</v>
      </c>
      <c r="O305" s="34" t="n">
        <f aca="false">IF($A305&gt;=Premissas!$C$27,Premissas!$C$39*IF(((YEAR($A305)-YEAR(Premissas!$C$27))*12+MONTH($A305)-MONTH(Premissas!$C$27))&lt;Premissas!$C$41,Premissas!$C$42,1),0)</f>
        <v>0.62</v>
      </c>
      <c r="P305" s="32" t="n">
        <f aca="false">O305*Premissas!$C$38*Premissas!$C$40*(1+Premissas!$C$60)^((YEAR($A305)-YEAR(Premissas!$C$19))*12+MONTH($A305)-MONTH(Premissas!$C$19))</f>
        <v>11404.4478261034</v>
      </c>
      <c r="Q305" s="32" t="n">
        <f aca="false">P305*Premissas!$C$43</f>
        <v>1824.71165217654</v>
      </c>
      <c r="R305" s="32" t="n">
        <f aca="false">P305*Premissas!$C$44</f>
        <v>2280.88956522067</v>
      </c>
      <c r="S305" s="32" t="n">
        <f aca="false">IF($A305&gt;=Premissas!$C$25,Premissas!$C$45*(1+Premissas!$C$60)^((YEAR($A305)-YEAR(Premissas!$C$19))*12+MONTH($A305)-MONTH(Premissas!$C$19)),0)</f>
        <v>1999.3772486156</v>
      </c>
      <c r="T305" s="32" t="n">
        <f aca="false">IF($A305&gt;=Premissas!$C$27,Premissas!$C$46*(1+Premissas!$C$60)^((YEAR($A305)-YEAR(Premissas!$C$19))*12+MONTH($A305)-MONTH(Premissas!$C$19)),0)</f>
        <v>799.750899446238</v>
      </c>
      <c r="U305" s="32" t="n">
        <f aca="false">IF($A305&gt;=Premissas!$C$27,Premissas!$C$47*(1+Premissas!$C$60)^((YEAR($A305)-YEAR(Premissas!$C$19))*12+MONTH($A305)-MONTH(Premissas!$C$19)),0)</f>
        <v>399.875449723119</v>
      </c>
      <c r="V305" s="32" t="n">
        <f aca="false">IF($A305&gt;=Premissas!$C$27,MAX(0,P305-Q305-R305-S305)*Premissas!$C$49,0)</f>
        <v>1457.3540740249</v>
      </c>
      <c r="W305" s="32" t="n">
        <f aca="false">P305-Q305-R305-S305-T305-U305-V305</f>
        <v>2642.48893689629</v>
      </c>
      <c r="X305" s="32" t="n">
        <f aca="false">W305-F305-G305-H305-M305</f>
        <v>2642.48893689629</v>
      </c>
      <c r="Y305" s="32" t="n">
        <f aca="false">Y304+X305</f>
        <v>-411731.346580129</v>
      </c>
      <c r="Z305" s="32" t="n">
        <f aca="false">Premissas!$C$14*(1+Premissas!$C$57)^((YEAR(Premissas!$C$19)-YEAR(Premissas!$C$18))*12+MONTH(Premissas!$C$19)-MONTH(Premissas!$C$18))*(1+Premissas!$C$61)^((YEAR($A305)-YEAR(Premissas!$C$19))*12+MONTH($A305)-MONTH(Premissas!$C$19))</f>
        <v>1619419.37345029</v>
      </c>
      <c r="AA305" s="32" t="n">
        <f aca="false">IF($A305&gt;=Premissas!$C$25,Z305*(1-Premissas!$C$53)-N305-Premissas!$C$54*MAX(0,Z305*(1-Premissas!$C$53)-(Premissas!$C$14*(1+Premissas!$C$57)^((YEAR(Premissas!$C$25)-YEAR(Premissas!$C$18))*12+MONTH(Premissas!$C$25)-MONTH(Premissas!$C$18))*(1+Premissas!$C$34))),"")</f>
        <v>1375118.28889845</v>
      </c>
      <c r="AB305" s="32" t="n">
        <f aca="false">IF($A305&gt;=Premissas!$C$25,Y305+AA305,"")</f>
        <v>963386.942318316</v>
      </c>
      <c r="AC305" s="29" t="n">
        <f aca="false">IF(AND($A305&gt;=Premissas!$C$27,W305&gt;=M305),$A305,"")</f>
        <v>55519</v>
      </c>
      <c r="AD305" s="29" t="str">
        <f aca="false">IF(AND($A305&gt;=Premissas!$C$27,Y305&gt;=0),$A305,"")</f>
        <v/>
      </c>
      <c r="AE305" s="29" t="n">
        <f aca="false">IF(AND($A305&gt;=Premissas!$C$25,N(AB305)&gt;=0),$A305,"")</f>
        <v>55519</v>
      </c>
    </row>
    <row r="306" customFormat="false" ht="15" hidden="false" customHeight="false" outlineLevel="0" collapsed="false">
      <c r="A306" s="20" t="n">
        <f aca="false">DATE(YEAR(A305),MONTH(A305)+1,1)</f>
        <v>55550</v>
      </c>
      <c r="B306" s="5" t="str">
        <f aca="false">IF($A306&lt;Premissas!$C$25,"Obra",IF($A306=Premissas!$C$25,"Chaves",IF($A306&lt;Premissas!$C$27,"Mobiliando","Airbnb")))</f>
        <v>Airbnb</v>
      </c>
      <c r="C306" s="35" t="n">
        <f aca="false">(YEAR($A306)-YEAR(Premissas!$C$18))*12+MONTH($A306)-MONTH(Premissas!$C$18)</f>
        <v>305</v>
      </c>
      <c r="D306" s="16" t="n">
        <f aca="false">($A306=Premissas!$C$19)*Premissas!$C$8+(($A306=EDATE(Premissas!$C$19,1))+($A306=EDATE(Premissas!$C$19,2)))*Premissas!$C$9+AND($A306&gt;=Premissas!$C$20,$A306&lt;EDATE(Premissas!$C$20,Premissas!$C$21))*Premissas!$C$10+(($A306=Premissas!$C$22)+($A306=Premissas!$C$23)+($A306=Premissas!$C$24))*Premissas!$C$11+($A306=Premissas!$C$25)*Premissas!$C$12</f>
        <v>0</v>
      </c>
      <c r="E306" s="36" t="n">
        <f aca="false">(1+Premissas!$C$57)^C306</f>
        <v>3.89942000764347</v>
      </c>
      <c r="F306" s="16" t="n">
        <f aca="false">D306*E306</f>
        <v>0</v>
      </c>
      <c r="G306" s="16" t="n">
        <f aca="false">($A306=Premissas!$C$25)*Premissas!$C$34*Premissas!$C$14*(1+Premissas!$C$57)^C306</f>
        <v>0</v>
      </c>
      <c r="H306" s="16" t="n">
        <f aca="false">IF(AND($A306&gt;Premissas!$C$25,$A306&lt;Premissas!$C$27),Premissas!$C$35/MAX(1,Premissas!$C$26),0)</f>
        <v>0</v>
      </c>
      <c r="I306" s="35" t="n">
        <f aca="false">IF(AND($A306&gt;Premissas!$C$25,((YEAR($A306)-YEAR(Premissas!$C$25))*12+MONTH($A306)-MONTH(Premissas!$C$25))&lt;=Premissas!$C$32),((YEAR($A306)-YEAR(Premissas!$C$25))*12+MONTH($A306)-MONTH(Premissas!$C$25)),0)</f>
        <v>0</v>
      </c>
      <c r="J306" s="16" t="n">
        <f aca="false">IF(I306&gt;0,N305*(1+Premissas!$C$59),0)</f>
        <v>0</v>
      </c>
      <c r="K306" s="16" t="n">
        <f aca="false">J306*Premissas!$C$58</f>
        <v>0</v>
      </c>
      <c r="L306" s="16" t="n">
        <f aca="false">IF(I306&gt;0,J306/(Premissas!$C$32-I306+1),0)</f>
        <v>0</v>
      </c>
      <c r="M306" s="16" t="n">
        <f aca="false">K306+L306</f>
        <v>0</v>
      </c>
      <c r="N306" s="16" t="n">
        <f aca="false">IF($A306=Premissas!$C$25,Premissas!$C$13*E306,IF(I306&gt;0,J306-L306,0))</f>
        <v>0</v>
      </c>
      <c r="O306" s="37" t="n">
        <f aca="false">IF($A306&gt;=Premissas!$C$27,Premissas!$C$39*IF(((YEAR($A306)-YEAR(Premissas!$C$27))*12+MONTH($A306)-MONTH(Premissas!$C$27))&lt;Premissas!$C$41,Premissas!$C$42,1),0)</f>
        <v>0.62</v>
      </c>
      <c r="P306" s="16" t="n">
        <f aca="false">O306*Premissas!$C$38*Premissas!$C$40*(1+Premissas!$C$60)^((YEAR($A306)-YEAR(Premissas!$C$19))*12+MONTH($A306)-MONTH(Premissas!$C$19))</f>
        <v>11441.7830206457</v>
      </c>
      <c r="Q306" s="16" t="n">
        <f aca="false">P306*Premissas!$C$43</f>
        <v>1830.68528330331</v>
      </c>
      <c r="R306" s="16" t="n">
        <f aca="false">P306*Premissas!$C$44</f>
        <v>2288.35660412914</v>
      </c>
      <c r="S306" s="16" t="n">
        <f aca="false">IF($A306&gt;=Premissas!$C$25,Premissas!$C$45*(1+Premissas!$C$60)^((YEAR($A306)-YEAR(Premissas!$C$19))*12+MONTH($A306)-MONTH(Premissas!$C$19)),0)</f>
        <v>2005.92268945401</v>
      </c>
      <c r="T306" s="16" t="n">
        <f aca="false">IF($A306&gt;=Premissas!$C$27,Premissas!$C$46*(1+Premissas!$C$60)^((YEAR($A306)-YEAR(Premissas!$C$19))*12+MONTH($A306)-MONTH(Premissas!$C$19)),0)</f>
        <v>802.369075781605</v>
      </c>
      <c r="U306" s="16" t="n">
        <f aca="false">IF($A306&gt;=Premissas!$C$27,Premissas!$C$47*(1+Premissas!$C$60)^((YEAR($A306)-YEAR(Premissas!$C$19))*12+MONTH($A306)-MONTH(Premissas!$C$19)),0)</f>
        <v>401.184537890802</v>
      </c>
      <c r="V306" s="16" t="n">
        <f aca="false">IF($A306&gt;=Premissas!$C$27,MAX(0,P306-Q306-R306-S306)*Premissas!$C$49,0)</f>
        <v>1462.12507203379</v>
      </c>
      <c r="W306" s="16" t="n">
        <f aca="false">P306-Q306-R306-S306-T306-U306-V306</f>
        <v>2651.13975805303</v>
      </c>
      <c r="X306" s="16" t="n">
        <f aca="false">W306-F306-G306-H306-M306</f>
        <v>2651.13975805303</v>
      </c>
      <c r="Y306" s="16" t="n">
        <f aca="false">Y305+X306</f>
        <v>-409080.206822076</v>
      </c>
      <c r="Z306" s="16" t="n">
        <f aca="false">Premissas!$C$14*(1+Premissas!$C$57)^((YEAR(Premissas!$C$19)-YEAR(Premissas!$C$18))*12+MONTH(Premissas!$C$19)-MONTH(Premissas!$C$18))*(1+Premissas!$C$61)^((YEAR($A306)-YEAR(Premissas!$C$19))*12+MONTH($A306)-MONTH(Premissas!$C$19))</f>
        <v>1626017.08843536</v>
      </c>
      <c r="AA306" s="16" t="n">
        <f aca="false">IF($A306&gt;=Premissas!$C$25,Z306*(1-Premissas!$C$53)-N306-Premissas!$C$54*MAX(0,Z306*(1-Premissas!$C$53)-(Premissas!$C$14*(1+Premissas!$C$57)^((YEAR(Premissas!$C$25)-YEAR(Premissas!$C$18))*12+MONTH(Premissas!$C$25)-MONTH(Premissas!$C$18))*(1+Premissas!$C$34))),"")</f>
        <v>1380389.86317152</v>
      </c>
      <c r="AB306" s="16" t="n">
        <f aca="false">IF($A306&gt;=Premissas!$C$25,Y306+AA306,"")</f>
        <v>971309.656349443</v>
      </c>
      <c r="AC306" s="20" t="n">
        <f aca="false">IF(AND($A306&gt;=Premissas!$C$27,W306&gt;=M306),$A306,"")</f>
        <v>55550</v>
      </c>
      <c r="AD306" s="20" t="str">
        <f aca="false">IF(AND($A306&gt;=Premissas!$C$27,Y306&gt;=0),$A306,"")</f>
        <v/>
      </c>
      <c r="AE306" s="20" t="n">
        <f aca="false">IF(AND($A306&gt;=Premissas!$C$25,N(AB306)&gt;=0),$A306,"")</f>
        <v>55550</v>
      </c>
    </row>
    <row r="307" customFormat="false" ht="15" hidden="false" customHeight="false" outlineLevel="0" collapsed="false">
      <c r="A307" s="20" t="n">
        <f aca="false">DATE(YEAR(A306),MONTH(A306)+1,1)</f>
        <v>55579</v>
      </c>
      <c r="B307" s="5" t="str">
        <f aca="false">IF($A307&lt;Premissas!$C$25,"Obra",IF($A307=Premissas!$C$25,"Chaves",IF($A307&lt;Premissas!$C$27,"Mobiliando","Airbnb")))</f>
        <v>Airbnb</v>
      </c>
      <c r="C307" s="35" t="n">
        <f aca="false">(YEAR($A307)-YEAR(Premissas!$C$18))*12+MONTH($A307)-MONTH(Premissas!$C$18)</f>
        <v>306</v>
      </c>
      <c r="D307" s="16" t="n">
        <f aca="false">($A307=Premissas!$C$19)*Premissas!$C$8+(($A307=EDATE(Premissas!$C$19,1))+($A307=EDATE(Premissas!$C$19,2)))*Premissas!$C$9+AND($A307&gt;=Premissas!$C$20,$A307&lt;EDATE(Premissas!$C$20,Premissas!$C$21))*Premissas!$C$10+(($A307=Premissas!$C$22)+($A307=Premissas!$C$23)+($A307=Premissas!$C$24))*Premissas!$C$11+($A307=Premissas!$C$25)*Premissas!$C$12</f>
        <v>0</v>
      </c>
      <c r="E307" s="36" t="n">
        <f aca="false">(1+Premissas!$C$57)^C307</f>
        <v>3.91685703986874</v>
      </c>
      <c r="F307" s="16" t="n">
        <f aca="false">D307*E307</f>
        <v>0</v>
      </c>
      <c r="G307" s="16" t="n">
        <f aca="false">($A307=Premissas!$C$25)*Premissas!$C$34*Premissas!$C$14*(1+Premissas!$C$57)^C307</f>
        <v>0</v>
      </c>
      <c r="H307" s="16" t="n">
        <f aca="false">IF(AND($A307&gt;Premissas!$C$25,$A307&lt;Premissas!$C$27),Premissas!$C$35/MAX(1,Premissas!$C$26),0)</f>
        <v>0</v>
      </c>
      <c r="I307" s="35" t="n">
        <f aca="false">IF(AND($A307&gt;Premissas!$C$25,((YEAR($A307)-YEAR(Premissas!$C$25))*12+MONTH($A307)-MONTH(Premissas!$C$25))&lt;=Premissas!$C$32),((YEAR($A307)-YEAR(Premissas!$C$25))*12+MONTH($A307)-MONTH(Premissas!$C$25)),0)</f>
        <v>0</v>
      </c>
      <c r="J307" s="16" t="n">
        <f aca="false">IF(I307&gt;0,N306*(1+Premissas!$C$59),0)</f>
        <v>0</v>
      </c>
      <c r="K307" s="16" t="n">
        <f aca="false">J307*Premissas!$C$58</f>
        <v>0</v>
      </c>
      <c r="L307" s="16" t="n">
        <f aca="false">IF(I307&gt;0,J307/(Premissas!$C$32-I307+1),0)</f>
        <v>0</v>
      </c>
      <c r="M307" s="16" t="n">
        <f aca="false">K307+L307</f>
        <v>0</v>
      </c>
      <c r="N307" s="16" t="n">
        <f aca="false">IF($A307=Premissas!$C$25,Premissas!$C$13*E307,IF(I307&gt;0,J307-L307,0))</f>
        <v>0</v>
      </c>
      <c r="O307" s="37" t="n">
        <f aca="false">IF($A307&gt;=Premissas!$C$27,Premissas!$C$39*IF(((YEAR($A307)-YEAR(Premissas!$C$27))*12+MONTH($A307)-MONTH(Premissas!$C$27))&lt;Premissas!$C$41,Premissas!$C$42,1),0)</f>
        <v>0.62</v>
      </c>
      <c r="P307" s="16" t="n">
        <f aca="false">O307*Premissas!$C$38*Premissas!$C$40*(1+Premissas!$C$60)^((YEAR($A307)-YEAR(Premissas!$C$19))*12+MONTH($A307)-MONTH(Premissas!$C$19))</f>
        <v>11479.2404408997</v>
      </c>
      <c r="Q307" s="16" t="n">
        <f aca="false">P307*Premissas!$C$43</f>
        <v>1836.67847054395</v>
      </c>
      <c r="R307" s="16" t="n">
        <f aca="false">P307*Premissas!$C$44</f>
        <v>2295.84808817993</v>
      </c>
      <c r="S307" s="16" t="n">
        <f aca="false">IF($A307&gt;=Premissas!$C$25,Premissas!$C$45*(1+Premissas!$C$60)^((YEAR($A307)-YEAR(Premissas!$C$19))*12+MONTH($A307)-MONTH(Premissas!$C$19)),0)</f>
        <v>2012.48955836249</v>
      </c>
      <c r="T307" s="16" t="n">
        <f aca="false">IF($A307&gt;=Premissas!$C$27,Premissas!$C$46*(1+Premissas!$C$60)^((YEAR($A307)-YEAR(Premissas!$C$19))*12+MONTH($A307)-MONTH(Premissas!$C$19)),0)</f>
        <v>804.995823344997</v>
      </c>
      <c r="U307" s="16" t="n">
        <f aca="false">IF($A307&gt;=Premissas!$C$27,Premissas!$C$47*(1+Premissas!$C$60)^((YEAR($A307)-YEAR(Premissas!$C$19))*12+MONTH($A307)-MONTH(Premissas!$C$19)),0)</f>
        <v>402.497911672499</v>
      </c>
      <c r="V307" s="16" t="n">
        <f aca="false">IF($A307&gt;=Premissas!$C$27,MAX(0,P307-Q307-R307-S307)*Premissas!$C$49,0)</f>
        <v>1466.91168904865</v>
      </c>
      <c r="W307" s="16" t="n">
        <f aca="false">P307-Q307-R307-S307-T307-U307-V307</f>
        <v>2659.81889974714</v>
      </c>
      <c r="X307" s="16" t="n">
        <f aca="false">W307-F307-G307-H307-M307</f>
        <v>2659.81889974714</v>
      </c>
      <c r="Y307" s="16" t="n">
        <f aca="false">Y306+X307</f>
        <v>-406420.387922329</v>
      </c>
      <c r="Z307" s="16" t="n">
        <f aca="false">Premissas!$C$14*(1+Premissas!$C$57)^((YEAR(Premissas!$C$19)-YEAR(Premissas!$C$18))*12+MONTH(Premissas!$C$19)-MONTH(Premissas!$C$18))*(1+Premissas!$C$61)^((YEAR($A307)-YEAR(Premissas!$C$19))*12+MONTH($A307)-MONTH(Premissas!$C$19))</f>
        <v>1632641.68332798</v>
      </c>
      <c r="AA307" s="16" t="n">
        <f aca="false">IF($A307&gt;=Premissas!$C$25,Z307*(1-Premissas!$C$53)-N307-Premissas!$C$54*MAX(0,Z307*(1-Premissas!$C$53)-(Premissas!$C$14*(1+Premissas!$C$57)^((YEAR(Premissas!$C$25)-YEAR(Premissas!$C$18))*12+MONTH(Premissas!$C$25)-MONTH(Premissas!$C$18))*(1+Premissas!$C$34))),"")</f>
        <v>1385682.91449072</v>
      </c>
      <c r="AB307" s="16" t="n">
        <f aca="false">IF($A307&gt;=Premissas!$C$25,Y307+AA307,"")</f>
        <v>979262.526568388</v>
      </c>
      <c r="AC307" s="20" t="n">
        <f aca="false">IF(AND($A307&gt;=Premissas!$C$27,W307&gt;=M307),$A307,"")</f>
        <v>55579</v>
      </c>
      <c r="AD307" s="20" t="str">
        <f aca="false">IF(AND($A307&gt;=Premissas!$C$27,Y307&gt;=0),$A307,"")</f>
        <v/>
      </c>
      <c r="AE307" s="20" t="n">
        <f aca="false">IF(AND($A307&gt;=Premissas!$C$25,N(AB307)&gt;=0),$A307,"")</f>
        <v>55579</v>
      </c>
    </row>
    <row r="308" customFormat="false" ht="15" hidden="false" customHeight="false" outlineLevel="0" collapsed="false">
      <c r="A308" s="20" t="n">
        <f aca="false">DATE(YEAR(A307),MONTH(A307)+1,1)</f>
        <v>55610</v>
      </c>
      <c r="B308" s="5" t="str">
        <f aca="false">IF($A308&lt;Premissas!$C$25,"Obra",IF($A308=Premissas!$C$25,"Chaves",IF($A308&lt;Premissas!$C$27,"Mobiliando","Airbnb")))</f>
        <v>Airbnb</v>
      </c>
      <c r="C308" s="35" t="n">
        <f aca="false">(YEAR($A308)-YEAR(Premissas!$C$18))*12+MONTH($A308)-MONTH(Premissas!$C$18)</f>
        <v>307</v>
      </c>
      <c r="D308" s="16" t="n">
        <f aca="false">($A308=Premissas!$C$19)*Premissas!$C$8+(($A308=EDATE(Premissas!$C$19,1))+($A308=EDATE(Premissas!$C$19,2)))*Premissas!$C$9+AND($A308&gt;=Premissas!$C$20,$A308&lt;EDATE(Premissas!$C$20,Premissas!$C$21))*Premissas!$C$10+(($A308=Premissas!$C$22)+($A308=Premissas!$C$23)+($A308=Premissas!$C$24))*Premissas!$C$11+($A308=Premissas!$C$25)*Premissas!$C$12</f>
        <v>0</v>
      </c>
      <c r="E308" s="36" t="n">
        <f aca="false">(1+Premissas!$C$57)^C308</f>
        <v>3.93437204525214</v>
      </c>
      <c r="F308" s="16" t="n">
        <f aca="false">D308*E308</f>
        <v>0</v>
      </c>
      <c r="G308" s="16" t="n">
        <f aca="false">($A308=Premissas!$C$25)*Premissas!$C$34*Premissas!$C$14*(1+Premissas!$C$57)^C308</f>
        <v>0</v>
      </c>
      <c r="H308" s="16" t="n">
        <f aca="false">IF(AND($A308&gt;Premissas!$C$25,$A308&lt;Premissas!$C$27),Premissas!$C$35/MAX(1,Premissas!$C$26),0)</f>
        <v>0</v>
      </c>
      <c r="I308" s="35" t="n">
        <f aca="false">IF(AND($A308&gt;Premissas!$C$25,((YEAR($A308)-YEAR(Premissas!$C$25))*12+MONTH($A308)-MONTH(Premissas!$C$25))&lt;=Premissas!$C$32),((YEAR($A308)-YEAR(Premissas!$C$25))*12+MONTH($A308)-MONTH(Premissas!$C$25)),0)</f>
        <v>0</v>
      </c>
      <c r="J308" s="16" t="n">
        <f aca="false">IF(I308&gt;0,N307*(1+Premissas!$C$59),0)</f>
        <v>0</v>
      </c>
      <c r="K308" s="16" t="n">
        <f aca="false">J308*Premissas!$C$58</f>
        <v>0</v>
      </c>
      <c r="L308" s="16" t="n">
        <f aca="false">IF(I308&gt;0,J308/(Premissas!$C$32-I308+1),0)</f>
        <v>0</v>
      </c>
      <c r="M308" s="16" t="n">
        <f aca="false">K308+L308</f>
        <v>0</v>
      </c>
      <c r="N308" s="16" t="n">
        <f aca="false">IF($A308=Premissas!$C$25,Premissas!$C$13*E308,IF(I308&gt;0,J308-L308,0))</f>
        <v>0</v>
      </c>
      <c r="O308" s="37" t="n">
        <f aca="false">IF($A308&gt;=Premissas!$C$27,Premissas!$C$39*IF(((YEAR($A308)-YEAR(Premissas!$C$27))*12+MONTH($A308)-MONTH(Premissas!$C$27))&lt;Premissas!$C$41,Premissas!$C$42,1),0)</f>
        <v>0.62</v>
      </c>
      <c r="P308" s="16" t="n">
        <f aca="false">O308*Premissas!$C$38*Premissas!$C$40*(1+Premissas!$C$60)^((YEAR($A308)-YEAR(Premissas!$C$19))*12+MONTH($A308)-MONTH(Premissas!$C$19))</f>
        <v>11516.8204870005</v>
      </c>
      <c r="Q308" s="16" t="n">
        <f aca="false">P308*Premissas!$C$43</f>
        <v>1842.69127792007</v>
      </c>
      <c r="R308" s="16" t="n">
        <f aca="false">P308*Premissas!$C$44</f>
        <v>2303.36409740009</v>
      </c>
      <c r="S308" s="16" t="n">
        <f aca="false">IF($A308&gt;=Premissas!$C$25,Premissas!$C$45*(1+Premissas!$C$60)^((YEAR($A308)-YEAR(Premissas!$C$19))*12+MONTH($A308)-MONTH(Premissas!$C$19)),0)</f>
        <v>2019.07792549096</v>
      </c>
      <c r="T308" s="16" t="n">
        <f aca="false">IF($A308&gt;=Premissas!$C$27,Premissas!$C$46*(1+Premissas!$C$60)^((YEAR($A308)-YEAR(Premissas!$C$19))*12+MONTH($A308)-MONTH(Premissas!$C$19)),0)</f>
        <v>807.631170196386</v>
      </c>
      <c r="U308" s="16" t="n">
        <f aca="false">IF($A308&gt;=Premissas!$C$27,Premissas!$C$47*(1+Premissas!$C$60)^((YEAR($A308)-YEAR(Premissas!$C$19))*12+MONTH($A308)-MONTH(Premissas!$C$19)),0)</f>
        <v>403.815585098193</v>
      </c>
      <c r="V308" s="16" t="n">
        <f aca="false">IF($A308&gt;=Premissas!$C$27,MAX(0,P308-Q308-R308-S308)*Premissas!$C$49,0)</f>
        <v>1471.71397620207</v>
      </c>
      <c r="W308" s="16" t="n">
        <f aca="false">P308-Q308-R308-S308-T308-U308-V308</f>
        <v>2668.52645469268</v>
      </c>
      <c r="X308" s="16" t="n">
        <f aca="false">W308-F308-G308-H308-M308</f>
        <v>2668.52645469268</v>
      </c>
      <c r="Y308" s="16" t="n">
        <f aca="false">Y307+X308</f>
        <v>-403751.861467637</v>
      </c>
      <c r="Z308" s="16" t="n">
        <f aca="false">Premissas!$C$14*(1+Premissas!$C$57)^((YEAR(Premissas!$C$19)-YEAR(Premissas!$C$18))*12+MONTH(Premissas!$C$19)-MONTH(Premissas!$C$18))*(1+Premissas!$C$61)^((YEAR($A308)-YEAR(Premissas!$C$19))*12+MONTH($A308)-MONTH(Premissas!$C$19))</f>
        <v>1639293.2676402</v>
      </c>
      <c r="AA308" s="16" t="n">
        <f aca="false">IF($A308&gt;=Premissas!$C$25,Z308*(1-Premissas!$C$53)-N308-Premissas!$C$54*MAX(0,Z308*(1-Premissas!$C$53)-(Premissas!$C$14*(1+Premissas!$C$57)^((YEAR(Premissas!$C$25)-YEAR(Premissas!$C$18))*12+MONTH(Premissas!$C$25)-MONTH(Premissas!$C$18))*(1+Premissas!$C$34))),"")</f>
        <v>1390997.53035618</v>
      </c>
      <c r="AB308" s="16" t="n">
        <f aca="false">IF($A308&gt;=Premissas!$C$25,Y308+AA308,"")</f>
        <v>987245.668888547</v>
      </c>
      <c r="AC308" s="20" t="n">
        <f aca="false">IF(AND($A308&gt;=Premissas!$C$27,W308&gt;=M308),$A308,"")</f>
        <v>55610</v>
      </c>
      <c r="AD308" s="20" t="str">
        <f aca="false">IF(AND($A308&gt;=Premissas!$C$27,Y308&gt;=0),$A308,"")</f>
        <v/>
      </c>
      <c r="AE308" s="20" t="n">
        <f aca="false">IF(AND($A308&gt;=Premissas!$C$25,N(AB308)&gt;=0),$A308,"")</f>
        <v>55610</v>
      </c>
    </row>
    <row r="309" customFormat="false" ht="15" hidden="false" customHeight="false" outlineLevel="0" collapsed="false">
      <c r="A309" s="20" t="n">
        <f aca="false">DATE(YEAR(A308),MONTH(A308)+1,1)</f>
        <v>55640</v>
      </c>
      <c r="B309" s="5" t="str">
        <f aca="false">IF($A309&lt;Premissas!$C$25,"Obra",IF($A309=Premissas!$C$25,"Chaves",IF($A309&lt;Premissas!$C$27,"Mobiliando","Airbnb")))</f>
        <v>Airbnb</v>
      </c>
      <c r="C309" s="35" t="n">
        <f aca="false">(YEAR($A309)-YEAR(Premissas!$C$18))*12+MONTH($A309)-MONTH(Premissas!$C$18)</f>
        <v>308</v>
      </c>
      <c r="D309" s="16" t="n">
        <f aca="false">($A309=Premissas!$C$19)*Premissas!$C$8+(($A309=EDATE(Premissas!$C$19,1))+($A309=EDATE(Premissas!$C$19,2)))*Premissas!$C$9+AND($A309&gt;=Premissas!$C$20,$A309&lt;EDATE(Premissas!$C$20,Premissas!$C$21))*Premissas!$C$10+(($A309=Premissas!$C$22)+($A309=Premissas!$C$23)+($A309=Premissas!$C$24))*Premissas!$C$11+($A309=Premissas!$C$25)*Premissas!$C$12</f>
        <v>0</v>
      </c>
      <c r="E309" s="36" t="n">
        <f aca="false">(1+Premissas!$C$57)^C309</f>
        <v>3.95196537246613</v>
      </c>
      <c r="F309" s="16" t="n">
        <f aca="false">D309*E309</f>
        <v>0</v>
      </c>
      <c r="G309" s="16" t="n">
        <f aca="false">($A309=Premissas!$C$25)*Premissas!$C$34*Premissas!$C$14*(1+Premissas!$C$57)^C309</f>
        <v>0</v>
      </c>
      <c r="H309" s="16" t="n">
        <f aca="false">IF(AND($A309&gt;Premissas!$C$25,$A309&lt;Premissas!$C$27),Premissas!$C$35/MAX(1,Premissas!$C$26),0)</f>
        <v>0</v>
      </c>
      <c r="I309" s="35" t="n">
        <f aca="false">IF(AND($A309&gt;Premissas!$C$25,((YEAR($A309)-YEAR(Premissas!$C$25))*12+MONTH($A309)-MONTH(Premissas!$C$25))&lt;=Premissas!$C$32),((YEAR($A309)-YEAR(Premissas!$C$25))*12+MONTH($A309)-MONTH(Premissas!$C$25)),0)</f>
        <v>0</v>
      </c>
      <c r="J309" s="16" t="n">
        <f aca="false">IF(I309&gt;0,N308*(1+Premissas!$C$59),0)</f>
        <v>0</v>
      </c>
      <c r="K309" s="16" t="n">
        <f aca="false">J309*Premissas!$C$58</f>
        <v>0</v>
      </c>
      <c r="L309" s="16" t="n">
        <f aca="false">IF(I309&gt;0,J309/(Premissas!$C$32-I309+1),0)</f>
        <v>0</v>
      </c>
      <c r="M309" s="16" t="n">
        <f aca="false">K309+L309</f>
        <v>0</v>
      </c>
      <c r="N309" s="16" t="n">
        <f aca="false">IF($A309=Premissas!$C$25,Premissas!$C$13*E309,IF(I309&gt;0,J309-L309,0))</f>
        <v>0</v>
      </c>
      <c r="O309" s="37" t="n">
        <f aca="false">IF($A309&gt;=Premissas!$C$27,Premissas!$C$39*IF(((YEAR($A309)-YEAR(Premissas!$C$27))*12+MONTH($A309)-MONTH(Premissas!$C$27))&lt;Premissas!$C$41,Premissas!$C$42,1),0)</f>
        <v>0.62</v>
      </c>
      <c r="P309" s="16" t="n">
        <f aca="false">O309*Premissas!$C$38*Premissas!$C$40*(1+Premissas!$C$60)^((YEAR($A309)-YEAR(Premissas!$C$19))*12+MONTH($A309)-MONTH(Premissas!$C$19))</f>
        <v>11554.5235603932</v>
      </c>
      <c r="Q309" s="16" t="n">
        <f aca="false">P309*Premissas!$C$43</f>
        <v>1848.72376966291</v>
      </c>
      <c r="R309" s="16" t="n">
        <f aca="false">P309*Premissas!$C$44</f>
        <v>2310.90471207864</v>
      </c>
      <c r="S309" s="16" t="n">
        <f aca="false">IF($A309&gt;=Premissas!$C$25,Premissas!$C$45*(1+Premissas!$C$60)^((YEAR($A309)-YEAR(Premissas!$C$19))*12+MONTH($A309)-MONTH(Premissas!$C$19)),0)</f>
        <v>2025.687861219</v>
      </c>
      <c r="T309" s="16" t="n">
        <f aca="false">IF($A309&gt;=Premissas!$C$27,Premissas!$C$46*(1+Premissas!$C$60)^((YEAR($A309)-YEAR(Premissas!$C$19))*12+MONTH($A309)-MONTH(Premissas!$C$19)),0)</f>
        <v>810.275144487601</v>
      </c>
      <c r="U309" s="16" t="n">
        <f aca="false">IF($A309&gt;=Premissas!$C$27,Premissas!$C$47*(1+Premissas!$C$60)^((YEAR($A309)-YEAR(Premissas!$C$19))*12+MONTH($A309)-MONTH(Premissas!$C$19)),0)</f>
        <v>405.137572243801</v>
      </c>
      <c r="V309" s="16" t="n">
        <f aca="false">IF($A309&gt;=Premissas!$C$27,MAX(0,P309-Q309-R309-S309)*Premissas!$C$49,0)</f>
        <v>1476.53198479398</v>
      </c>
      <c r="W309" s="16" t="n">
        <f aca="false">P309-Q309-R309-S309-T309-U309-V309</f>
        <v>2677.26251590726</v>
      </c>
      <c r="X309" s="16" t="n">
        <f aca="false">W309-F309-G309-H309-M309</f>
        <v>2677.26251590726</v>
      </c>
      <c r="Y309" s="16" t="n">
        <f aca="false">Y308+X309</f>
        <v>-401074.598951729</v>
      </c>
      <c r="Z309" s="16" t="n">
        <f aca="false">Premissas!$C$14*(1+Premissas!$C$57)^((YEAR(Premissas!$C$19)-YEAR(Premissas!$C$18))*12+MONTH(Premissas!$C$19)-MONTH(Premissas!$C$18))*(1+Premissas!$C$61)^((YEAR($A309)-YEAR(Premissas!$C$19))*12+MONTH($A309)-MONTH(Premissas!$C$19))</f>
        <v>1645971.95133027</v>
      </c>
      <c r="AA309" s="16" t="n">
        <f aca="false">IF($A309&gt;=Premissas!$C$25,Z309*(1-Premissas!$C$53)-N309-Premissas!$C$54*MAX(0,Z309*(1-Premissas!$C$53)-(Premissas!$C$14*(1+Premissas!$C$57)^((YEAR(Premissas!$C$25)-YEAR(Premissas!$C$18))*12+MONTH(Premissas!$C$25)-MONTH(Premissas!$C$18))*(1+Premissas!$C$34))),"")</f>
        <v>1396333.79862455</v>
      </c>
      <c r="AB309" s="16" t="n">
        <f aca="false">IF($A309&gt;=Premissas!$C$25,Y309+AA309,"")</f>
        <v>995259.199672818</v>
      </c>
      <c r="AC309" s="20" t="n">
        <f aca="false">IF(AND($A309&gt;=Premissas!$C$27,W309&gt;=M309),$A309,"")</f>
        <v>55640</v>
      </c>
      <c r="AD309" s="20" t="str">
        <f aca="false">IF(AND($A309&gt;=Premissas!$C$27,Y309&gt;=0),$A309,"")</f>
        <v/>
      </c>
      <c r="AE309" s="20" t="n">
        <f aca="false">IF(AND($A309&gt;=Premissas!$C$25,N(AB309)&gt;=0),$A309,"")</f>
        <v>55640</v>
      </c>
    </row>
    <row r="310" customFormat="false" ht="15" hidden="false" customHeight="false" outlineLevel="0" collapsed="false">
      <c r="A310" s="20" t="n">
        <f aca="false">DATE(YEAR(A309),MONTH(A309)+1,1)</f>
        <v>55671</v>
      </c>
      <c r="B310" s="5" t="str">
        <f aca="false">IF($A310&lt;Premissas!$C$25,"Obra",IF($A310=Premissas!$C$25,"Chaves",IF($A310&lt;Premissas!$C$27,"Mobiliando","Airbnb")))</f>
        <v>Airbnb</v>
      </c>
      <c r="C310" s="35" t="n">
        <f aca="false">(YEAR($A310)-YEAR(Premissas!$C$18))*12+MONTH($A310)-MONTH(Premissas!$C$18)</f>
        <v>309</v>
      </c>
      <c r="D310" s="16" t="n">
        <f aca="false">($A310=Premissas!$C$19)*Premissas!$C$8+(($A310=EDATE(Premissas!$C$19,1))+($A310=EDATE(Premissas!$C$19,2)))*Premissas!$C$9+AND($A310&gt;=Premissas!$C$20,$A310&lt;EDATE(Premissas!$C$20,Premissas!$C$21))*Premissas!$C$10+(($A310=Premissas!$C$22)+($A310=Premissas!$C$23)+($A310=Premissas!$C$24))*Premissas!$C$11+($A310=Premissas!$C$25)*Premissas!$C$12</f>
        <v>0</v>
      </c>
      <c r="E310" s="36" t="n">
        <f aca="false">(1+Premissas!$C$57)^C310</f>
        <v>3.96963737174238</v>
      </c>
      <c r="F310" s="16" t="n">
        <f aca="false">D310*E310</f>
        <v>0</v>
      </c>
      <c r="G310" s="16" t="n">
        <f aca="false">($A310=Premissas!$C$25)*Premissas!$C$34*Premissas!$C$14*(1+Premissas!$C$57)^C310</f>
        <v>0</v>
      </c>
      <c r="H310" s="16" t="n">
        <f aca="false">IF(AND($A310&gt;Premissas!$C$25,$A310&lt;Premissas!$C$27),Premissas!$C$35/MAX(1,Premissas!$C$26),0)</f>
        <v>0</v>
      </c>
      <c r="I310" s="35" t="n">
        <f aca="false">IF(AND($A310&gt;Premissas!$C$25,((YEAR($A310)-YEAR(Premissas!$C$25))*12+MONTH($A310)-MONTH(Premissas!$C$25))&lt;=Premissas!$C$32),((YEAR($A310)-YEAR(Premissas!$C$25))*12+MONTH($A310)-MONTH(Premissas!$C$25)),0)</f>
        <v>0</v>
      </c>
      <c r="J310" s="16" t="n">
        <f aca="false">IF(I310&gt;0,N309*(1+Premissas!$C$59),0)</f>
        <v>0</v>
      </c>
      <c r="K310" s="16" t="n">
        <f aca="false">J310*Premissas!$C$58</f>
        <v>0</v>
      </c>
      <c r="L310" s="16" t="n">
        <f aca="false">IF(I310&gt;0,J310/(Premissas!$C$32-I310+1),0)</f>
        <v>0</v>
      </c>
      <c r="M310" s="16" t="n">
        <f aca="false">K310+L310</f>
        <v>0</v>
      </c>
      <c r="N310" s="16" t="n">
        <f aca="false">IF($A310=Premissas!$C$25,Premissas!$C$13*E310,IF(I310&gt;0,J310-L310,0))</f>
        <v>0</v>
      </c>
      <c r="O310" s="37" t="n">
        <f aca="false">IF($A310&gt;=Premissas!$C$27,Premissas!$C$39*IF(((YEAR($A310)-YEAR(Premissas!$C$27))*12+MONTH($A310)-MONTH(Premissas!$C$27))&lt;Premissas!$C$41,Premissas!$C$42,1),0)</f>
        <v>0.62</v>
      </c>
      <c r="P310" s="16" t="n">
        <f aca="false">O310*Premissas!$C$38*Premissas!$C$40*(1+Premissas!$C$60)^((YEAR($A310)-YEAR(Premissas!$C$19))*12+MONTH($A310)-MONTH(Premissas!$C$19))</f>
        <v>11592.3500638372</v>
      </c>
      <c r="Q310" s="16" t="n">
        <f aca="false">P310*Premissas!$C$43</f>
        <v>1854.77601021395</v>
      </c>
      <c r="R310" s="16" t="n">
        <f aca="false">P310*Premissas!$C$44</f>
        <v>2318.47001276744</v>
      </c>
      <c r="S310" s="16" t="n">
        <f aca="false">IF($A310&gt;=Premissas!$C$25,Premissas!$C$45*(1+Premissas!$C$60)^((YEAR($A310)-YEAR(Premissas!$C$19))*12+MONTH($A310)-MONTH(Premissas!$C$19)),0)</f>
        <v>2032.31943615659</v>
      </c>
      <c r="T310" s="16" t="n">
        <f aca="false">IF($A310&gt;=Premissas!$C$27,Premissas!$C$46*(1+Premissas!$C$60)^((YEAR($A310)-YEAR(Premissas!$C$19))*12+MONTH($A310)-MONTH(Premissas!$C$19)),0)</f>
        <v>812.927774462637</v>
      </c>
      <c r="U310" s="16" t="n">
        <f aca="false">IF($A310&gt;=Premissas!$C$27,Premissas!$C$47*(1+Premissas!$C$60)^((YEAR($A310)-YEAR(Premissas!$C$19))*12+MONTH($A310)-MONTH(Premissas!$C$19)),0)</f>
        <v>406.463887231319</v>
      </c>
      <c r="V310" s="16" t="n">
        <f aca="false">IF($A310&gt;=Premissas!$C$27,MAX(0,P310-Q310-R310-S310)*Premissas!$C$49,0)</f>
        <v>1481.36576629229</v>
      </c>
      <c r="W310" s="16" t="n">
        <f aca="false">P310-Q310-R310-S310-T310-U310-V310</f>
        <v>2686.02717671298</v>
      </c>
      <c r="X310" s="16" t="n">
        <f aca="false">W310-F310-G310-H310-M310</f>
        <v>2686.02717671298</v>
      </c>
      <c r="Y310" s="16" t="n">
        <f aca="false">Y309+X310</f>
        <v>-398388.571775016</v>
      </c>
      <c r="Z310" s="16" t="n">
        <f aca="false">Premissas!$C$14*(1+Premissas!$C$57)^((YEAR(Premissas!$C$19)-YEAR(Premissas!$C$18))*12+MONTH(Premissas!$C$19)-MONTH(Premissas!$C$18))*(1+Premissas!$C$61)^((YEAR($A310)-YEAR(Premissas!$C$19))*12+MONTH($A310)-MONTH(Premissas!$C$19))</f>
        <v>1652677.8448044</v>
      </c>
      <c r="AA310" s="16" t="n">
        <f aca="false">IF($A310&gt;=Premissas!$C$25,Z310*(1-Premissas!$C$53)-N310-Premissas!$C$54*MAX(0,Z310*(1-Premissas!$C$53)-(Premissas!$C$14*(1+Premissas!$C$57)^((YEAR(Premissas!$C$25)-YEAR(Premissas!$C$18))*12+MONTH(Premissas!$C$25)-MONTH(Premissas!$C$18))*(1+Premissas!$C$34))),"")</f>
        <v>1401691.80751038</v>
      </c>
      <c r="AB310" s="16" t="n">
        <f aca="false">IF($A310&gt;=Premissas!$C$25,Y310+AA310,"")</f>
        <v>1003303.23573536</v>
      </c>
      <c r="AC310" s="20" t="n">
        <f aca="false">IF(AND($A310&gt;=Premissas!$C$27,W310&gt;=M310),$A310,"")</f>
        <v>55671</v>
      </c>
      <c r="AD310" s="20" t="str">
        <f aca="false">IF(AND($A310&gt;=Premissas!$C$27,Y310&gt;=0),$A310,"")</f>
        <v/>
      </c>
      <c r="AE310" s="20" t="n">
        <f aca="false">IF(AND($A310&gt;=Premissas!$C$25,N(AB310)&gt;=0),$A310,"")</f>
        <v>55671</v>
      </c>
    </row>
    <row r="311" customFormat="false" ht="15" hidden="false" customHeight="false" outlineLevel="0" collapsed="false">
      <c r="A311" s="20" t="n">
        <f aca="false">DATE(YEAR(A310),MONTH(A310)+1,1)</f>
        <v>55701</v>
      </c>
      <c r="B311" s="5" t="str">
        <f aca="false">IF($A311&lt;Premissas!$C$25,"Obra",IF($A311=Premissas!$C$25,"Chaves",IF($A311&lt;Premissas!$C$27,"Mobiliando","Airbnb")))</f>
        <v>Airbnb</v>
      </c>
      <c r="C311" s="35" t="n">
        <f aca="false">(YEAR($A311)-YEAR(Premissas!$C$18))*12+MONTH($A311)-MONTH(Premissas!$C$18)</f>
        <v>310</v>
      </c>
      <c r="D311" s="16" t="n">
        <f aca="false">($A311=Premissas!$C$19)*Premissas!$C$8+(($A311=EDATE(Premissas!$C$19,1))+($A311=EDATE(Premissas!$C$19,2)))*Premissas!$C$9+AND($A311&gt;=Premissas!$C$20,$A311&lt;EDATE(Premissas!$C$20,Premissas!$C$21))*Premissas!$C$10+(($A311=Premissas!$C$22)+($A311=Premissas!$C$23)+($A311=Premissas!$C$24))*Premissas!$C$11+($A311=Premissas!$C$25)*Premissas!$C$12</f>
        <v>0</v>
      </c>
      <c r="E311" s="36" t="n">
        <f aca="false">(1+Premissas!$C$57)^C311</f>
        <v>3.98738839487866</v>
      </c>
      <c r="F311" s="16" t="n">
        <f aca="false">D311*E311</f>
        <v>0</v>
      </c>
      <c r="G311" s="16" t="n">
        <f aca="false">($A311=Premissas!$C$25)*Premissas!$C$34*Premissas!$C$14*(1+Premissas!$C$57)^C311</f>
        <v>0</v>
      </c>
      <c r="H311" s="16" t="n">
        <f aca="false">IF(AND($A311&gt;Premissas!$C$25,$A311&lt;Premissas!$C$27),Premissas!$C$35/MAX(1,Premissas!$C$26),0)</f>
        <v>0</v>
      </c>
      <c r="I311" s="35" t="n">
        <f aca="false">IF(AND($A311&gt;Premissas!$C$25,((YEAR($A311)-YEAR(Premissas!$C$25))*12+MONTH($A311)-MONTH(Premissas!$C$25))&lt;=Premissas!$C$32),((YEAR($A311)-YEAR(Premissas!$C$25))*12+MONTH($A311)-MONTH(Premissas!$C$25)),0)</f>
        <v>0</v>
      </c>
      <c r="J311" s="16" t="n">
        <f aca="false">IF(I311&gt;0,N310*(1+Premissas!$C$59),0)</f>
        <v>0</v>
      </c>
      <c r="K311" s="16" t="n">
        <f aca="false">J311*Premissas!$C$58</f>
        <v>0</v>
      </c>
      <c r="L311" s="16" t="n">
        <f aca="false">IF(I311&gt;0,J311/(Premissas!$C$32-I311+1),0)</f>
        <v>0</v>
      </c>
      <c r="M311" s="16" t="n">
        <f aca="false">K311+L311</f>
        <v>0</v>
      </c>
      <c r="N311" s="16" t="n">
        <f aca="false">IF($A311=Premissas!$C$25,Premissas!$C$13*E311,IF(I311&gt;0,J311-L311,0))</f>
        <v>0</v>
      </c>
      <c r="O311" s="37" t="n">
        <f aca="false">IF($A311&gt;=Premissas!$C$27,Premissas!$C$39*IF(((YEAR($A311)-YEAR(Premissas!$C$27))*12+MONTH($A311)-MONTH(Premissas!$C$27))&lt;Premissas!$C$41,Premissas!$C$42,1),0)</f>
        <v>0.62</v>
      </c>
      <c r="P311" s="16" t="n">
        <f aca="false">O311*Premissas!$C$38*Premissas!$C$40*(1+Premissas!$C$60)^((YEAR($A311)-YEAR(Premissas!$C$19))*12+MONTH($A311)-MONTH(Premissas!$C$19))</f>
        <v>11630.3004014104</v>
      </c>
      <c r="Q311" s="16" t="n">
        <f aca="false">P311*Premissas!$C$43</f>
        <v>1860.84806422566</v>
      </c>
      <c r="R311" s="16" t="n">
        <f aca="false">P311*Premissas!$C$44</f>
        <v>2326.06008028207</v>
      </c>
      <c r="S311" s="16" t="n">
        <f aca="false">IF($A311&gt;=Premissas!$C$25,Premissas!$C$45*(1+Premissas!$C$60)^((YEAR($A311)-YEAR(Premissas!$C$19))*12+MONTH($A311)-MONTH(Premissas!$C$19)),0)</f>
        <v>2038.97272114488</v>
      </c>
      <c r="T311" s="16" t="n">
        <f aca="false">IF($A311&gt;=Premissas!$C$27,Premissas!$C$46*(1+Premissas!$C$60)^((YEAR($A311)-YEAR(Premissas!$C$19))*12+MONTH($A311)-MONTH(Premissas!$C$19)),0)</f>
        <v>815.58908845795</v>
      </c>
      <c r="U311" s="16" t="n">
        <f aca="false">IF($A311&gt;=Premissas!$C$27,Premissas!$C$47*(1+Premissas!$C$60)^((YEAR($A311)-YEAR(Premissas!$C$19))*12+MONTH($A311)-MONTH(Premissas!$C$19)),0)</f>
        <v>407.794544228975</v>
      </c>
      <c r="V311" s="16" t="n">
        <f aca="false">IF($A311&gt;=Premissas!$C$27,MAX(0,P311-Q311-R311-S311)*Premissas!$C$49,0)</f>
        <v>1486.21537233338</v>
      </c>
      <c r="W311" s="16" t="n">
        <f aca="false">P311-Q311-R311-S311-T311-U311-V311</f>
        <v>2694.82053073745</v>
      </c>
      <c r="X311" s="16" t="n">
        <f aca="false">W311-F311-G311-H311-M311</f>
        <v>2694.82053073745</v>
      </c>
      <c r="Y311" s="16" t="n">
        <f aca="false">Y310+X311</f>
        <v>-395693.751244279</v>
      </c>
      <c r="Z311" s="16" t="n">
        <f aca="false">Premissas!$C$14*(1+Premissas!$C$57)^((YEAR(Premissas!$C$19)-YEAR(Premissas!$C$18))*12+MONTH(Premissas!$C$19)-MONTH(Premissas!$C$18))*(1+Premissas!$C$61)^((YEAR($A311)-YEAR(Premissas!$C$19))*12+MONTH($A311)-MONTH(Premissas!$C$19))</f>
        <v>1659411.05891862</v>
      </c>
      <c r="AA311" s="16" t="n">
        <f aca="false">IF($A311&gt;=Premissas!$C$25,Z311*(1-Premissas!$C$53)-N311-Premissas!$C$54*MAX(0,Z311*(1-Premissas!$C$53)-(Premissas!$C$14*(1+Premissas!$C$57)^((YEAR(Premissas!$C$25)-YEAR(Premissas!$C$18))*12+MONTH(Premissas!$C$25)-MONTH(Premissas!$C$18))*(1+Premissas!$C$34))),"")</f>
        <v>1407071.64558765</v>
      </c>
      <c r="AB311" s="16" t="n">
        <f aca="false">IF($A311&gt;=Premissas!$C$25,Y311+AA311,"")</f>
        <v>1011377.89434337</v>
      </c>
      <c r="AC311" s="20" t="n">
        <f aca="false">IF(AND($A311&gt;=Premissas!$C$27,W311&gt;=M311),$A311,"")</f>
        <v>55701</v>
      </c>
      <c r="AD311" s="20" t="str">
        <f aca="false">IF(AND($A311&gt;=Premissas!$C$27,Y311&gt;=0),$A311,"")</f>
        <v/>
      </c>
      <c r="AE311" s="20" t="n">
        <f aca="false">IF(AND($A311&gt;=Premissas!$C$25,N(AB311)&gt;=0),$A311,"")</f>
        <v>55701</v>
      </c>
    </row>
    <row r="312" customFormat="false" ht="15" hidden="false" customHeight="false" outlineLevel="0" collapsed="false">
      <c r="A312" s="20" t="n">
        <f aca="false">DATE(YEAR(A311),MONTH(A311)+1,1)</f>
        <v>55732</v>
      </c>
      <c r="B312" s="5" t="str">
        <f aca="false">IF($A312&lt;Premissas!$C$25,"Obra",IF($A312=Premissas!$C$25,"Chaves",IF($A312&lt;Premissas!$C$27,"Mobiliando","Airbnb")))</f>
        <v>Airbnb</v>
      </c>
      <c r="C312" s="35" t="n">
        <f aca="false">(YEAR($A312)-YEAR(Premissas!$C$18))*12+MONTH($A312)-MONTH(Premissas!$C$18)</f>
        <v>311</v>
      </c>
      <c r="D312" s="16" t="n">
        <f aca="false">($A312=Premissas!$C$19)*Premissas!$C$8+(($A312=EDATE(Premissas!$C$19,1))+($A312=EDATE(Premissas!$C$19,2)))*Premissas!$C$9+AND($A312&gt;=Premissas!$C$20,$A312&lt;EDATE(Premissas!$C$20,Premissas!$C$21))*Premissas!$C$10+(($A312=Premissas!$C$22)+($A312=Premissas!$C$23)+($A312=Premissas!$C$24))*Premissas!$C$11+($A312=Premissas!$C$25)*Premissas!$C$12</f>
        <v>0</v>
      </c>
      <c r="E312" s="36" t="n">
        <f aca="false">(1+Premissas!$C$57)^C312</f>
        <v>4.00521879524587</v>
      </c>
      <c r="F312" s="16" t="n">
        <f aca="false">D312*E312</f>
        <v>0</v>
      </c>
      <c r="G312" s="16" t="n">
        <f aca="false">($A312=Premissas!$C$25)*Premissas!$C$34*Premissas!$C$14*(1+Premissas!$C$57)^C312</f>
        <v>0</v>
      </c>
      <c r="H312" s="16" t="n">
        <f aca="false">IF(AND($A312&gt;Premissas!$C$25,$A312&lt;Premissas!$C$27),Premissas!$C$35/MAX(1,Premissas!$C$26),0)</f>
        <v>0</v>
      </c>
      <c r="I312" s="35" t="n">
        <f aca="false">IF(AND($A312&gt;Premissas!$C$25,((YEAR($A312)-YEAR(Premissas!$C$25))*12+MONTH($A312)-MONTH(Premissas!$C$25))&lt;=Premissas!$C$32),((YEAR($A312)-YEAR(Premissas!$C$25))*12+MONTH($A312)-MONTH(Premissas!$C$25)),0)</f>
        <v>0</v>
      </c>
      <c r="J312" s="16" t="n">
        <f aca="false">IF(I312&gt;0,N311*(1+Premissas!$C$59),0)</f>
        <v>0</v>
      </c>
      <c r="K312" s="16" t="n">
        <f aca="false">J312*Premissas!$C$58</f>
        <v>0</v>
      </c>
      <c r="L312" s="16" t="n">
        <f aca="false">IF(I312&gt;0,J312/(Premissas!$C$32-I312+1),0)</f>
        <v>0</v>
      </c>
      <c r="M312" s="16" t="n">
        <f aca="false">K312+L312</f>
        <v>0</v>
      </c>
      <c r="N312" s="16" t="n">
        <f aca="false">IF($A312=Premissas!$C$25,Premissas!$C$13*E312,IF(I312&gt;0,J312-L312,0))</f>
        <v>0</v>
      </c>
      <c r="O312" s="37" t="n">
        <f aca="false">IF($A312&gt;=Premissas!$C$27,Premissas!$C$39*IF(((YEAR($A312)-YEAR(Premissas!$C$27))*12+MONTH($A312)-MONTH(Premissas!$C$27))&lt;Premissas!$C$41,Premissas!$C$42,1),0)</f>
        <v>0.62</v>
      </c>
      <c r="P312" s="16" t="n">
        <f aca="false">O312*Premissas!$C$38*Premissas!$C$40*(1+Premissas!$C$60)^((YEAR($A312)-YEAR(Premissas!$C$19))*12+MONTH($A312)-MONTH(Premissas!$C$19))</f>
        <v>11668.3749785134</v>
      </c>
      <c r="Q312" s="16" t="n">
        <f aca="false">P312*Premissas!$C$43</f>
        <v>1866.93999656214</v>
      </c>
      <c r="R312" s="16" t="n">
        <f aca="false">P312*Premissas!$C$44</f>
        <v>2333.67499570268</v>
      </c>
      <c r="S312" s="16" t="n">
        <f aca="false">IF($A312&gt;=Premissas!$C$25,Premissas!$C$45*(1+Premissas!$C$60)^((YEAR($A312)-YEAR(Premissas!$C$19))*12+MONTH($A312)-MONTH(Premissas!$C$19)),0)</f>
        <v>2045.64778725691</v>
      </c>
      <c r="T312" s="16" t="n">
        <f aca="false">IF($A312&gt;=Premissas!$C$27,Premissas!$C$46*(1+Premissas!$C$60)^((YEAR($A312)-YEAR(Premissas!$C$19))*12+MONTH($A312)-MONTH(Premissas!$C$19)),0)</f>
        <v>818.259114902762</v>
      </c>
      <c r="U312" s="16" t="n">
        <f aca="false">IF($A312&gt;=Premissas!$C$27,Premissas!$C$47*(1+Premissas!$C$60)^((YEAR($A312)-YEAR(Premissas!$C$19))*12+MONTH($A312)-MONTH(Premissas!$C$19)),0)</f>
        <v>409.129557451381</v>
      </c>
      <c r="V312" s="16" t="n">
        <f aca="false">IF($A312&gt;=Premissas!$C$27,MAX(0,P312-Q312-R312-S312)*Premissas!$C$49,0)</f>
        <v>1491.08085472271</v>
      </c>
      <c r="W312" s="16" t="n">
        <f aca="false">P312-Q312-R312-S312-T312-U312-V312</f>
        <v>2703.64267191481</v>
      </c>
      <c r="X312" s="16" t="n">
        <f aca="false">W312-F312-G312-H312-M312</f>
        <v>2703.64267191481</v>
      </c>
      <c r="Y312" s="16" t="n">
        <f aca="false">Y311+X312</f>
        <v>-392990.108572364</v>
      </c>
      <c r="Z312" s="16" t="n">
        <f aca="false">Premissas!$C$14*(1+Premissas!$C$57)^((YEAR(Premissas!$C$19)-YEAR(Premissas!$C$18))*12+MONTH(Premissas!$C$19)-MONTH(Premissas!$C$18))*(1+Premissas!$C$61)^((YEAR($A312)-YEAR(Premissas!$C$19))*12+MONTH($A312)-MONTH(Premissas!$C$19))</f>
        <v>1666171.70498061</v>
      </c>
      <c r="AA312" s="16" t="n">
        <f aca="false">IF($A312&gt;=Premissas!$C$25,Z312*(1-Premissas!$C$53)-N312-Premissas!$C$54*MAX(0,Z312*(1-Premissas!$C$53)-(Premissas!$C$14*(1+Premissas!$C$57)^((YEAR(Premissas!$C$25)-YEAR(Premissas!$C$18))*12+MONTH(Premissas!$C$25)-MONTH(Premissas!$C$18))*(1+Premissas!$C$34))),"")</f>
        <v>1412473.40179118</v>
      </c>
      <c r="AB312" s="16" t="n">
        <f aca="false">IF($A312&gt;=Premissas!$C$25,Y312+AA312,"")</f>
        <v>1019483.29321881</v>
      </c>
      <c r="AC312" s="20" t="n">
        <f aca="false">IF(AND($A312&gt;=Premissas!$C$27,W312&gt;=M312),$A312,"")</f>
        <v>55732</v>
      </c>
      <c r="AD312" s="20" t="str">
        <f aca="false">IF(AND($A312&gt;=Premissas!$C$27,Y312&gt;=0),$A312,"")</f>
        <v/>
      </c>
      <c r="AE312" s="20" t="n">
        <f aca="false">IF(AND($A312&gt;=Premissas!$C$25,N(AB312)&gt;=0),$A312,"")</f>
        <v>55732</v>
      </c>
    </row>
    <row r="313" customFormat="false" ht="15" hidden="false" customHeight="false" outlineLevel="0" collapsed="false">
      <c r="A313" s="20" t="n">
        <f aca="false">DATE(YEAR(A312),MONTH(A312)+1,1)</f>
        <v>55763</v>
      </c>
      <c r="B313" s="5" t="str">
        <f aca="false">IF($A313&lt;Premissas!$C$25,"Obra",IF($A313=Premissas!$C$25,"Chaves",IF($A313&lt;Premissas!$C$27,"Mobiliando","Airbnb")))</f>
        <v>Airbnb</v>
      </c>
      <c r="C313" s="35" t="n">
        <f aca="false">(YEAR($A313)-YEAR(Premissas!$C$18))*12+MONTH($A313)-MONTH(Premissas!$C$18)</f>
        <v>312</v>
      </c>
      <c r="D313" s="16" t="n">
        <f aca="false">($A313=Premissas!$C$19)*Premissas!$C$8+(($A313=EDATE(Premissas!$C$19,1))+($A313=EDATE(Premissas!$C$19,2)))*Premissas!$C$9+AND($A313&gt;=Premissas!$C$20,$A313&lt;EDATE(Premissas!$C$20,Premissas!$C$21))*Premissas!$C$10+(($A313=Premissas!$C$22)+($A313=Premissas!$C$23)+($A313=Premissas!$C$24))*Premissas!$C$11+($A313=Premissas!$C$25)*Premissas!$C$12</f>
        <v>0</v>
      </c>
      <c r="E313" s="36" t="n">
        <f aca="false">(1+Premissas!$C$57)^C313</f>
        <v>4.02312892779509</v>
      </c>
      <c r="F313" s="16" t="n">
        <f aca="false">D313*E313</f>
        <v>0</v>
      </c>
      <c r="G313" s="16" t="n">
        <f aca="false">($A313=Premissas!$C$25)*Premissas!$C$34*Premissas!$C$14*(1+Premissas!$C$57)^C313</f>
        <v>0</v>
      </c>
      <c r="H313" s="16" t="n">
        <f aca="false">IF(AND($A313&gt;Premissas!$C$25,$A313&lt;Premissas!$C$27),Premissas!$C$35/MAX(1,Premissas!$C$26),0)</f>
        <v>0</v>
      </c>
      <c r="I313" s="35" t="n">
        <f aca="false">IF(AND($A313&gt;Premissas!$C$25,((YEAR($A313)-YEAR(Premissas!$C$25))*12+MONTH($A313)-MONTH(Premissas!$C$25))&lt;=Premissas!$C$32),((YEAR($A313)-YEAR(Premissas!$C$25))*12+MONTH($A313)-MONTH(Premissas!$C$25)),0)</f>
        <v>0</v>
      </c>
      <c r="J313" s="16" t="n">
        <f aca="false">IF(I313&gt;0,N312*(1+Premissas!$C$59),0)</f>
        <v>0</v>
      </c>
      <c r="K313" s="16" t="n">
        <f aca="false">J313*Premissas!$C$58</f>
        <v>0</v>
      </c>
      <c r="L313" s="16" t="n">
        <f aca="false">IF(I313&gt;0,J313/(Premissas!$C$32-I313+1),0)</f>
        <v>0</v>
      </c>
      <c r="M313" s="16" t="n">
        <f aca="false">K313+L313</f>
        <v>0</v>
      </c>
      <c r="N313" s="16" t="n">
        <f aca="false">IF($A313=Premissas!$C$25,Premissas!$C$13*E313,IF(I313&gt;0,J313-L313,0))</f>
        <v>0</v>
      </c>
      <c r="O313" s="37" t="n">
        <f aca="false">IF($A313&gt;=Premissas!$C$27,Premissas!$C$39*IF(((YEAR($A313)-YEAR(Premissas!$C$27))*12+MONTH($A313)-MONTH(Premissas!$C$27))&lt;Premissas!$C$41,Premissas!$C$42,1),0)</f>
        <v>0.62</v>
      </c>
      <c r="P313" s="16" t="n">
        <f aca="false">O313*Premissas!$C$38*Premissas!$C$40*(1+Premissas!$C$60)^((YEAR($A313)-YEAR(Premissas!$C$19))*12+MONTH($A313)-MONTH(Premissas!$C$19))</f>
        <v>11706.5742018742</v>
      </c>
      <c r="Q313" s="16" t="n">
        <f aca="false">P313*Premissas!$C$43</f>
        <v>1873.05187229987</v>
      </c>
      <c r="R313" s="16" t="n">
        <f aca="false">P313*Premissas!$C$44</f>
        <v>2341.31484037483</v>
      </c>
      <c r="S313" s="16" t="n">
        <f aca="false">IF($A313&gt;=Premissas!$C$25,Premissas!$C$45*(1+Premissas!$C$60)^((YEAR($A313)-YEAR(Premissas!$C$19))*12+MONTH($A313)-MONTH(Premissas!$C$19)),0)</f>
        <v>2052.34470579842</v>
      </c>
      <c r="T313" s="16" t="n">
        <f aca="false">IF($A313&gt;=Premissas!$C$27,Premissas!$C$46*(1+Premissas!$C$60)^((YEAR($A313)-YEAR(Premissas!$C$19))*12+MONTH($A313)-MONTH(Premissas!$C$19)),0)</f>
        <v>820.937882319366</v>
      </c>
      <c r="U313" s="16" t="n">
        <f aca="false">IF($A313&gt;=Premissas!$C$27,Premissas!$C$47*(1+Premissas!$C$60)^((YEAR($A313)-YEAR(Premissas!$C$19))*12+MONTH($A313)-MONTH(Premissas!$C$19)),0)</f>
        <v>410.468941159683</v>
      </c>
      <c r="V313" s="16" t="n">
        <f aca="false">IF($A313&gt;=Premissas!$C$27,MAX(0,P313-Q313-R313-S313)*Premissas!$C$49,0)</f>
        <v>1495.96226543529</v>
      </c>
      <c r="W313" s="16" t="n">
        <f aca="false">P313-Q313-R313-S313-T313-U313-V313</f>
        <v>2712.49369448671</v>
      </c>
      <c r="X313" s="16" t="n">
        <f aca="false">W313-F313-G313-H313-M313</f>
        <v>2712.49369448671</v>
      </c>
      <c r="Y313" s="16" t="n">
        <f aca="false">Y312+X313</f>
        <v>-390277.614877877</v>
      </c>
      <c r="Z313" s="16" t="n">
        <f aca="false">Premissas!$C$14*(1+Premissas!$C$57)^((YEAR(Premissas!$C$19)-YEAR(Premissas!$C$18))*12+MONTH(Premissas!$C$19)-MONTH(Premissas!$C$18))*(1+Premissas!$C$61)^((YEAR($A313)-YEAR(Premissas!$C$19))*12+MONTH($A313)-MONTH(Premissas!$C$19))</f>
        <v>1672959.89475152</v>
      </c>
      <c r="AA313" s="16" t="n">
        <f aca="false">IF($A313&gt;=Premissas!$C$25,Z313*(1-Premissas!$C$53)-N313-Premissas!$C$54*MAX(0,Z313*(1-Premissas!$C$53)-(Premissas!$C$14*(1+Premissas!$C$57)^((YEAR(Premissas!$C$25)-YEAR(Premissas!$C$18))*12+MONTH(Premissas!$C$25)-MONTH(Premissas!$C$18))*(1+Premissas!$C$34))),"")</f>
        <v>1417897.16541813</v>
      </c>
      <c r="AB313" s="16" t="n">
        <f aca="false">IF($A313&gt;=Premissas!$C$25,Y313+AA313,"")</f>
        <v>1027619.55054025</v>
      </c>
      <c r="AC313" s="20" t="n">
        <f aca="false">IF(AND($A313&gt;=Premissas!$C$27,W313&gt;=M313),$A313,"")</f>
        <v>55763</v>
      </c>
      <c r="AD313" s="20" t="str">
        <f aca="false">IF(AND($A313&gt;=Premissas!$C$27,Y313&gt;=0),$A313,"")</f>
        <v/>
      </c>
      <c r="AE313" s="20" t="n">
        <f aca="false">IF(AND($A313&gt;=Premissas!$C$25,N(AB313)&gt;=0),$A313,"")</f>
        <v>55763</v>
      </c>
    </row>
    <row r="314" customFormat="false" ht="15" hidden="false" customHeight="false" outlineLevel="0" collapsed="false">
      <c r="A314" s="20" t="n">
        <f aca="false">DATE(YEAR(A313),MONTH(A313)+1,1)</f>
        <v>55793</v>
      </c>
      <c r="B314" s="5" t="str">
        <f aca="false">IF($A314&lt;Premissas!$C$25,"Obra",IF($A314=Premissas!$C$25,"Chaves",IF($A314&lt;Premissas!$C$27,"Mobiliando","Airbnb")))</f>
        <v>Airbnb</v>
      </c>
      <c r="C314" s="35" t="n">
        <f aca="false">(YEAR($A314)-YEAR(Premissas!$C$18))*12+MONTH($A314)-MONTH(Premissas!$C$18)</f>
        <v>313</v>
      </c>
      <c r="D314" s="16" t="n">
        <f aca="false">($A314=Premissas!$C$19)*Premissas!$C$8+(($A314=EDATE(Premissas!$C$19,1))+($A314=EDATE(Premissas!$C$19,2)))*Premissas!$C$9+AND($A314&gt;=Premissas!$C$20,$A314&lt;EDATE(Premissas!$C$20,Premissas!$C$21))*Premissas!$C$10+(($A314=Premissas!$C$22)+($A314=Premissas!$C$23)+($A314=Premissas!$C$24))*Premissas!$C$11+($A314=Premissas!$C$25)*Premissas!$C$12</f>
        <v>0</v>
      </c>
      <c r="E314" s="36" t="n">
        <f aca="false">(1+Premissas!$C$57)^C314</f>
        <v>4.04111914906463</v>
      </c>
      <c r="F314" s="16" t="n">
        <f aca="false">D314*E314</f>
        <v>0</v>
      </c>
      <c r="G314" s="16" t="n">
        <f aca="false">($A314=Premissas!$C$25)*Premissas!$C$34*Premissas!$C$14*(1+Premissas!$C$57)^C314</f>
        <v>0</v>
      </c>
      <c r="H314" s="16" t="n">
        <f aca="false">IF(AND($A314&gt;Premissas!$C$25,$A314&lt;Premissas!$C$27),Premissas!$C$35/MAX(1,Premissas!$C$26),0)</f>
        <v>0</v>
      </c>
      <c r="I314" s="35" t="n">
        <f aca="false">IF(AND($A314&gt;Premissas!$C$25,((YEAR($A314)-YEAR(Premissas!$C$25))*12+MONTH($A314)-MONTH(Premissas!$C$25))&lt;=Premissas!$C$32),((YEAR($A314)-YEAR(Premissas!$C$25))*12+MONTH($A314)-MONTH(Premissas!$C$25)),0)</f>
        <v>0</v>
      </c>
      <c r="J314" s="16" t="n">
        <f aca="false">IF(I314&gt;0,N313*(1+Premissas!$C$59),0)</f>
        <v>0</v>
      </c>
      <c r="K314" s="16" t="n">
        <f aca="false">J314*Premissas!$C$58</f>
        <v>0</v>
      </c>
      <c r="L314" s="16" t="n">
        <f aca="false">IF(I314&gt;0,J314/(Premissas!$C$32-I314+1),0)</f>
        <v>0</v>
      </c>
      <c r="M314" s="16" t="n">
        <f aca="false">K314+L314</f>
        <v>0</v>
      </c>
      <c r="N314" s="16" t="n">
        <f aca="false">IF($A314=Premissas!$C$25,Premissas!$C$13*E314,IF(I314&gt;0,J314-L314,0))</f>
        <v>0</v>
      </c>
      <c r="O314" s="37" t="n">
        <f aca="false">IF($A314&gt;=Premissas!$C$27,Premissas!$C$39*IF(((YEAR($A314)-YEAR(Premissas!$C$27))*12+MONTH($A314)-MONTH(Premissas!$C$27))&lt;Premissas!$C$41,Premissas!$C$42,1),0)</f>
        <v>0.62</v>
      </c>
      <c r="P314" s="16" t="n">
        <f aca="false">O314*Premissas!$C$38*Premissas!$C$40*(1+Premissas!$C$60)^((YEAR($A314)-YEAR(Premissas!$C$19))*12+MONTH($A314)-MONTH(Premissas!$C$19))</f>
        <v>11744.8984795521</v>
      </c>
      <c r="Q314" s="16" t="n">
        <f aca="false">P314*Premissas!$C$43</f>
        <v>1879.18375672834</v>
      </c>
      <c r="R314" s="16" t="n">
        <f aca="false">P314*Premissas!$C$44</f>
        <v>2348.97969591042</v>
      </c>
      <c r="S314" s="16" t="n">
        <f aca="false">IF($A314&gt;=Premissas!$C$25,Premissas!$C$45*(1+Premissas!$C$60)^((YEAR($A314)-YEAR(Premissas!$C$19))*12+MONTH($A314)-MONTH(Premissas!$C$19)),0)</f>
        <v>2059.06354830857</v>
      </c>
      <c r="T314" s="16" t="n">
        <f aca="false">IF($A314&gt;=Premissas!$C$27,Premissas!$C$46*(1+Premissas!$C$60)^((YEAR($A314)-YEAR(Premissas!$C$19))*12+MONTH($A314)-MONTH(Premissas!$C$19)),0)</f>
        <v>823.625419323429</v>
      </c>
      <c r="U314" s="16" t="n">
        <f aca="false">IF($A314&gt;=Premissas!$C$27,Premissas!$C$47*(1+Premissas!$C$60)^((YEAR($A314)-YEAR(Premissas!$C$19))*12+MONTH($A314)-MONTH(Premissas!$C$19)),0)</f>
        <v>411.812709661715</v>
      </c>
      <c r="V314" s="16" t="n">
        <f aca="false">IF($A314&gt;=Premissas!$C$27,MAX(0,P314-Q314-R314-S314)*Premissas!$C$49,0)</f>
        <v>1500.85965661631</v>
      </c>
      <c r="W314" s="16" t="n">
        <f aca="false">P314-Q314-R314-S314-T314-U314-V314</f>
        <v>2721.37369300332</v>
      </c>
      <c r="X314" s="16" t="n">
        <f aca="false">W314-F314-G314-H314-M314</f>
        <v>2721.37369300332</v>
      </c>
      <c r="Y314" s="16" t="n">
        <f aca="false">Y313+X314</f>
        <v>-387556.241184874</v>
      </c>
      <c r="Z314" s="16" t="n">
        <f aca="false">Premissas!$C$14*(1+Premissas!$C$57)^((YEAR(Premissas!$C$19)-YEAR(Premissas!$C$18))*12+MONTH(Premissas!$C$19)-MONTH(Premissas!$C$18))*(1+Premissas!$C$61)^((YEAR($A314)-YEAR(Premissas!$C$19))*12+MONTH($A314)-MONTH(Premissas!$C$19))</f>
        <v>1679775.74044781</v>
      </c>
      <c r="AA314" s="16" t="n">
        <f aca="false">IF($A314&gt;=Premissas!$C$25,Z314*(1-Premissas!$C$53)-N314-Premissas!$C$54*MAX(0,Z314*(1-Premissas!$C$53)-(Premissas!$C$14*(1+Premissas!$C$57)^((YEAR(Premissas!$C$25)-YEAR(Premissas!$C$18))*12+MONTH(Premissas!$C$25)-MONTH(Premissas!$C$18))*(1+Premissas!$C$34))),"")</f>
        <v>1423343.02612947</v>
      </c>
      <c r="AB314" s="16" t="n">
        <f aca="false">IF($A314&gt;=Premissas!$C$25,Y314+AA314,"")</f>
        <v>1035786.78494459</v>
      </c>
      <c r="AC314" s="20" t="n">
        <f aca="false">IF(AND($A314&gt;=Premissas!$C$27,W314&gt;=M314),$A314,"")</f>
        <v>55793</v>
      </c>
      <c r="AD314" s="20" t="str">
        <f aca="false">IF(AND($A314&gt;=Premissas!$C$27,Y314&gt;=0),$A314,"")</f>
        <v/>
      </c>
      <c r="AE314" s="20" t="n">
        <f aca="false">IF(AND($A314&gt;=Premissas!$C$25,N(AB314)&gt;=0),$A314,"")</f>
        <v>55793</v>
      </c>
    </row>
    <row r="315" customFormat="false" ht="15" hidden="false" customHeight="false" outlineLevel="0" collapsed="false">
      <c r="A315" s="20" t="n">
        <f aca="false">DATE(YEAR(A314),MONTH(A314)+1,1)</f>
        <v>55824</v>
      </c>
      <c r="B315" s="5" t="str">
        <f aca="false">IF($A315&lt;Premissas!$C$25,"Obra",IF($A315=Premissas!$C$25,"Chaves",IF($A315&lt;Premissas!$C$27,"Mobiliando","Airbnb")))</f>
        <v>Airbnb</v>
      </c>
      <c r="C315" s="35" t="n">
        <f aca="false">(YEAR($A315)-YEAR(Premissas!$C$18))*12+MONTH($A315)-MONTH(Premissas!$C$18)</f>
        <v>314</v>
      </c>
      <c r="D315" s="16" t="n">
        <f aca="false">($A315=Premissas!$C$19)*Premissas!$C$8+(($A315=EDATE(Premissas!$C$19,1))+($A315=EDATE(Premissas!$C$19,2)))*Premissas!$C$9+AND($A315&gt;=Premissas!$C$20,$A315&lt;EDATE(Premissas!$C$20,Premissas!$C$21))*Premissas!$C$10+(($A315=Premissas!$C$22)+($A315=Premissas!$C$23)+($A315=Premissas!$C$24))*Premissas!$C$11+($A315=Premissas!$C$25)*Premissas!$C$12</f>
        <v>0</v>
      </c>
      <c r="E315" s="36" t="n">
        <f aca="false">(1+Premissas!$C$57)^C315</f>
        <v>4.05918981718715</v>
      </c>
      <c r="F315" s="16" t="n">
        <f aca="false">D315*E315</f>
        <v>0</v>
      </c>
      <c r="G315" s="16" t="n">
        <f aca="false">($A315=Premissas!$C$25)*Premissas!$C$34*Premissas!$C$14*(1+Premissas!$C$57)^C315</f>
        <v>0</v>
      </c>
      <c r="H315" s="16" t="n">
        <f aca="false">IF(AND($A315&gt;Premissas!$C$25,$A315&lt;Premissas!$C$27),Premissas!$C$35/MAX(1,Premissas!$C$26),0)</f>
        <v>0</v>
      </c>
      <c r="I315" s="35" t="n">
        <f aca="false">IF(AND($A315&gt;Premissas!$C$25,((YEAR($A315)-YEAR(Premissas!$C$25))*12+MONTH($A315)-MONTH(Premissas!$C$25))&lt;=Premissas!$C$32),((YEAR($A315)-YEAR(Premissas!$C$25))*12+MONTH($A315)-MONTH(Premissas!$C$25)),0)</f>
        <v>0</v>
      </c>
      <c r="J315" s="16" t="n">
        <f aca="false">IF(I315&gt;0,N314*(1+Premissas!$C$59),0)</f>
        <v>0</v>
      </c>
      <c r="K315" s="16" t="n">
        <f aca="false">J315*Premissas!$C$58</f>
        <v>0</v>
      </c>
      <c r="L315" s="16" t="n">
        <f aca="false">IF(I315&gt;0,J315/(Premissas!$C$32-I315+1),0)</f>
        <v>0</v>
      </c>
      <c r="M315" s="16" t="n">
        <f aca="false">K315+L315</f>
        <v>0</v>
      </c>
      <c r="N315" s="16" t="n">
        <f aca="false">IF($A315=Premissas!$C$25,Premissas!$C$13*E315,IF(I315&gt;0,J315-L315,0))</f>
        <v>0</v>
      </c>
      <c r="O315" s="37" t="n">
        <f aca="false">IF($A315&gt;=Premissas!$C$27,Premissas!$C$39*IF(((YEAR($A315)-YEAR(Premissas!$C$27))*12+MONTH($A315)-MONTH(Premissas!$C$27))&lt;Premissas!$C$41,Premissas!$C$42,1),0)</f>
        <v>0.62</v>
      </c>
      <c r="P315" s="16" t="n">
        <f aca="false">O315*Premissas!$C$38*Premissas!$C$40*(1+Premissas!$C$60)^((YEAR($A315)-YEAR(Premissas!$C$19))*12+MONTH($A315)-MONTH(Premissas!$C$19))</f>
        <v>11783.3482209425</v>
      </c>
      <c r="Q315" s="16" t="n">
        <f aca="false">P315*Premissas!$C$43</f>
        <v>1885.3357153508</v>
      </c>
      <c r="R315" s="16" t="n">
        <f aca="false">P315*Premissas!$C$44</f>
        <v>2356.6696441885</v>
      </c>
      <c r="S315" s="16" t="n">
        <f aca="false">IF($A315&gt;=Premissas!$C$25,Premissas!$C$45*(1+Premissas!$C$60)^((YEAR($A315)-YEAR(Premissas!$C$19))*12+MONTH($A315)-MONTH(Premissas!$C$19)),0)</f>
        <v>2065.80438656075</v>
      </c>
      <c r="T315" s="16" t="n">
        <f aca="false">IF($A315&gt;=Premissas!$C$27,Premissas!$C$46*(1+Premissas!$C$60)^((YEAR($A315)-YEAR(Premissas!$C$19))*12+MONTH($A315)-MONTH(Premissas!$C$19)),0)</f>
        <v>826.321754624299</v>
      </c>
      <c r="U315" s="16" t="n">
        <f aca="false">IF($A315&gt;=Premissas!$C$27,Premissas!$C$47*(1+Premissas!$C$60)^((YEAR($A315)-YEAR(Premissas!$C$19))*12+MONTH($A315)-MONTH(Premissas!$C$19)),0)</f>
        <v>413.160877312149</v>
      </c>
      <c r="V315" s="16" t="n">
        <f aca="false">IF($A315&gt;=Premissas!$C$27,MAX(0,P315-Q315-R315-S315)*Premissas!$C$49,0)</f>
        <v>1505.77308058167</v>
      </c>
      <c r="W315" s="16" t="n">
        <f aca="false">P315-Q315-R315-S315-T315-U315-V315</f>
        <v>2730.28276232433</v>
      </c>
      <c r="X315" s="16" t="n">
        <f aca="false">W315-F315-G315-H315-M315</f>
        <v>2730.28276232433</v>
      </c>
      <c r="Y315" s="16" t="n">
        <f aca="false">Y314+X315</f>
        <v>-384825.95842255</v>
      </c>
      <c r="Z315" s="16" t="n">
        <f aca="false">Premissas!$C$14*(1+Premissas!$C$57)^((YEAR(Premissas!$C$19)-YEAR(Premissas!$C$18))*12+MONTH(Premissas!$C$19)-MONTH(Premissas!$C$18))*(1+Premissas!$C$61)^((YEAR($A315)-YEAR(Premissas!$C$19))*12+MONTH($A315)-MONTH(Premissas!$C$19))</f>
        <v>1686619.35474317</v>
      </c>
      <c r="AA315" s="16" t="n">
        <f aca="false">IF($A315&gt;=Premissas!$C$25,Z315*(1-Premissas!$C$53)-N315-Premissas!$C$54*MAX(0,Z315*(1-Premissas!$C$53)-(Premissas!$C$14*(1+Premissas!$C$57)^((YEAR(Premissas!$C$25)-YEAR(Premissas!$C$18))*12+MONTH(Premissas!$C$25)-MONTH(Premissas!$C$18))*(1+Premissas!$C$34))),"")</f>
        <v>1428811.07395146</v>
      </c>
      <c r="AB315" s="16" t="n">
        <f aca="false">IF($A315&gt;=Premissas!$C$25,Y315+AA315,"")</f>
        <v>1043985.11552891</v>
      </c>
      <c r="AC315" s="20" t="n">
        <f aca="false">IF(AND($A315&gt;=Premissas!$C$27,W315&gt;=M315),$A315,"")</f>
        <v>55824</v>
      </c>
      <c r="AD315" s="20" t="str">
        <f aca="false">IF(AND($A315&gt;=Premissas!$C$27,Y315&gt;=0),$A315,"")</f>
        <v/>
      </c>
      <c r="AE315" s="20" t="n">
        <f aca="false">IF(AND($A315&gt;=Premissas!$C$25,N(AB315)&gt;=0),$A315,"")</f>
        <v>55824</v>
      </c>
    </row>
    <row r="316" customFormat="false" ht="15" hidden="false" customHeight="false" outlineLevel="0" collapsed="false">
      <c r="A316" s="20" t="n">
        <f aca="false">DATE(YEAR(A315),MONTH(A315)+1,1)</f>
        <v>55854</v>
      </c>
      <c r="B316" s="5" t="str">
        <f aca="false">IF($A316&lt;Premissas!$C$25,"Obra",IF($A316=Premissas!$C$25,"Chaves",IF($A316&lt;Premissas!$C$27,"Mobiliando","Airbnb")))</f>
        <v>Airbnb</v>
      </c>
      <c r="C316" s="35" t="n">
        <f aca="false">(YEAR($A316)-YEAR(Premissas!$C$18))*12+MONTH($A316)-MONTH(Premissas!$C$18)</f>
        <v>315</v>
      </c>
      <c r="D316" s="16" t="n">
        <f aca="false">($A316=Premissas!$C$19)*Premissas!$C$8+(($A316=EDATE(Premissas!$C$19,1))+($A316=EDATE(Premissas!$C$19,2)))*Premissas!$C$9+AND($A316&gt;=Premissas!$C$20,$A316&lt;EDATE(Premissas!$C$20,Premissas!$C$21))*Premissas!$C$10+(($A316=Premissas!$C$22)+($A316=Premissas!$C$23)+($A316=Premissas!$C$24))*Premissas!$C$11+($A316=Premissas!$C$25)*Premissas!$C$12</f>
        <v>0</v>
      </c>
      <c r="E316" s="36" t="n">
        <f aca="false">(1+Premissas!$C$57)^C316</f>
        <v>4.07734129189674</v>
      </c>
      <c r="F316" s="16" t="n">
        <f aca="false">D316*E316</f>
        <v>0</v>
      </c>
      <c r="G316" s="16" t="n">
        <f aca="false">($A316=Premissas!$C$25)*Premissas!$C$34*Premissas!$C$14*(1+Premissas!$C$57)^C316</f>
        <v>0</v>
      </c>
      <c r="H316" s="16" t="n">
        <f aca="false">IF(AND($A316&gt;Premissas!$C$25,$A316&lt;Premissas!$C$27),Premissas!$C$35/MAX(1,Premissas!$C$26),0)</f>
        <v>0</v>
      </c>
      <c r="I316" s="35" t="n">
        <f aca="false">IF(AND($A316&gt;Premissas!$C$25,((YEAR($A316)-YEAR(Premissas!$C$25))*12+MONTH($A316)-MONTH(Premissas!$C$25))&lt;=Premissas!$C$32),((YEAR($A316)-YEAR(Premissas!$C$25))*12+MONTH($A316)-MONTH(Premissas!$C$25)),0)</f>
        <v>0</v>
      </c>
      <c r="J316" s="16" t="n">
        <f aca="false">IF(I316&gt;0,N315*(1+Premissas!$C$59),0)</f>
        <v>0</v>
      </c>
      <c r="K316" s="16" t="n">
        <f aca="false">J316*Premissas!$C$58</f>
        <v>0</v>
      </c>
      <c r="L316" s="16" t="n">
        <f aca="false">IF(I316&gt;0,J316/(Premissas!$C$32-I316+1),0)</f>
        <v>0</v>
      </c>
      <c r="M316" s="16" t="n">
        <f aca="false">K316+L316</f>
        <v>0</v>
      </c>
      <c r="N316" s="16" t="n">
        <f aca="false">IF($A316=Premissas!$C$25,Premissas!$C$13*E316,IF(I316&gt;0,J316-L316,0))</f>
        <v>0</v>
      </c>
      <c r="O316" s="37" t="n">
        <f aca="false">IF($A316&gt;=Premissas!$C$27,Premissas!$C$39*IF(((YEAR($A316)-YEAR(Premissas!$C$27))*12+MONTH($A316)-MONTH(Premissas!$C$27))&lt;Premissas!$C$41,Premissas!$C$42,1),0)</f>
        <v>0.62</v>
      </c>
      <c r="P316" s="16" t="n">
        <f aca="false">O316*Premissas!$C$38*Premissas!$C$40*(1+Premissas!$C$60)^((YEAR($A316)-YEAR(Premissas!$C$19))*12+MONTH($A316)-MONTH(Premissas!$C$19))</f>
        <v>11821.9238367809</v>
      </c>
      <c r="Q316" s="16" t="n">
        <f aca="false">P316*Premissas!$C$43</f>
        <v>1891.50781388494</v>
      </c>
      <c r="R316" s="16" t="n">
        <f aca="false">P316*Premissas!$C$44</f>
        <v>2364.38476735618</v>
      </c>
      <c r="S316" s="16" t="n">
        <f aca="false">IF($A316&gt;=Premissas!$C$25,Premissas!$C$45*(1+Premissas!$C$60)^((YEAR($A316)-YEAR(Premissas!$C$19))*12+MONTH($A316)-MONTH(Premissas!$C$19)),0)</f>
        <v>2072.56729256327</v>
      </c>
      <c r="T316" s="16" t="n">
        <f aca="false">IF($A316&gt;=Premissas!$C$27,Premissas!$C$46*(1+Premissas!$C$60)^((YEAR($A316)-YEAR(Premissas!$C$19))*12+MONTH($A316)-MONTH(Premissas!$C$19)),0)</f>
        <v>829.026917025309</v>
      </c>
      <c r="U316" s="16" t="n">
        <f aca="false">IF($A316&gt;=Premissas!$C$27,Premissas!$C$47*(1+Premissas!$C$60)^((YEAR($A316)-YEAR(Premissas!$C$19))*12+MONTH($A316)-MONTH(Premissas!$C$19)),0)</f>
        <v>414.513458512654</v>
      </c>
      <c r="V316" s="16" t="n">
        <f aca="false">IF($A316&gt;=Premissas!$C$27,MAX(0,P316-Q316-R316-S316)*Premissas!$C$49,0)</f>
        <v>1510.70258981854</v>
      </c>
      <c r="W316" s="16" t="n">
        <f aca="false">P316-Q316-R316-S316-T316-U316-V316</f>
        <v>2739.22099762</v>
      </c>
      <c r="X316" s="16" t="n">
        <f aca="false">W316-F316-G316-H316-M316</f>
        <v>2739.22099762</v>
      </c>
      <c r="Y316" s="16" t="n">
        <f aca="false">Y315+X316</f>
        <v>-382086.73742493</v>
      </c>
      <c r="Z316" s="16" t="n">
        <f aca="false">Premissas!$C$14*(1+Premissas!$C$57)^((YEAR(Premissas!$C$19)-YEAR(Premissas!$C$18))*12+MONTH(Premissas!$C$19)-MONTH(Premissas!$C$18))*(1+Premissas!$C$61)^((YEAR($A316)-YEAR(Premissas!$C$19))*12+MONTH($A316)-MONTH(Premissas!$C$19))</f>
        <v>1693490.85077029</v>
      </c>
      <c r="AA316" s="16" t="n">
        <f aca="false">IF($A316&gt;=Premissas!$C$25,Z316*(1-Premissas!$C$53)-N316-Premissas!$C$54*MAX(0,Z316*(1-Premissas!$C$53)-(Premissas!$C$14*(1+Premissas!$C$57)^((YEAR(Premissas!$C$25)-YEAR(Premissas!$C$18))*12+MONTH(Premissas!$C$25)-MONTH(Premissas!$C$18))*(1+Premissas!$C$34))),"")</f>
        <v>1434301.39927713</v>
      </c>
      <c r="AB316" s="16" t="n">
        <f aca="false">IF($A316&gt;=Premissas!$C$25,Y316+AA316,"")</f>
        <v>1052214.6618522</v>
      </c>
      <c r="AC316" s="20" t="n">
        <f aca="false">IF(AND($A316&gt;=Premissas!$C$27,W316&gt;=M316),$A316,"")</f>
        <v>55854</v>
      </c>
      <c r="AD316" s="20" t="str">
        <f aca="false">IF(AND($A316&gt;=Premissas!$C$27,Y316&gt;=0),$A316,"")</f>
        <v/>
      </c>
      <c r="AE316" s="20" t="n">
        <f aca="false">IF(AND($A316&gt;=Premissas!$C$25,N(AB316)&gt;=0),$A316,"")</f>
        <v>55854</v>
      </c>
    </row>
    <row r="317" customFormat="false" ht="15" hidden="false" customHeight="false" outlineLevel="0" collapsed="false">
      <c r="A317" s="29" t="n">
        <f aca="false">DATE(YEAR(A316),MONTH(A316)+1,1)</f>
        <v>55885</v>
      </c>
      <c r="B317" s="30" t="str">
        <f aca="false">IF($A317&lt;Premissas!$C$25,"Obra",IF($A317=Premissas!$C$25,"Chaves",IF($A317&lt;Premissas!$C$27,"Mobiliando","Airbnb")))</f>
        <v>Airbnb</v>
      </c>
      <c r="C317" s="31" t="n">
        <f aca="false">(YEAR($A317)-YEAR(Premissas!$C$18))*12+MONTH($A317)-MONTH(Premissas!$C$18)</f>
        <v>316</v>
      </c>
      <c r="D317" s="32" t="n">
        <f aca="false">($A317=Premissas!$C$19)*Premissas!$C$8+(($A317=EDATE(Premissas!$C$19,1))+($A317=EDATE(Premissas!$C$19,2)))*Premissas!$C$9+AND($A317&gt;=Premissas!$C$20,$A317&lt;EDATE(Premissas!$C$20,Premissas!$C$21))*Premissas!$C$10+(($A317=Premissas!$C$22)+($A317=Premissas!$C$23)+($A317=Premissas!$C$24))*Premissas!$C$11+($A317=Premissas!$C$25)*Premissas!$C$12</f>
        <v>0</v>
      </c>
      <c r="E317" s="33" t="n">
        <f aca="false">(1+Premissas!$C$57)^C317</f>
        <v>4.09557393453612</v>
      </c>
      <c r="F317" s="32" t="n">
        <f aca="false">D317*E317</f>
        <v>0</v>
      </c>
      <c r="G317" s="32" t="n">
        <f aca="false">($A317=Premissas!$C$25)*Premissas!$C$34*Premissas!$C$14*(1+Premissas!$C$57)^C317</f>
        <v>0</v>
      </c>
      <c r="H317" s="32" t="n">
        <f aca="false">IF(AND($A317&gt;Premissas!$C$25,$A317&lt;Premissas!$C$27),Premissas!$C$35/MAX(1,Premissas!$C$26),0)</f>
        <v>0</v>
      </c>
      <c r="I317" s="31" t="n">
        <f aca="false">IF(AND($A317&gt;Premissas!$C$25,((YEAR($A317)-YEAR(Premissas!$C$25))*12+MONTH($A317)-MONTH(Premissas!$C$25))&lt;=Premissas!$C$32),((YEAR($A317)-YEAR(Premissas!$C$25))*12+MONTH($A317)-MONTH(Premissas!$C$25)),0)</f>
        <v>0</v>
      </c>
      <c r="J317" s="32" t="n">
        <f aca="false">IF(I317&gt;0,N316*(1+Premissas!$C$59),0)</f>
        <v>0</v>
      </c>
      <c r="K317" s="32" t="n">
        <f aca="false">J317*Premissas!$C$58</f>
        <v>0</v>
      </c>
      <c r="L317" s="32" t="n">
        <f aca="false">IF(I317&gt;0,J317/(Premissas!$C$32-I317+1),0)</f>
        <v>0</v>
      </c>
      <c r="M317" s="32" t="n">
        <f aca="false">K317+L317</f>
        <v>0</v>
      </c>
      <c r="N317" s="32" t="n">
        <f aca="false">IF($A317=Premissas!$C$25,Premissas!$C$13*E317,IF(I317&gt;0,J317-L317,0))</f>
        <v>0</v>
      </c>
      <c r="O317" s="34" t="n">
        <f aca="false">IF($A317&gt;=Premissas!$C$27,Premissas!$C$39*IF(((YEAR($A317)-YEAR(Premissas!$C$27))*12+MONTH($A317)-MONTH(Premissas!$C$27))&lt;Premissas!$C$41,Premissas!$C$42,1),0)</f>
        <v>0.62</v>
      </c>
      <c r="P317" s="32" t="n">
        <f aca="false">O317*Premissas!$C$38*Premissas!$C$40*(1+Premissas!$C$60)^((YEAR($A317)-YEAR(Premissas!$C$19))*12+MONTH($A317)-MONTH(Premissas!$C$19))</f>
        <v>11860.6257391475</v>
      </c>
      <c r="Q317" s="32" t="n">
        <f aca="false">P317*Premissas!$C$43</f>
        <v>1897.7001182636</v>
      </c>
      <c r="R317" s="32" t="n">
        <f aca="false">P317*Premissas!$C$44</f>
        <v>2372.1251478295</v>
      </c>
      <c r="S317" s="32" t="n">
        <f aca="false">IF($A317&gt;=Premissas!$C$25,Premissas!$C$45*(1+Premissas!$C$60)^((YEAR($A317)-YEAR(Premissas!$C$19))*12+MONTH($A317)-MONTH(Premissas!$C$19)),0)</f>
        <v>2079.35233856022</v>
      </c>
      <c r="T317" s="32" t="n">
        <f aca="false">IF($A317&gt;=Premissas!$C$27,Premissas!$C$46*(1+Premissas!$C$60)^((YEAR($A317)-YEAR(Premissas!$C$19))*12+MONTH($A317)-MONTH(Premissas!$C$19)),0)</f>
        <v>831.740935424088</v>
      </c>
      <c r="U317" s="32" t="n">
        <f aca="false">IF($A317&gt;=Premissas!$C$27,Premissas!$C$47*(1+Premissas!$C$60)^((YEAR($A317)-YEAR(Premissas!$C$19))*12+MONTH($A317)-MONTH(Premissas!$C$19)),0)</f>
        <v>415.870467712044</v>
      </c>
      <c r="V317" s="32" t="n">
        <f aca="false">IF($A317&gt;=Premissas!$C$27,MAX(0,P317-Q317-R317-S317)*Premissas!$C$49,0)</f>
        <v>1515.6482369859</v>
      </c>
      <c r="W317" s="32" t="n">
        <f aca="false">P317-Q317-R317-S317-T317-U317-V317</f>
        <v>2748.18849437215</v>
      </c>
      <c r="X317" s="32" t="n">
        <f aca="false">W317-F317-G317-H317-M317</f>
        <v>2748.18849437215</v>
      </c>
      <c r="Y317" s="32" t="n">
        <f aca="false">Y316+X317</f>
        <v>-379338.548930558</v>
      </c>
      <c r="Z317" s="32" t="n">
        <f aca="false">Premissas!$C$14*(1+Premissas!$C$57)^((YEAR(Premissas!$C$19)-YEAR(Premissas!$C$18))*12+MONTH(Premissas!$C$19)-MONTH(Premissas!$C$18))*(1+Premissas!$C$61)^((YEAR($A317)-YEAR(Premissas!$C$19))*12+MONTH($A317)-MONTH(Premissas!$C$19))</f>
        <v>1700390.3421228</v>
      </c>
      <c r="AA317" s="32" t="n">
        <f aca="false">IF($A317&gt;=Premissas!$C$25,Z317*(1-Premissas!$C$53)-N317-Premissas!$C$54*MAX(0,Z317*(1-Premissas!$C$53)-(Premissas!$C$14*(1+Premissas!$C$57)^((YEAR(Premissas!$C$25)-YEAR(Premissas!$C$18))*12+MONTH(Premissas!$C$25)-MONTH(Premissas!$C$18))*(1+Premissas!$C$34))),"")</f>
        <v>1439814.09286778</v>
      </c>
      <c r="AB317" s="32" t="n">
        <f aca="false">IF($A317&gt;=Premissas!$C$25,Y317+AA317,"")</f>
        <v>1060475.54393723</v>
      </c>
      <c r="AC317" s="29" t="n">
        <f aca="false">IF(AND($A317&gt;=Premissas!$C$27,W317&gt;=M317),$A317,"")</f>
        <v>55885</v>
      </c>
      <c r="AD317" s="29" t="str">
        <f aca="false">IF(AND($A317&gt;=Premissas!$C$27,Y317&gt;=0),$A317,"")</f>
        <v/>
      </c>
      <c r="AE317" s="29" t="n">
        <f aca="false">IF(AND($A317&gt;=Premissas!$C$25,N(AB317)&gt;=0),$A317,"")</f>
        <v>55885</v>
      </c>
    </row>
    <row r="318" customFormat="false" ht="15" hidden="false" customHeight="false" outlineLevel="0" collapsed="false">
      <c r="A318" s="20" t="n">
        <f aca="false">DATE(YEAR(A317),MONTH(A317)+1,1)</f>
        <v>55916</v>
      </c>
      <c r="B318" s="5" t="str">
        <f aca="false">IF($A318&lt;Premissas!$C$25,"Obra",IF($A318=Premissas!$C$25,"Chaves",IF($A318&lt;Premissas!$C$27,"Mobiliando","Airbnb")))</f>
        <v>Airbnb</v>
      </c>
      <c r="C318" s="35" t="n">
        <f aca="false">(YEAR($A318)-YEAR(Premissas!$C$18))*12+MONTH($A318)-MONTH(Premissas!$C$18)</f>
        <v>317</v>
      </c>
      <c r="D318" s="16" t="n">
        <f aca="false">($A318=Premissas!$C$19)*Premissas!$C$8+(($A318=EDATE(Premissas!$C$19,1))+($A318=EDATE(Premissas!$C$19,2)))*Premissas!$C$9+AND($A318&gt;=Premissas!$C$20,$A318&lt;EDATE(Premissas!$C$20,Premissas!$C$21))*Premissas!$C$10+(($A318=Premissas!$C$22)+($A318=Premissas!$C$23)+($A318=Premissas!$C$24))*Premissas!$C$11+($A318=Premissas!$C$25)*Premissas!$C$12</f>
        <v>0</v>
      </c>
      <c r="E318" s="36" t="n">
        <f aca="false">(1+Premissas!$C$57)^C318</f>
        <v>4.11388810806386</v>
      </c>
      <c r="F318" s="16" t="n">
        <f aca="false">D318*E318</f>
        <v>0</v>
      </c>
      <c r="G318" s="16" t="n">
        <f aca="false">($A318=Premissas!$C$25)*Premissas!$C$34*Premissas!$C$14*(1+Premissas!$C$57)^C318</f>
        <v>0</v>
      </c>
      <c r="H318" s="16" t="n">
        <f aca="false">IF(AND($A318&gt;Premissas!$C$25,$A318&lt;Premissas!$C$27),Premissas!$C$35/MAX(1,Premissas!$C$26),0)</f>
        <v>0</v>
      </c>
      <c r="I318" s="35" t="n">
        <f aca="false">IF(AND($A318&gt;Premissas!$C$25,((YEAR($A318)-YEAR(Premissas!$C$25))*12+MONTH($A318)-MONTH(Premissas!$C$25))&lt;=Premissas!$C$32),((YEAR($A318)-YEAR(Premissas!$C$25))*12+MONTH($A318)-MONTH(Premissas!$C$25)),0)</f>
        <v>0</v>
      </c>
      <c r="J318" s="16" t="n">
        <f aca="false">IF(I318&gt;0,N317*(1+Premissas!$C$59),0)</f>
        <v>0</v>
      </c>
      <c r="K318" s="16" t="n">
        <f aca="false">J318*Premissas!$C$58</f>
        <v>0</v>
      </c>
      <c r="L318" s="16" t="n">
        <f aca="false">IF(I318&gt;0,J318/(Premissas!$C$32-I318+1),0)</f>
        <v>0</v>
      </c>
      <c r="M318" s="16" t="n">
        <f aca="false">K318+L318</f>
        <v>0</v>
      </c>
      <c r="N318" s="16" t="n">
        <f aca="false">IF($A318=Premissas!$C$25,Premissas!$C$13*E318,IF(I318&gt;0,J318-L318,0))</f>
        <v>0</v>
      </c>
      <c r="O318" s="37" t="n">
        <f aca="false">IF($A318&gt;=Premissas!$C$27,Premissas!$C$39*IF(((YEAR($A318)-YEAR(Premissas!$C$27))*12+MONTH($A318)-MONTH(Premissas!$C$27))&lt;Premissas!$C$41,Premissas!$C$42,1),0)</f>
        <v>0.62</v>
      </c>
      <c r="P318" s="16" t="n">
        <f aca="false">O318*Premissas!$C$38*Premissas!$C$40*(1+Premissas!$C$60)^((YEAR($A318)-YEAR(Premissas!$C$19))*12+MONTH($A318)-MONTH(Premissas!$C$19))</f>
        <v>11899.4543414715</v>
      </c>
      <c r="Q318" s="16" t="n">
        <f aca="false">P318*Premissas!$C$43</f>
        <v>1903.91269463544</v>
      </c>
      <c r="R318" s="16" t="n">
        <f aca="false">P318*Premissas!$C$44</f>
        <v>2379.8908682943</v>
      </c>
      <c r="S318" s="16" t="n">
        <f aca="false">IF($A318&gt;=Premissas!$C$25,Premissas!$C$45*(1+Premissas!$C$60)^((YEAR($A318)-YEAR(Premissas!$C$19))*12+MONTH($A318)-MONTH(Premissas!$C$19)),0)</f>
        <v>2086.15959703217</v>
      </c>
      <c r="T318" s="16" t="n">
        <f aca="false">IF($A318&gt;=Premissas!$C$27,Premissas!$C$46*(1+Premissas!$C$60)^((YEAR($A318)-YEAR(Premissas!$C$19))*12+MONTH($A318)-MONTH(Premissas!$C$19)),0)</f>
        <v>834.463838812869</v>
      </c>
      <c r="U318" s="16" t="n">
        <f aca="false">IF($A318&gt;=Premissas!$C$27,Premissas!$C$47*(1+Premissas!$C$60)^((YEAR($A318)-YEAR(Premissas!$C$19))*12+MONTH($A318)-MONTH(Premissas!$C$19)),0)</f>
        <v>417.231919406435</v>
      </c>
      <c r="V318" s="16" t="n">
        <f aca="false">IF($A318&gt;=Premissas!$C$27,MAX(0,P318-Q318-R318-S318)*Premissas!$C$49,0)</f>
        <v>1520.61007491514</v>
      </c>
      <c r="W318" s="16" t="n">
        <f aca="false">P318-Q318-R318-S318-T318-U318-V318</f>
        <v>2757.18534837515</v>
      </c>
      <c r="X318" s="16" t="n">
        <f aca="false">W318-F318-G318-H318-M318</f>
        <v>2757.18534837515</v>
      </c>
      <c r="Y318" s="16" t="n">
        <f aca="false">Y317+X318</f>
        <v>-376581.363582182</v>
      </c>
      <c r="Z318" s="16" t="n">
        <f aca="false">Premissas!$C$14*(1+Premissas!$C$57)^((YEAR(Premissas!$C$19)-YEAR(Premissas!$C$18))*12+MONTH(Premissas!$C$19)-MONTH(Premissas!$C$18))*(1+Premissas!$C$61)^((YEAR($A318)-YEAR(Premissas!$C$19))*12+MONTH($A318)-MONTH(Premissas!$C$19))</f>
        <v>1707317.94285713</v>
      </c>
      <c r="AA318" s="16" t="n">
        <f aca="false">IF($A318&gt;=Premissas!$C$25,Z318*(1-Premissas!$C$53)-N318-Premissas!$C$54*MAX(0,Z318*(1-Premissas!$C$53)-(Premissas!$C$14*(1+Premissas!$C$57)^((YEAR(Premissas!$C$25)-YEAR(Premissas!$C$18))*12+MONTH(Premissas!$C$25)-MONTH(Premissas!$C$18))*(1+Premissas!$C$34))),"")</f>
        <v>1445349.24585451</v>
      </c>
      <c r="AB318" s="16" t="n">
        <f aca="false">IF($A318&gt;=Premissas!$C$25,Y318+AA318,"")</f>
        <v>1068767.88227233</v>
      </c>
      <c r="AC318" s="20" t="n">
        <f aca="false">IF(AND($A318&gt;=Premissas!$C$27,W318&gt;=M318),$A318,"")</f>
        <v>55916</v>
      </c>
      <c r="AD318" s="20" t="str">
        <f aca="false">IF(AND($A318&gt;=Premissas!$C$27,Y318&gt;=0),$A318,"")</f>
        <v/>
      </c>
      <c r="AE318" s="20" t="n">
        <f aca="false">IF(AND($A318&gt;=Premissas!$C$25,N(AB318)&gt;=0),$A318,"")</f>
        <v>55916</v>
      </c>
    </row>
    <row r="319" customFormat="false" ht="15" hidden="false" customHeight="false" outlineLevel="0" collapsed="false">
      <c r="A319" s="20" t="n">
        <f aca="false">DATE(YEAR(A318),MONTH(A318)+1,1)</f>
        <v>55944</v>
      </c>
      <c r="B319" s="5" t="str">
        <f aca="false">IF($A319&lt;Premissas!$C$25,"Obra",IF($A319=Premissas!$C$25,"Chaves",IF($A319&lt;Premissas!$C$27,"Mobiliando","Airbnb")))</f>
        <v>Airbnb</v>
      </c>
      <c r="C319" s="35" t="n">
        <f aca="false">(YEAR($A319)-YEAR(Premissas!$C$18))*12+MONTH($A319)-MONTH(Premissas!$C$18)</f>
        <v>318</v>
      </c>
      <c r="D319" s="16" t="n">
        <f aca="false">($A319=Premissas!$C$19)*Premissas!$C$8+(($A319=EDATE(Premissas!$C$19,1))+($A319=EDATE(Premissas!$C$19,2)))*Premissas!$C$9+AND($A319&gt;=Premissas!$C$20,$A319&lt;EDATE(Premissas!$C$20,Premissas!$C$21))*Premissas!$C$10+(($A319=Premissas!$C$22)+($A319=Premissas!$C$23)+($A319=Premissas!$C$24))*Premissas!$C$11+($A319=Premissas!$C$25)*Premissas!$C$12</f>
        <v>0</v>
      </c>
      <c r="E319" s="36" t="n">
        <f aca="false">(1+Premissas!$C$57)^C319</f>
        <v>4.13228417706153</v>
      </c>
      <c r="F319" s="16" t="n">
        <f aca="false">D319*E319</f>
        <v>0</v>
      </c>
      <c r="G319" s="16" t="n">
        <f aca="false">($A319=Premissas!$C$25)*Premissas!$C$34*Premissas!$C$14*(1+Premissas!$C$57)^C319</f>
        <v>0</v>
      </c>
      <c r="H319" s="16" t="n">
        <f aca="false">IF(AND($A319&gt;Premissas!$C$25,$A319&lt;Premissas!$C$27),Premissas!$C$35/MAX(1,Premissas!$C$26),0)</f>
        <v>0</v>
      </c>
      <c r="I319" s="35" t="n">
        <f aca="false">IF(AND($A319&gt;Premissas!$C$25,((YEAR($A319)-YEAR(Premissas!$C$25))*12+MONTH($A319)-MONTH(Premissas!$C$25))&lt;=Premissas!$C$32),((YEAR($A319)-YEAR(Premissas!$C$25))*12+MONTH($A319)-MONTH(Premissas!$C$25)),0)</f>
        <v>0</v>
      </c>
      <c r="J319" s="16" t="n">
        <f aca="false">IF(I319&gt;0,N318*(1+Premissas!$C$59),0)</f>
        <v>0</v>
      </c>
      <c r="K319" s="16" t="n">
        <f aca="false">J319*Premissas!$C$58</f>
        <v>0</v>
      </c>
      <c r="L319" s="16" t="n">
        <f aca="false">IF(I319&gt;0,J319/(Premissas!$C$32-I319+1),0)</f>
        <v>0</v>
      </c>
      <c r="M319" s="16" t="n">
        <f aca="false">K319+L319</f>
        <v>0</v>
      </c>
      <c r="N319" s="16" t="n">
        <f aca="false">IF($A319=Premissas!$C$25,Premissas!$C$13*E319,IF(I319&gt;0,J319-L319,0))</f>
        <v>0</v>
      </c>
      <c r="O319" s="37" t="n">
        <f aca="false">IF($A319&gt;=Premissas!$C$27,Premissas!$C$39*IF(((YEAR($A319)-YEAR(Premissas!$C$27))*12+MONTH($A319)-MONTH(Premissas!$C$27))&lt;Premissas!$C$41,Premissas!$C$42,1),0)</f>
        <v>0.62</v>
      </c>
      <c r="P319" s="16" t="n">
        <f aca="false">O319*Premissas!$C$38*Premissas!$C$40*(1+Premissas!$C$60)^((YEAR($A319)-YEAR(Premissas!$C$19))*12+MONTH($A319)-MONTH(Premissas!$C$19))</f>
        <v>11938.4100585357</v>
      </c>
      <c r="Q319" s="16" t="n">
        <f aca="false">P319*Premissas!$C$43</f>
        <v>1910.1456093657</v>
      </c>
      <c r="R319" s="16" t="n">
        <f aca="false">P319*Premissas!$C$44</f>
        <v>2387.68201170713</v>
      </c>
      <c r="S319" s="16" t="n">
        <f aca="false">IF($A319&gt;=Premissas!$C$25,Premissas!$C$45*(1+Premissas!$C$60)^((YEAR($A319)-YEAR(Premissas!$C$19))*12+MONTH($A319)-MONTH(Premissas!$C$19)),0)</f>
        <v>2092.98914069699</v>
      </c>
      <c r="T319" s="16" t="n">
        <f aca="false">IF($A319&gt;=Premissas!$C$27,Premissas!$C$46*(1+Premissas!$C$60)^((YEAR($A319)-YEAR(Premissas!$C$19))*12+MONTH($A319)-MONTH(Premissas!$C$19)),0)</f>
        <v>837.195656278797</v>
      </c>
      <c r="U319" s="16" t="n">
        <f aca="false">IF($A319&gt;=Premissas!$C$27,Premissas!$C$47*(1+Premissas!$C$60)^((YEAR($A319)-YEAR(Premissas!$C$19))*12+MONTH($A319)-MONTH(Premissas!$C$19)),0)</f>
        <v>418.597828139399</v>
      </c>
      <c r="V319" s="16" t="n">
        <f aca="false">IF($A319&gt;=Premissas!$C$27,MAX(0,P319-Q319-R319-S319)*Premissas!$C$49,0)</f>
        <v>1525.5881566106</v>
      </c>
      <c r="W319" s="16" t="n">
        <f aca="false">P319-Q319-R319-S319-T319-U319-V319</f>
        <v>2766.21165573703</v>
      </c>
      <c r="X319" s="16" t="n">
        <f aca="false">W319-F319-G319-H319-M319</f>
        <v>2766.21165573703</v>
      </c>
      <c r="Y319" s="16" t="n">
        <f aca="false">Y318+X319</f>
        <v>-373815.151926445</v>
      </c>
      <c r="Z319" s="16" t="n">
        <f aca="false">Premissas!$C$14*(1+Premissas!$C$57)^((YEAR(Premissas!$C$19)-YEAR(Premissas!$C$18))*12+MONTH(Premissas!$C$19)-MONTH(Premissas!$C$18))*(1+Premissas!$C$61)^((YEAR($A319)-YEAR(Premissas!$C$19))*12+MONTH($A319)-MONTH(Premissas!$C$19))</f>
        <v>1714273.76749438</v>
      </c>
      <c r="AA319" s="16" t="n">
        <f aca="false">IF($A319&gt;=Premissas!$C$25,Z319*(1-Premissas!$C$53)-N319-Premissas!$C$54*MAX(0,Z319*(1-Premissas!$C$53)-(Premissas!$C$14*(1+Premissas!$C$57)^((YEAR(Premissas!$C$25)-YEAR(Premissas!$C$18))*12+MONTH(Premissas!$C$25)-MONTH(Premissas!$C$18))*(1+Premissas!$C$34))),"")</f>
        <v>1450906.94973967</v>
      </c>
      <c r="AB319" s="16" t="n">
        <f aca="false">IF($A319&gt;=Premissas!$C$25,Y319+AA319,"")</f>
        <v>1077091.79781323</v>
      </c>
      <c r="AC319" s="20" t="n">
        <f aca="false">IF(AND($A319&gt;=Premissas!$C$27,W319&gt;=M319),$A319,"")</f>
        <v>55944</v>
      </c>
      <c r="AD319" s="20" t="str">
        <f aca="false">IF(AND($A319&gt;=Premissas!$C$27,Y319&gt;=0),$A319,"")</f>
        <v/>
      </c>
      <c r="AE319" s="20" t="n">
        <f aca="false">IF(AND($A319&gt;=Premissas!$C$25,N(AB319)&gt;=0),$A319,"")</f>
        <v>55944</v>
      </c>
    </row>
    <row r="320" customFormat="false" ht="15" hidden="false" customHeight="false" outlineLevel="0" collapsed="false">
      <c r="A320" s="20" t="n">
        <f aca="false">DATE(YEAR(A319),MONTH(A319)+1,1)</f>
        <v>55975</v>
      </c>
      <c r="B320" s="5" t="str">
        <f aca="false">IF($A320&lt;Premissas!$C$25,"Obra",IF($A320=Premissas!$C$25,"Chaves",IF($A320&lt;Premissas!$C$27,"Mobiliando","Airbnb")))</f>
        <v>Airbnb</v>
      </c>
      <c r="C320" s="35" t="n">
        <f aca="false">(YEAR($A320)-YEAR(Premissas!$C$18))*12+MONTH($A320)-MONTH(Premissas!$C$18)</f>
        <v>319</v>
      </c>
      <c r="D320" s="16" t="n">
        <f aca="false">($A320=Premissas!$C$19)*Premissas!$C$8+(($A320=EDATE(Premissas!$C$19,1))+($A320=EDATE(Premissas!$C$19,2)))*Premissas!$C$9+AND($A320&gt;=Premissas!$C$20,$A320&lt;EDATE(Premissas!$C$20,Premissas!$C$21))*Premissas!$C$10+(($A320=Premissas!$C$22)+($A320=Premissas!$C$23)+($A320=Premissas!$C$24))*Premissas!$C$11+($A320=Premissas!$C$25)*Premissas!$C$12</f>
        <v>0</v>
      </c>
      <c r="E320" s="36" t="n">
        <f aca="false">(1+Premissas!$C$57)^C320</f>
        <v>4.150762507741</v>
      </c>
      <c r="F320" s="16" t="n">
        <f aca="false">D320*E320</f>
        <v>0</v>
      </c>
      <c r="G320" s="16" t="n">
        <f aca="false">($A320=Premissas!$C$25)*Premissas!$C$34*Premissas!$C$14*(1+Premissas!$C$57)^C320</f>
        <v>0</v>
      </c>
      <c r="H320" s="16" t="n">
        <f aca="false">IF(AND($A320&gt;Premissas!$C$25,$A320&lt;Premissas!$C$27),Premissas!$C$35/MAX(1,Premissas!$C$26),0)</f>
        <v>0</v>
      </c>
      <c r="I320" s="35" t="n">
        <f aca="false">IF(AND($A320&gt;Premissas!$C$25,((YEAR($A320)-YEAR(Premissas!$C$25))*12+MONTH($A320)-MONTH(Premissas!$C$25))&lt;=Premissas!$C$32),((YEAR($A320)-YEAR(Premissas!$C$25))*12+MONTH($A320)-MONTH(Premissas!$C$25)),0)</f>
        <v>0</v>
      </c>
      <c r="J320" s="16" t="n">
        <f aca="false">IF(I320&gt;0,N319*(1+Premissas!$C$59),0)</f>
        <v>0</v>
      </c>
      <c r="K320" s="16" t="n">
        <f aca="false">J320*Premissas!$C$58</f>
        <v>0</v>
      </c>
      <c r="L320" s="16" t="n">
        <f aca="false">IF(I320&gt;0,J320/(Premissas!$C$32-I320+1),0)</f>
        <v>0</v>
      </c>
      <c r="M320" s="16" t="n">
        <f aca="false">K320+L320</f>
        <v>0</v>
      </c>
      <c r="N320" s="16" t="n">
        <f aca="false">IF($A320=Premissas!$C$25,Premissas!$C$13*E320,IF(I320&gt;0,J320-L320,0))</f>
        <v>0</v>
      </c>
      <c r="O320" s="37" t="n">
        <f aca="false">IF($A320&gt;=Premissas!$C$27,Premissas!$C$39*IF(((YEAR($A320)-YEAR(Premissas!$C$27))*12+MONTH($A320)-MONTH(Premissas!$C$27))&lt;Premissas!$C$41,Premissas!$C$42,1),0)</f>
        <v>0.62</v>
      </c>
      <c r="P320" s="16" t="n">
        <f aca="false">O320*Premissas!$C$38*Premissas!$C$40*(1+Premissas!$C$60)^((YEAR($A320)-YEAR(Premissas!$C$19))*12+MONTH($A320)-MONTH(Premissas!$C$19))</f>
        <v>11977.4933064805</v>
      </c>
      <c r="Q320" s="16" t="n">
        <f aca="false">P320*Premissas!$C$43</f>
        <v>1916.39892903688</v>
      </c>
      <c r="R320" s="16" t="n">
        <f aca="false">P320*Premissas!$C$44</f>
        <v>2395.4986612961</v>
      </c>
      <c r="S320" s="16" t="n">
        <f aca="false">IF($A320&gt;=Premissas!$C$25,Premissas!$C$45*(1+Premissas!$C$60)^((YEAR($A320)-YEAR(Premissas!$C$19))*12+MONTH($A320)-MONTH(Premissas!$C$19)),0)</f>
        <v>2099.8410425106</v>
      </c>
      <c r="T320" s="16" t="n">
        <f aca="false">IF($A320&gt;=Premissas!$C$27,Premissas!$C$46*(1+Premissas!$C$60)^((YEAR($A320)-YEAR(Premissas!$C$19))*12+MONTH($A320)-MONTH(Premissas!$C$19)),0)</f>
        <v>839.936417004241</v>
      </c>
      <c r="U320" s="16" t="n">
        <f aca="false">IF($A320&gt;=Premissas!$C$27,Premissas!$C$47*(1+Premissas!$C$60)^((YEAR($A320)-YEAR(Premissas!$C$19))*12+MONTH($A320)-MONTH(Premissas!$C$19)),0)</f>
        <v>419.968208502121</v>
      </c>
      <c r="V320" s="16" t="n">
        <f aca="false">IF($A320&gt;=Premissas!$C$27,MAX(0,P320-Q320-R320-S320)*Premissas!$C$49,0)</f>
        <v>1530.58253525015</v>
      </c>
      <c r="W320" s="16" t="n">
        <f aca="false">P320-Q320-R320-S320-T320-U320-V320</f>
        <v>2775.26751288039</v>
      </c>
      <c r="X320" s="16" t="n">
        <f aca="false">W320-F320-G320-H320-M320</f>
        <v>2775.26751288039</v>
      </c>
      <c r="Y320" s="16" t="n">
        <f aca="false">Y319+X320</f>
        <v>-371039.884413565</v>
      </c>
      <c r="Z320" s="16" t="n">
        <f aca="false">Premissas!$C$14*(1+Premissas!$C$57)^((YEAR(Premissas!$C$19)-YEAR(Premissas!$C$18))*12+MONTH(Premissas!$C$19)-MONTH(Premissas!$C$18))*(1+Premissas!$C$61)^((YEAR($A320)-YEAR(Premissas!$C$19))*12+MONTH($A320)-MONTH(Premissas!$C$19))</f>
        <v>1721257.93102221</v>
      </c>
      <c r="AA320" s="16" t="n">
        <f aca="false">IF($A320&gt;=Premissas!$C$25,Z320*(1-Premissas!$C$53)-N320-Premissas!$C$54*MAX(0,Z320*(1-Premissas!$C$53)-(Premissas!$C$14*(1+Premissas!$C$57)^((YEAR(Premissas!$C$25)-YEAR(Premissas!$C$18))*12+MONTH(Premissas!$C$25)-MONTH(Premissas!$C$18))*(1+Premissas!$C$34))),"")</f>
        <v>1456487.29639841</v>
      </c>
      <c r="AB320" s="16" t="n">
        <f aca="false">IF($A320&gt;=Premissas!$C$25,Y320+AA320,"")</f>
        <v>1085447.41198485</v>
      </c>
      <c r="AC320" s="20" t="n">
        <f aca="false">IF(AND($A320&gt;=Premissas!$C$27,W320&gt;=M320),$A320,"")</f>
        <v>55975</v>
      </c>
      <c r="AD320" s="20" t="str">
        <f aca="false">IF(AND($A320&gt;=Premissas!$C$27,Y320&gt;=0),$A320,"")</f>
        <v/>
      </c>
      <c r="AE320" s="20" t="n">
        <f aca="false">IF(AND($A320&gt;=Premissas!$C$25,N(AB320)&gt;=0),$A320,"")</f>
        <v>55975</v>
      </c>
    </row>
    <row r="321" customFormat="false" ht="15" hidden="false" customHeight="false" outlineLevel="0" collapsed="false">
      <c r="A321" s="20" t="n">
        <f aca="false">DATE(YEAR(A320),MONTH(A320)+1,1)</f>
        <v>56005</v>
      </c>
      <c r="B321" s="5" t="str">
        <f aca="false">IF($A321&lt;Premissas!$C$25,"Obra",IF($A321=Premissas!$C$25,"Chaves",IF($A321&lt;Premissas!$C$27,"Mobiliando","Airbnb")))</f>
        <v>Airbnb</v>
      </c>
      <c r="C321" s="35" t="n">
        <f aca="false">(YEAR($A321)-YEAR(Premissas!$C$18))*12+MONTH($A321)-MONTH(Premissas!$C$18)</f>
        <v>320</v>
      </c>
      <c r="D321" s="16" t="n">
        <f aca="false">($A321=Premissas!$C$19)*Premissas!$C$8+(($A321=EDATE(Premissas!$C$19,1))+($A321=EDATE(Premissas!$C$19,2)))*Premissas!$C$9+AND($A321&gt;=Premissas!$C$20,$A321&lt;EDATE(Premissas!$C$20,Premissas!$C$21))*Premissas!$C$10+(($A321=Premissas!$C$22)+($A321=Premissas!$C$23)+($A321=Premissas!$C$24))*Premissas!$C$11+($A321=Premissas!$C$25)*Premissas!$C$12</f>
        <v>0</v>
      </c>
      <c r="E321" s="36" t="n">
        <f aca="false">(1+Premissas!$C$57)^C321</f>
        <v>4.16932346795177</v>
      </c>
      <c r="F321" s="16" t="n">
        <f aca="false">D321*E321</f>
        <v>0</v>
      </c>
      <c r="G321" s="16" t="n">
        <f aca="false">($A321=Premissas!$C$25)*Premissas!$C$34*Premissas!$C$14*(1+Premissas!$C$57)^C321</f>
        <v>0</v>
      </c>
      <c r="H321" s="16" t="n">
        <f aca="false">IF(AND($A321&gt;Premissas!$C$25,$A321&lt;Premissas!$C$27),Premissas!$C$35/MAX(1,Premissas!$C$26),0)</f>
        <v>0</v>
      </c>
      <c r="I321" s="35" t="n">
        <f aca="false">IF(AND($A321&gt;Premissas!$C$25,((YEAR($A321)-YEAR(Premissas!$C$25))*12+MONTH($A321)-MONTH(Premissas!$C$25))&lt;=Premissas!$C$32),((YEAR($A321)-YEAR(Premissas!$C$25))*12+MONTH($A321)-MONTH(Premissas!$C$25)),0)</f>
        <v>0</v>
      </c>
      <c r="J321" s="16" t="n">
        <f aca="false">IF(I321&gt;0,N320*(1+Premissas!$C$59),0)</f>
        <v>0</v>
      </c>
      <c r="K321" s="16" t="n">
        <f aca="false">J321*Premissas!$C$58</f>
        <v>0</v>
      </c>
      <c r="L321" s="16" t="n">
        <f aca="false">IF(I321&gt;0,J321/(Premissas!$C$32-I321+1),0)</f>
        <v>0</v>
      </c>
      <c r="M321" s="16" t="n">
        <f aca="false">K321+L321</f>
        <v>0</v>
      </c>
      <c r="N321" s="16" t="n">
        <f aca="false">IF($A321=Premissas!$C$25,Premissas!$C$13*E321,IF(I321&gt;0,J321-L321,0))</f>
        <v>0</v>
      </c>
      <c r="O321" s="37" t="n">
        <f aca="false">IF($A321&gt;=Premissas!$C$27,Premissas!$C$39*IF(((YEAR($A321)-YEAR(Premissas!$C$27))*12+MONTH($A321)-MONTH(Premissas!$C$27))&lt;Premissas!$C$41,Premissas!$C$42,1),0)</f>
        <v>0.62</v>
      </c>
      <c r="P321" s="16" t="n">
        <f aca="false">O321*Premissas!$C$38*Premissas!$C$40*(1+Premissas!$C$60)^((YEAR($A321)-YEAR(Premissas!$C$19))*12+MONTH($A321)-MONTH(Premissas!$C$19))</f>
        <v>12016.7045028089</v>
      </c>
      <c r="Q321" s="16" t="n">
        <f aca="false">P321*Premissas!$C$43</f>
        <v>1922.67272044943</v>
      </c>
      <c r="R321" s="16" t="n">
        <f aca="false">P321*Premissas!$C$44</f>
        <v>2403.34090056179</v>
      </c>
      <c r="S321" s="16" t="n">
        <f aca="false">IF($A321&gt;=Premissas!$C$25,Premissas!$C$45*(1+Premissas!$C$60)^((YEAR($A321)-YEAR(Premissas!$C$19))*12+MONTH($A321)-MONTH(Premissas!$C$19)),0)</f>
        <v>2106.71537566777</v>
      </c>
      <c r="T321" s="16" t="n">
        <f aca="false">IF($A321&gt;=Premissas!$C$27,Premissas!$C$46*(1+Premissas!$C$60)^((YEAR($A321)-YEAR(Premissas!$C$19))*12+MONTH($A321)-MONTH(Premissas!$C$19)),0)</f>
        <v>842.686150267106</v>
      </c>
      <c r="U321" s="16" t="n">
        <f aca="false">IF($A321&gt;=Premissas!$C$27,Premissas!$C$47*(1+Premissas!$C$60)^((YEAR($A321)-YEAR(Premissas!$C$19))*12+MONTH($A321)-MONTH(Premissas!$C$19)),0)</f>
        <v>421.343075133553</v>
      </c>
      <c r="V321" s="16" t="n">
        <f aca="false">IF($A321&gt;=Premissas!$C$27,MAX(0,P321-Q321-R321-S321)*Premissas!$C$49,0)</f>
        <v>1535.59326418574</v>
      </c>
      <c r="W321" s="16" t="n">
        <f aca="false">P321-Q321-R321-S321-T321-U321-V321</f>
        <v>2784.35301654356</v>
      </c>
      <c r="X321" s="16" t="n">
        <f aca="false">W321-F321-G321-H321-M321</f>
        <v>2784.35301654356</v>
      </c>
      <c r="Y321" s="16" t="n">
        <f aca="false">Y320+X321</f>
        <v>-368255.531397021</v>
      </c>
      <c r="Z321" s="16" t="n">
        <f aca="false">Premissas!$C$14*(1+Premissas!$C$57)^((YEAR(Premissas!$C$19)-YEAR(Premissas!$C$18))*12+MONTH(Premissas!$C$19)-MONTH(Premissas!$C$18))*(1+Premissas!$C$61)^((YEAR($A321)-YEAR(Premissas!$C$19))*12+MONTH($A321)-MONTH(Premissas!$C$19))</f>
        <v>1728270.54889678</v>
      </c>
      <c r="AA321" s="16" t="n">
        <f aca="false">IF($A321&gt;=Premissas!$C$25,Z321*(1-Premissas!$C$53)-N321-Premissas!$C$54*MAX(0,Z321*(1-Premissas!$C$53)-(Premissas!$C$14*(1+Premissas!$C$57)^((YEAR(Premissas!$C$25)-YEAR(Premissas!$C$18))*12+MONTH(Premissas!$C$25)-MONTH(Premissas!$C$18))*(1+Premissas!$C$34))),"")</f>
        <v>1462090.37808019</v>
      </c>
      <c r="AB321" s="16" t="n">
        <f aca="false">IF($A321&gt;=Premissas!$C$25,Y321+AA321,"")</f>
        <v>1093834.84668317</v>
      </c>
      <c r="AC321" s="20" t="n">
        <f aca="false">IF(AND($A321&gt;=Premissas!$C$27,W321&gt;=M321),$A321,"")</f>
        <v>56005</v>
      </c>
      <c r="AD321" s="20" t="str">
        <f aca="false">IF(AND($A321&gt;=Premissas!$C$27,Y321&gt;=0),$A321,"")</f>
        <v/>
      </c>
      <c r="AE321" s="20" t="n">
        <f aca="false">IF(AND($A321&gt;=Premissas!$C$25,N(AB321)&gt;=0),$A321,"")</f>
        <v>56005</v>
      </c>
    </row>
    <row r="322" customFormat="false" ht="15" hidden="false" customHeight="false" outlineLevel="0" collapsed="false">
      <c r="A322" s="20" t="n">
        <f aca="false">DATE(YEAR(A321),MONTH(A321)+1,1)</f>
        <v>56036</v>
      </c>
      <c r="B322" s="5" t="str">
        <f aca="false">IF($A322&lt;Premissas!$C$25,"Obra",IF($A322=Premissas!$C$25,"Chaves",IF($A322&lt;Premissas!$C$27,"Mobiliando","Airbnb")))</f>
        <v>Airbnb</v>
      </c>
      <c r="C322" s="35" t="n">
        <f aca="false">(YEAR($A322)-YEAR(Premissas!$C$18))*12+MONTH($A322)-MONTH(Premissas!$C$18)</f>
        <v>321</v>
      </c>
      <c r="D322" s="16" t="n">
        <f aca="false">($A322=Premissas!$C$19)*Premissas!$C$8+(($A322=EDATE(Premissas!$C$19,1))+($A322=EDATE(Premissas!$C$19,2)))*Premissas!$C$9+AND($A322&gt;=Premissas!$C$20,$A322&lt;EDATE(Premissas!$C$20,Premissas!$C$21))*Premissas!$C$10+(($A322=Premissas!$C$22)+($A322=Premissas!$C$23)+($A322=Premissas!$C$24))*Premissas!$C$11+($A322=Premissas!$C$25)*Premissas!$C$12</f>
        <v>0</v>
      </c>
      <c r="E322" s="36" t="n">
        <f aca="false">(1+Premissas!$C$57)^C322</f>
        <v>4.18796742718822</v>
      </c>
      <c r="F322" s="16" t="n">
        <f aca="false">D322*E322</f>
        <v>0</v>
      </c>
      <c r="G322" s="16" t="n">
        <f aca="false">($A322=Premissas!$C$25)*Premissas!$C$34*Premissas!$C$14*(1+Premissas!$C$57)^C322</f>
        <v>0</v>
      </c>
      <c r="H322" s="16" t="n">
        <f aca="false">IF(AND($A322&gt;Premissas!$C$25,$A322&lt;Premissas!$C$27),Premissas!$C$35/MAX(1,Premissas!$C$26),0)</f>
        <v>0</v>
      </c>
      <c r="I322" s="35" t="n">
        <f aca="false">IF(AND($A322&gt;Premissas!$C$25,((YEAR($A322)-YEAR(Premissas!$C$25))*12+MONTH($A322)-MONTH(Premissas!$C$25))&lt;=Premissas!$C$32),((YEAR($A322)-YEAR(Premissas!$C$25))*12+MONTH($A322)-MONTH(Premissas!$C$25)),0)</f>
        <v>0</v>
      </c>
      <c r="J322" s="16" t="n">
        <f aca="false">IF(I322&gt;0,N321*(1+Premissas!$C$59),0)</f>
        <v>0</v>
      </c>
      <c r="K322" s="16" t="n">
        <f aca="false">J322*Premissas!$C$58</f>
        <v>0</v>
      </c>
      <c r="L322" s="16" t="n">
        <f aca="false">IF(I322&gt;0,J322/(Premissas!$C$32-I322+1),0)</f>
        <v>0</v>
      </c>
      <c r="M322" s="16" t="n">
        <f aca="false">K322+L322</f>
        <v>0</v>
      </c>
      <c r="N322" s="16" t="n">
        <f aca="false">IF($A322=Premissas!$C$25,Premissas!$C$13*E322,IF(I322&gt;0,J322-L322,0))</f>
        <v>0</v>
      </c>
      <c r="O322" s="37" t="n">
        <f aca="false">IF($A322&gt;=Premissas!$C$27,Premissas!$C$39*IF(((YEAR($A322)-YEAR(Premissas!$C$27))*12+MONTH($A322)-MONTH(Premissas!$C$27))&lt;Premissas!$C$41,Premissas!$C$42,1),0)</f>
        <v>0.62</v>
      </c>
      <c r="P322" s="16" t="n">
        <f aca="false">O322*Premissas!$C$38*Premissas!$C$40*(1+Premissas!$C$60)^((YEAR($A322)-YEAR(Premissas!$C$19))*12+MONTH($A322)-MONTH(Premissas!$C$19))</f>
        <v>12056.0440663907</v>
      </c>
      <c r="Q322" s="16" t="n">
        <f aca="false">P322*Premissas!$C$43</f>
        <v>1928.96705062251</v>
      </c>
      <c r="R322" s="16" t="n">
        <f aca="false">P322*Premissas!$C$44</f>
        <v>2411.20881327814</v>
      </c>
      <c r="S322" s="16" t="n">
        <f aca="false">IF($A322&gt;=Premissas!$C$25,Premissas!$C$45*(1+Premissas!$C$60)^((YEAR($A322)-YEAR(Premissas!$C$19))*12+MONTH($A322)-MONTH(Premissas!$C$19)),0)</f>
        <v>2113.61221360286</v>
      </c>
      <c r="T322" s="16" t="n">
        <f aca="false">IF($A322&gt;=Premissas!$C$27,Premissas!$C$46*(1+Premissas!$C$60)^((YEAR($A322)-YEAR(Premissas!$C$19))*12+MONTH($A322)-MONTH(Premissas!$C$19)),0)</f>
        <v>845.444885441143</v>
      </c>
      <c r="U322" s="16" t="n">
        <f aca="false">IF($A322&gt;=Premissas!$C$27,Premissas!$C$47*(1+Premissas!$C$60)^((YEAR($A322)-YEAR(Premissas!$C$19))*12+MONTH($A322)-MONTH(Premissas!$C$19)),0)</f>
        <v>422.722442720572</v>
      </c>
      <c r="V322" s="16" t="n">
        <f aca="false">IF($A322&gt;=Premissas!$C$27,MAX(0,P322-Q322-R322-S322)*Premissas!$C$49,0)</f>
        <v>1540.62039694398</v>
      </c>
      <c r="W322" s="16" t="n">
        <f aca="false">P322-Q322-R322-S322-T322-U322-V322</f>
        <v>2793.4682637815</v>
      </c>
      <c r="X322" s="16" t="n">
        <f aca="false">W322-F322-G322-H322-M322</f>
        <v>2793.4682637815</v>
      </c>
      <c r="Y322" s="16" t="n">
        <f aca="false">Y321+X322</f>
        <v>-365462.06313324</v>
      </c>
      <c r="Z322" s="16" t="n">
        <f aca="false">Premissas!$C$14*(1+Premissas!$C$57)^((YEAR(Premissas!$C$19)-YEAR(Premissas!$C$18))*12+MONTH(Premissas!$C$19)-MONTH(Premissas!$C$18))*(1+Premissas!$C$61)^((YEAR($A322)-YEAR(Premissas!$C$19))*12+MONTH($A322)-MONTH(Premissas!$C$19))</f>
        <v>1735311.73704462</v>
      </c>
      <c r="AA322" s="16" t="n">
        <f aca="false">IF($A322&gt;=Premissas!$C$25,Z322*(1-Premissas!$C$53)-N322-Premissas!$C$54*MAX(0,Z322*(1-Premissas!$C$53)-(Premissas!$C$14*(1+Premissas!$C$57)^((YEAR(Premissas!$C$25)-YEAR(Premissas!$C$18))*12+MONTH(Premissas!$C$25)-MONTH(Premissas!$C$18))*(1+Premissas!$C$34))),"")</f>
        <v>1467716.28741032</v>
      </c>
      <c r="AB322" s="16" t="n">
        <f aca="false">IF($A322&gt;=Premissas!$C$25,Y322+AA322,"")</f>
        <v>1102254.22427708</v>
      </c>
      <c r="AC322" s="20" t="n">
        <f aca="false">IF(AND($A322&gt;=Premissas!$C$27,W322&gt;=M322),$A322,"")</f>
        <v>56036</v>
      </c>
      <c r="AD322" s="20" t="str">
        <f aca="false">IF(AND($A322&gt;=Premissas!$C$27,Y322&gt;=0),$A322,"")</f>
        <v/>
      </c>
      <c r="AE322" s="20" t="n">
        <f aca="false">IF(AND($A322&gt;=Premissas!$C$25,N(AB322)&gt;=0),$A322,"")</f>
        <v>56036</v>
      </c>
    </row>
    <row r="323" customFormat="false" ht="15" hidden="false" customHeight="false" outlineLevel="0" collapsed="false">
      <c r="A323" s="20" t="n">
        <f aca="false">DATE(YEAR(A322),MONTH(A322)+1,1)</f>
        <v>56066</v>
      </c>
      <c r="B323" s="5" t="str">
        <f aca="false">IF($A323&lt;Premissas!$C$25,"Obra",IF($A323=Premissas!$C$25,"Chaves",IF($A323&lt;Premissas!$C$27,"Mobiliando","Airbnb")))</f>
        <v>Airbnb</v>
      </c>
      <c r="C323" s="35" t="n">
        <f aca="false">(YEAR($A323)-YEAR(Premissas!$C$18))*12+MONTH($A323)-MONTH(Premissas!$C$18)</f>
        <v>322</v>
      </c>
      <c r="D323" s="16" t="n">
        <f aca="false">($A323=Premissas!$C$19)*Premissas!$C$8+(($A323=EDATE(Premissas!$C$19,1))+($A323=EDATE(Premissas!$C$19,2)))*Premissas!$C$9+AND($A323&gt;=Premissas!$C$20,$A323&lt;EDATE(Premissas!$C$20,Premissas!$C$21))*Premissas!$C$10+(($A323=Premissas!$C$22)+($A323=Premissas!$C$23)+($A323=Premissas!$C$24))*Premissas!$C$11+($A323=Premissas!$C$25)*Premissas!$C$12</f>
        <v>0</v>
      </c>
      <c r="E323" s="36" t="n">
        <f aca="false">(1+Premissas!$C$57)^C323</f>
        <v>4.20669475659698</v>
      </c>
      <c r="F323" s="16" t="n">
        <f aca="false">D323*E323</f>
        <v>0</v>
      </c>
      <c r="G323" s="16" t="n">
        <f aca="false">($A323=Premissas!$C$25)*Premissas!$C$34*Premissas!$C$14*(1+Premissas!$C$57)^C323</f>
        <v>0</v>
      </c>
      <c r="H323" s="16" t="n">
        <f aca="false">IF(AND($A323&gt;Premissas!$C$25,$A323&lt;Premissas!$C$27),Premissas!$C$35/MAX(1,Premissas!$C$26),0)</f>
        <v>0</v>
      </c>
      <c r="I323" s="35" t="n">
        <f aca="false">IF(AND($A323&gt;Premissas!$C$25,((YEAR($A323)-YEAR(Premissas!$C$25))*12+MONTH($A323)-MONTH(Premissas!$C$25))&lt;=Premissas!$C$32),((YEAR($A323)-YEAR(Premissas!$C$25))*12+MONTH($A323)-MONTH(Premissas!$C$25)),0)</f>
        <v>0</v>
      </c>
      <c r="J323" s="16" t="n">
        <f aca="false">IF(I323&gt;0,N322*(1+Premissas!$C$59),0)</f>
        <v>0</v>
      </c>
      <c r="K323" s="16" t="n">
        <f aca="false">J323*Premissas!$C$58</f>
        <v>0</v>
      </c>
      <c r="L323" s="16" t="n">
        <f aca="false">IF(I323&gt;0,J323/(Premissas!$C$32-I323+1),0)</f>
        <v>0</v>
      </c>
      <c r="M323" s="16" t="n">
        <f aca="false">K323+L323</f>
        <v>0</v>
      </c>
      <c r="N323" s="16" t="n">
        <f aca="false">IF($A323=Premissas!$C$25,Premissas!$C$13*E323,IF(I323&gt;0,J323-L323,0))</f>
        <v>0</v>
      </c>
      <c r="O323" s="37" t="n">
        <f aca="false">IF($A323&gt;=Premissas!$C$27,Premissas!$C$39*IF(((YEAR($A323)-YEAR(Premissas!$C$27))*12+MONTH($A323)-MONTH(Premissas!$C$27))&lt;Premissas!$C$41,Premissas!$C$42,1),0)</f>
        <v>0.62</v>
      </c>
      <c r="P323" s="16" t="n">
        <f aca="false">O323*Premissas!$C$38*Premissas!$C$40*(1+Premissas!$C$60)^((YEAR($A323)-YEAR(Premissas!$C$19))*12+MONTH($A323)-MONTH(Premissas!$C$19))</f>
        <v>12095.5124174668</v>
      </c>
      <c r="Q323" s="16" t="n">
        <f aca="false">P323*Premissas!$C$43</f>
        <v>1935.28198679469</v>
      </c>
      <c r="R323" s="16" t="n">
        <f aca="false">P323*Premissas!$C$44</f>
        <v>2419.10248349336</v>
      </c>
      <c r="S323" s="16" t="n">
        <f aca="false">IF($A323&gt;=Premissas!$C$25,Premissas!$C$45*(1+Premissas!$C$60)^((YEAR($A323)-YEAR(Premissas!$C$19))*12+MONTH($A323)-MONTH(Premissas!$C$19)),0)</f>
        <v>2120.53162999067</v>
      </c>
      <c r="T323" s="16" t="n">
        <f aca="false">IF($A323&gt;=Premissas!$C$27,Premissas!$C$46*(1+Premissas!$C$60)^((YEAR($A323)-YEAR(Premissas!$C$19))*12+MONTH($A323)-MONTH(Premissas!$C$19)),0)</f>
        <v>848.212651996269</v>
      </c>
      <c r="U323" s="16" t="n">
        <f aca="false">IF($A323&gt;=Premissas!$C$27,Premissas!$C$47*(1+Premissas!$C$60)^((YEAR($A323)-YEAR(Premissas!$C$19))*12+MONTH($A323)-MONTH(Premissas!$C$19)),0)</f>
        <v>424.106325998134</v>
      </c>
      <c r="V323" s="16" t="n">
        <f aca="false">IF($A323&gt;=Premissas!$C$27,MAX(0,P323-Q323-R323-S323)*Premissas!$C$49,0)</f>
        <v>1545.66398722672</v>
      </c>
      <c r="W323" s="16" t="n">
        <f aca="false">P323-Q323-R323-S323-T323-U323-V323</f>
        <v>2802.61335196695</v>
      </c>
      <c r="X323" s="16" t="n">
        <f aca="false">W323-F323-G323-H323-M323</f>
        <v>2802.61335196695</v>
      </c>
      <c r="Y323" s="16" t="n">
        <f aca="false">Y322+X323</f>
        <v>-362659.449781273</v>
      </c>
      <c r="Z323" s="16" t="n">
        <f aca="false">Premissas!$C$14*(1+Premissas!$C$57)^((YEAR(Premissas!$C$19)-YEAR(Premissas!$C$18))*12+MONTH(Premissas!$C$19)-MONTH(Premissas!$C$18))*(1+Premissas!$C$61)^((YEAR($A323)-YEAR(Premissas!$C$19))*12+MONTH($A323)-MONTH(Premissas!$C$19))</f>
        <v>1742381.61186456</v>
      </c>
      <c r="AA323" s="16" t="n">
        <f aca="false">IF($A323&gt;=Premissas!$C$25,Z323*(1-Premissas!$C$53)-N323-Premissas!$C$54*MAX(0,Z323*(1-Premissas!$C$53)-(Premissas!$C$14*(1+Premissas!$C$57)^((YEAR(Premissas!$C$25)-YEAR(Premissas!$C$18))*12+MONTH(Premissas!$C$25)-MONTH(Premissas!$C$18))*(1+Premissas!$C$34))),"")</f>
        <v>1473365.11739145</v>
      </c>
      <c r="AB323" s="16" t="n">
        <f aca="false">IF($A323&gt;=Premissas!$C$25,Y323+AA323,"")</f>
        <v>1110705.66761017</v>
      </c>
      <c r="AC323" s="20" t="n">
        <f aca="false">IF(AND($A323&gt;=Premissas!$C$27,W323&gt;=M323),$A323,"")</f>
        <v>56066</v>
      </c>
      <c r="AD323" s="20" t="str">
        <f aca="false">IF(AND($A323&gt;=Premissas!$C$27,Y323&gt;=0),$A323,"")</f>
        <v/>
      </c>
      <c r="AE323" s="20" t="n">
        <f aca="false">IF(AND($A323&gt;=Premissas!$C$25,N(AB323)&gt;=0),$A323,"")</f>
        <v>56066</v>
      </c>
    </row>
    <row r="324" customFormat="false" ht="15" hidden="false" customHeight="false" outlineLevel="0" collapsed="false">
      <c r="A324" s="20" t="n">
        <f aca="false">DATE(YEAR(A323),MONTH(A323)+1,1)</f>
        <v>56097</v>
      </c>
      <c r="B324" s="5" t="str">
        <f aca="false">IF($A324&lt;Premissas!$C$25,"Obra",IF($A324=Premissas!$C$25,"Chaves",IF($A324&lt;Premissas!$C$27,"Mobiliando","Airbnb")))</f>
        <v>Airbnb</v>
      </c>
      <c r="C324" s="35" t="n">
        <f aca="false">(YEAR($A324)-YEAR(Premissas!$C$18))*12+MONTH($A324)-MONTH(Premissas!$C$18)</f>
        <v>323</v>
      </c>
      <c r="D324" s="16" t="n">
        <f aca="false">($A324=Premissas!$C$19)*Premissas!$C$8+(($A324=EDATE(Premissas!$C$19,1))+($A324=EDATE(Premissas!$C$19,2)))*Premissas!$C$9+AND($A324&gt;=Premissas!$C$20,$A324&lt;EDATE(Premissas!$C$20,Premissas!$C$21))*Premissas!$C$10+(($A324=Premissas!$C$22)+($A324=Premissas!$C$23)+($A324=Premissas!$C$24))*Premissas!$C$11+($A324=Premissas!$C$25)*Premissas!$C$12</f>
        <v>0</v>
      </c>
      <c r="E324" s="36" t="n">
        <f aca="false">(1+Premissas!$C$57)^C324</f>
        <v>4.22550582898439</v>
      </c>
      <c r="F324" s="16" t="n">
        <f aca="false">D324*E324</f>
        <v>0</v>
      </c>
      <c r="G324" s="16" t="n">
        <f aca="false">($A324=Premissas!$C$25)*Premissas!$C$34*Premissas!$C$14*(1+Premissas!$C$57)^C324</f>
        <v>0</v>
      </c>
      <c r="H324" s="16" t="n">
        <f aca="false">IF(AND($A324&gt;Premissas!$C$25,$A324&lt;Premissas!$C$27),Premissas!$C$35/MAX(1,Premissas!$C$26),0)</f>
        <v>0</v>
      </c>
      <c r="I324" s="35" t="n">
        <f aca="false">IF(AND($A324&gt;Premissas!$C$25,((YEAR($A324)-YEAR(Premissas!$C$25))*12+MONTH($A324)-MONTH(Premissas!$C$25))&lt;=Premissas!$C$32),((YEAR($A324)-YEAR(Premissas!$C$25))*12+MONTH($A324)-MONTH(Premissas!$C$25)),0)</f>
        <v>0</v>
      </c>
      <c r="J324" s="16" t="n">
        <f aca="false">IF(I324&gt;0,N323*(1+Premissas!$C$59),0)</f>
        <v>0</v>
      </c>
      <c r="K324" s="16" t="n">
        <f aca="false">J324*Premissas!$C$58</f>
        <v>0</v>
      </c>
      <c r="L324" s="16" t="n">
        <f aca="false">IF(I324&gt;0,J324/(Premissas!$C$32-I324+1),0)</f>
        <v>0</v>
      </c>
      <c r="M324" s="16" t="n">
        <f aca="false">K324+L324</f>
        <v>0</v>
      </c>
      <c r="N324" s="16" t="n">
        <f aca="false">IF($A324=Premissas!$C$25,Premissas!$C$13*E324,IF(I324&gt;0,J324-L324,0))</f>
        <v>0</v>
      </c>
      <c r="O324" s="37" t="n">
        <f aca="false">IF($A324&gt;=Premissas!$C$27,Premissas!$C$39*IF(((YEAR($A324)-YEAR(Premissas!$C$27))*12+MONTH($A324)-MONTH(Premissas!$C$27))&lt;Premissas!$C$41,Premissas!$C$42,1),0)</f>
        <v>0.62</v>
      </c>
      <c r="P324" s="16" t="n">
        <f aca="false">O324*Premissas!$C$38*Premissas!$C$40*(1+Premissas!$C$60)^((YEAR($A324)-YEAR(Premissas!$C$19))*12+MONTH($A324)-MONTH(Premissas!$C$19))</f>
        <v>12135.1099776539</v>
      </c>
      <c r="Q324" s="16" t="n">
        <f aca="false">P324*Premissas!$C$43</f>
        <v>1941.61759642463</v>
      </c>
      <c r="R324" s="16" t="n">
        <f aca="false">P324*Premissas!$C$44</f>
        <v>2427.02199553079</v>
      </c>
      <c r="S324" s="16" t="n">
        <f aca="false">IF($A324&gt;=Premissas!$C$25,Premissas!$C$45*(1+Premissas!$C$60)^((YEAR($A324)-YEAR(Premissas!$C$19))*12+MONTH($A324)-MONTH(Premissas!$C$19)),0)</f>
        <v>2127.47369874718</v>
      </c>
      <c r="T324" s="16" t="n">
        <f aca="false">IF($A324&gt;=Premissas!$C$27,Premissas!$C$46*(1+Premissas!$C$60)^((YEAR($A324)-YEAR(Premissas!$C$19))*12+MONTH($A324)-MONTH(Premissas!$C$19)),0)</f>
        <v>850.989479498873</v>
      </c>
      <c r="U324" s="16" t="n">
        <f aca="false">IF($A324&gt;=Premissas!$C$27,Premissas!$C$47*(1+Premissas!$C$60)^((YEAR($A324)-YEAR(Premissas!$C$19))*12+MONTH($A324)-MONTH(Premissas!$C$19)),0)</f>
        <v>425.494739749437</v>
      </c>
      <c r="V324" s="16" t="n">
        <f aca="false">IF($A324&gt;=Premissas!$C$27,MAX(0,P324-Q324-R324-S324)*Premissas!$C$49,0)</f>
        <v>1550.72408891162</v>
      </c>
      <c r="W324" s="16" t="n">
        <f aca="false">P324-Q324-R324-S324-T324-U324-V324</f>
        <v>2811.78837879141</v>
      </c>
      <c r="X324" s="16" t="n">
        <f aca="false">W324-F324-G324-H324-M324</f>
        <v>2811.78837879141</v>
      </c>
      <c r="Y324" s="16" t="n">
        <f aca="false">Y323+X324</f>
        <v>-359847.661402482</v>
      </c>
      <c r="Z324" s="16" t="n">
        <f aca="false">Premissas!$C$14*(1+Premissas!$C$57)^((YEAR(Premissas!$C$19)-YEAR(Premissas!$C$18))*12+MONTH(Premissas!$C$19)-MONTH(Premissas!$C$18))*(1+Premissas!$C$61)^((YEAR($A324)-YEAR(Premissas!$C$19))*12+MONTH($A324)-MONTH(Premissas!$C$19))</f>
        <v>1749480.29022965</v>
      </c>
      <c r="AA324" s="16" t="n">
        <f aca="false">IF($A324&gt;=Premissas!$C$25,Z324*(1-Premissas!$C$53)-N324-Premissas!$C$54*MAX(0,Z324*(1-Premissas!$C$53)-(Premissas!$C$14*(1+Premissas!$C$57)^((YEAR(Premissas!$C$25)-YEAR(Premissas!$C$18))*12+MONTH(Premissas!$C$25)-MONTH(Premissas!$C$18))*(1+Premissas!$C$34))),"")</f>
        <v>1479036.96140515</v>
      </c>
      <c r="AB324" s="16" t="n">
        <f aca="false">IF($A324&gt;=Premissas!$C$25,Y324+AA324,"")</f>
        <v>1119189.30000267</v>
      </c>
      <c r="AC324" s="20" t="n">
        <f aca="false">IF(AND($A324&gt;=Premissas!$C$27,W324&gt;=M324),$A324,"")</f>
        <v>56097</v>
      </c>
      <c r="AD324" s="20" t="str">
        <f aca="false">IF(AND($A324&gt;=Premissas!$C$27,Y324&gt;=0),$A324,"")</f>
        <v/>
      </c>
      <c r="AE324" s="20" t="n">
        <f aca="false">IF(AND($A324&gt;=Premissas!$C$25,N(AB324)&gt;=0),$A324,"")</f>
        <v>56097</v>
      </c>
    </row>
    <row r="325" customFormat="false" ht="15" hidden="false" customHeight="false" outlineLevel="0" collapsed="false">
      <c r="A325" s="20" t="n">
        <f aca="false">DATE(YEAR(A324),MONTH(A324)+1,1)</f>
        <v>56128</v>
      </c>
      <c r="B325" s="5" t="str">
        <f aca="false">IF($A325&lt;Premissas!$C$25,"Obra",IF($A325=Premissas!$C$25,"Chaves",IF($A325&lt;Premissas!$C$27,"Mobiliando","Airbnb")))</f>
        <v>Airbnb</v>
      </c>
      <c r="C325" s="35" t="n">
        <f aca="false">(YEAR($A325)-YEAR(Premissas!$C$18))*12+MONTH($A325)-MONTH(Premissas!$C$18)</f>
        <v>324</v>
      </c>
      <c r="D325" s="16" t="n">
        <f aca="false">($A325=Premissas!$C$19)*Premissas!$C$8+(($A325=EDATE(Premissas!$C$19,1))+($A325=EDATE(Premissas!$C$19,2)))*Premissas!$C$9+AND($A325&gt;=Premissas!$C$20,$A325&lt;EDATE(Premissas!$C$20,Premissas!$C$21))*Premissas!$C$10+(($A325=Premissas!$C$22)+($A325=Premissas!$C$23)+($A325=Premissas!$C$24))*Premissas!$C$11+($A325=Premissas!$C$25)*Premissas!$C$12</f>
        <v>0</v>
      </c>
      <c r="E325" s="36" t="n">
        <f aca="false">(1+Premissas!$C$57)^C325</f>
        <v>4.24440101882382</v>
      </c>
      <c r="F325" s="16" t="n">
        <f aca="false">D325*E325</f>
        <v>0</v>
      </c>
      <c r="G325" s="16" t="n">
        <f aca="false">($A325=Premissas!$C$25)*Premissas!$C$34*Premissas!$C$14*(1+Premissas!$C$57)^C325</f>
        <v>0</v>
      </c>
      <c r="H325" s="16" t="n">
        <f aca="false">IF(AND($A325&gt;Premissas!$C$25,$A325&lt;Premissas!$C$27),Premissas!$C$35/MAX(1,Premissas!$C$26),0)</f>
        <v>0</v>
      </c>
      <c r="I325" s="35" t="n">
        <f aca="false">IF(AND($A325&gt;Premissas!$C$25,((YEAR($A325)-YEAR(Premissas!$C$25))*12+MONTH($A325)-MONTH(Premissas!$C$25))&lt;=Premissas!$C$32),((YEAR($A325)-YEAR(Premissas!$C$25))*12+MONTH($A325)-MONTH(Premissas!$C$25)),0)</f>
        <v>0</v>
      </c>
      <c r="J325" s="16" t="n">
        <f aca="false">IF(I325&gt;0,N324*(1+Premissas!$C$59),0)</f>
        <v>0</v>
      </c>
      <c r="K325" s="16" t="n">
        <f aca="false">J325*Premissas!$C$58</f>
        <v>0</v>
      </c>
      <c r="L325" s="16" t="n">
        <f aca="false">IF(I325&gt;0,J325/(Premissas!$C$32-I325+1),0)</f>
        <v>0</v>
      </c>
      <c r="M325" s="16" t="n">
        <f aca="false">K325+L325</f>
        <v>0</v>
      </c>
      <c r="N325" s="16" t="n">
        <f aca="false">IF($A325=Premissas!$C$25,Premissas!$C$13*E325,IF(I325&gt;0,J325-L325,0))</f>
        <v>0</v>
      </c>
      <c r="O325" s="37" t="n">
        <f aca="false">IF($A325&gt;=Premissas!$C$27,Premissas!$C$39*IF(((YEAR($A325)-YEAR(Premissas!$C$27))*12+MONTH($A325)-MONTH(Premissas!$C$27))&lt;Premissas!$C$41,Premissas!$C$42,1),0)</f>
        <v>0.62</v>
      </c>
      <c r="P325" s="16" t="n">
        <f aca="false">O325*Premissas!$C$38*Premissas!$C$40*(1+Premissas!$C$60)^((YEAR($A325)-YEAR(Premissas!$C$19))*12+MONTH($A325)-MONTH(Premissas!$C$19))</f>
        <v>12174.8371699491</v>
      </c>
      <c r="Q325" s="16" t="n">
        <f aca="false">P325*Premissas!$C$43</f>
        <v>1947.97394719186</v>
      </c>
      <c r="R325" s="16" t="n">
        <f aca="false">P325*Premissas!$C$44</f>
        <v>2434.96743398983</v>
      </c>
      <c r="S325" s="16" t="n">
        <f aca="false">IF($A325&gt;=Premissas!$C$25,Premissas!$C$45*(1+Premissas!$C$60)^((YEAR($A325)-YEAR(Premissas!$C$19))*12+MONTH($A325)-MONTH(Premissas!$C$19)),0)</f>
        <v>2134.43849403035</v>
      </c>
      <c r="T325" s="16" t="n">
        <f aca="false">IF($A325&gt;=Premissas!$C$27,Premissas!$C$46*(1+Premissas!$C$60)^((YEAR($A325)-YEAR(Premissas!$C$19))*12+MONTH($A325)-MONTH(Premissas!$C$19)),0)</f>
        <v>853.775397612141</v>
      </c>
      <c r="U325" s="16" t="n">
        <f aca="false">IF($A325&gt;=Premissas!$C$27,Premissas!$C$47*(1+Premissas!$C$60)^((YEAR($A325)-YEAR(Premissas!$C$19))*12+MONTH($A325)-MONTH(Premissas!$C$19)),0)</f>
        <v>426.887698806071</v>
      </c>
      <c r="V325" s="16" t="n">
        <f aca="false">IF($A325&gt;=Premissas!$C$27,MAX(0,P325-Q325-R325-S325)*Premissas!$C$49,0)</f>
        <v>1555.8007560527</v>
      </c>
      <c r="W325" s="16" t="n">
        <f aca="false">P325-Q325-R325-S325-T325-U325-V325</f>
        <v>2820.99344226618</v>
      </c>
      <c r="X325" s="16" t="n">
        <f aca="false">W325-F325-G325-H325-M325</f>
        <v>2820.99344226618</v>
      </c>
      <c r="Y325" s="16" t="n">
        <f aca="false">Y324+X325</f>
        <v>-357026.667960215</v>
      </c>
      <c r="Z325" s="16" t="n">
        <f aca="false">Premissas!$C$14*(1+Premissas!$C$57)^((YEAR(Premissas!$C$19)-YEAR(Premissas!$C$18))*12+MONTH(Premissas!$C$19)-MONTH(Premissas!$C$18))*(1+Premissas!$C$61)^((YEAR($A325)-YEAR(Premissas!$C$19))*12+MONTH($A325)-MONTH(Premissas!$C$19))</f>
        <v>1756607.88948909</v>
      </c>
      <c r="AA325" s="16" t="n">
        <f aca="false">IF($A325&gt;=Premissas!$C$25,Z325*(1-Premissas!$C$53)-N325-Premissas!$C$54*MAX(0,Z325*(1-Premissas!$C$53)-(Premissas!$C$14*(1+Premissas!$C$57)^((YEAR(Premissas!$C$25)-YEAR(Premissas!$C$18))*12+MONTH(Premissas!$C$25)-MONTH(Premissas!$C$18))*(1+Premissas!$C$34))),"")</f>
        <v>1484731.91321345</v>
      </c>
      <c r="AB325" s="16" t="n">
        <f aca="false">IF($A325&gt;=Premissas!$C$25,Y325+AA325,"")</f>
        <v>1127705.24525324</v>
      </c>
      <c r="AC325" s="20" t="n">
        <f aca="false">IF(AND($A325&gt;=Premissas!$C$27,W325&gt;=M325),$A325,"")</f>
        <v>56128</v>
      </c>
      <c r="AD325" s="20" t="str">
        <f aca="false">IF(AND($A325&gt;=Premissas!$C$27,Y325&gt;=0),$A325,"")</f>
        <v/>
      </c>
      <c r="AE325" s="20" t="n">
        <f aca="false">IF(AND($A325&gt;=Premissas!$C$25,N(AB325)&gt;=0),$A325,"")</f>
        <v>56128</v>
      </c>
    </row>
    <row r="326" customFormat="false" ht="15" hidden="false" customHeight="false" outlineLevel="0" collapsed="false">
      <c r="A326" s="20" t="n">
        <f aca="false">DATE(YEAR(A325),MONTH(A325)+1,1)</f>
        <v>56158</v>
      </c>
      <c r="B326" s="5" t="str">
        <f aca="false">IF($A326&lt;Premissas!$C$25,"Obra",IF($A326=Premissas!$C$25,"Chaves",IF($A326&lt;Premissas!$C$27,"Mobiliando","Airbnb")))</f>
        <v>Airbnb</v>
      </c>
      <c r="C326" s="35" t="n">
        <f aca="false">(YEAR($A326)-YEAR(Premissas!$C$18))*12+MONTH($A326)-MONTH(Premissas!$C$18)</f>
        <v>325</v>
      </c>
      <c r="D326" s="16" t="n">
        <f aca="false">($A326=Premissas!$C$19)*Premissas!$C$8+(($A326=EDATE(Premissas!$C$19,1))+($A326=EDATE(Premissas!$C$19,2)))*Premissas!$C$9+AND($A326&gt;=Premissas!$C$20,$A326&lt;EDATE(Premissas!$C$20,Premissas!$C$21))*Premissas!$C$10+(($A326=Premissas!$C$22)+($A326=Premissas!$C$23)+($A326=Premissas!$C$24))*Premissas!$C$11+($A326=Premissas!$C$25)*Premissas!$C$12</f>
        <v>0</v>
      </c>
      <c r="E326" s="36" t="n">
        <f aca="false">(1+Premissas!$C$57)^C326</f>
        <v>4.26338070226319</v>
      </c>
      <c r="F326" s="16" t="n">
        <f aca="false">D326*E326</f>
        <v>0</v>
      </c>
      <c r="G326" s="16" t="n">
        <f aca="false">($A326=Premissas!$C$25)*Premissas!$C$34*Premissas!$C$14*(1+Premissas!$C$57)^C326</f>
        <v>0</v>
      </c>
      <c r="H326" s="16" t="n">
        <f aca="false">IF(AND($A326&gt;Premissas!$C$25,$A326&lt;Premissas!$C$27),Premissas!$C$35/MAX(1,Premissas!$C$26),0)</f>
        <v>0</v>
      </c>
      <c r="I326" s="35" t="n">
        <f aca="false">IF(AND($A326&gt;Premissas!$C$25,((YEAR($A326)-YEAR(Premissas!$C$25))*12+MONTH($A326)-MONTH(Premissas!$C$25))&lt;=Premissas!$C$32),((YEAR($A326)-YEAR(Premissas!$C$25))*12+MONTH($A326)-MONTH(Premissas!$C$25)),0)</f>
        <v>0</v>
      </c>
      <c r="J326" s="16" t="n">
        <f aca="false">IF(I326&gt;0,N325*(1+Premissas!$C$59),0)</f>
        <v>0</v>
      </c>
      <c r="K326" s="16" t="n">
        <f aca="false">J326*Premissas!$C$58</f>
        <v>0</v>
      </c>
      <c r="L326" s="16" t="n">
        <f aca="false">IF(I326&gt;0,J326/(Premissas!$C$32-I326+1),0)</f>
        <v>0</v>
      </c>
      <c r="M326" s="16" t="n">
        <f aca="false">K326+L326</f>
        <v>0</v>
      </c>
      <c r="N326" s="16" t="n">
        <f aca="false">IF($A326=Premissas!$C$25,Premissas!$C$13*E326,IF(I326&gt;0,J326-L326,0))</f>
        <v>0</v>
      </c>
      <c r="O326" s="37" t="n">
        <f aca="false">IF($A326&gt;=Premissas!$C$27,Premissas!$C$39*IF(((YEAR($A326)-YEAR(Premissas!$C$27))*12+MONTH($A326)-MONTH(Premissas!$C$27))&lt;Premissas!$C$41,Premissas!$C$42,1),0)</f>
        <v>0.62</v>
      </c>
      <c r="P326" s="16" t="n">
        <f aca="false">O326*Premissas!$C$38*Premissas!$C$40*(1+Premissas!$C$60)^((YEAR($A326)-YEAR(Premissas!$C$19))*12+MONTH($A326)-MONTH(Premissas!$C$19))</f>
        <v>12214.6944187342</v>
      </c>
      <c r="Q326" s="16" t="n">
        <f aca="false">P326*Premissas!$C$43</f>
        <v>1954.35110699747</v>
      </c>
      <c r="R326" s="16" t="n">
        <f aca="false">P326*Premissas!$C$44</f>
        <v>2442.93888374684</v>
      </c>
      <c r="S326" s="16" t="n">
        <f aca="false">IF($A326&gt;=Premissas!$C$25,Premissas!$C$45*(1+Premissas!$C$60)^((YEAR($A326)-YEAR(Premissas!$C$19))*12+MONTH($A326)-MONTH(Premissas!$C$19)),0)</f>
        <v>2141.42609024092</v>
      </c>
      <c r="T326" s="16" t="n">
        <f aca="false">IF($A326&gt;=Premissas!$C$27,Premissas!$C$46*(1+Premissas!$C$60)^((YEAR($A326)-YEAR(Premissas!$C$19))*12+MONTH($A326)-MONTH(Premissas!$C$19)),0)</f>
        <v>856.570436096367</v>
      </c>
      <c r="U326" s="16" t="n">
        <f aca="false">IF($A326&gt;=Premissas!$C$27,Premissas!$C$47*(1+Premissas!$C$60)^((YEAR($A326)-YEAR(Premissas!$C$19))*12+MONTH($A326)-MONTH(Premissas!$C$19)),0)</f>
        <v>428.285218048184</v>
      </c>
      <c r="V326" s="16" t="n">
        <f aca="false">IF($A326&gt;=Premissas!$C$27,MAX(0,P326-Q326-R326-S326)*Premissas!$C$49,0)</f>
        <v>1560.89404288097</v>
      </c>
      <c r="W326" s="16" t="n">
        <f aca="false">P326-Q326-R326-S326-T326-U326-V326</f>
        <v>2830.22864072345</v>
      </c>
      <c r="X326" s="16" t="n">
        <f aca="false">W326-F326-G326-H326-M326</f>
        <v>2830.22864072345</v>
      </c>
      <c r="Y326" s="16" t="n">
        <f aca="false">Y325+X326</f>
        <v>-354196.439319492</v>
      </c>
      <c r="Z326" s="16" t="n">
        <f aca="false">Premissas!$C$14*(1+Premissas!$C$57)^((YEAR(Premissas!$C$19)-YEAR(Premissas!$C$18))*12+MONTH(Premissas!$C$19)-MONTH(Premissas!$C$18))*(1+Premissas!$C$61)^((YEAR($A326)-YEAR(Premissas!$C$19))*12+MONTH($A326)-MONTH(Premissas!$C$19))</f>
        <v>1763764.52747021</v>
      </c>
      <c r="AA326" s="16" t="n">
        <f aca="false">IF($A326&gt;=Premissas!$C$25,Z326*(1-Premissas!$C$53)-N326-Premissas!$C$54*MAX(0,Z326*(1-Premissas!$C$53)-(Premissas!$C$14*(1+Premissas!$C$57)^((YEAR(Premissas!$C$25)-YEAR(Premissas!$C$18))*12+MONTH(Premissas!$C$25)-MONTH(Premissas!$C$18))*(1+Premissas!$C$34))),"")</f>
        <v>1490450.06696036</v>
      </c>
      <c r="AB326" s="16" t="n">
        <f aca="false">IF($A326&gt;=Premissas!$C$25,Y326+AA326,"")</f>
        <v>1136253.62764087</v>
      </c>
      <c r="AC326" s="20" t="n">
        <f aca="false">IF(AND($A326&gt;=Premissas!$C$27,W326&gt;=M326),$A326,"")</f>
        <v>56158</v>
      </c>
      <c r="AD326" s="20" t="str">
        <f aca="false">IF(AND($A326&gt;=Premissas!$C$27,Y326&gt;=0),$A326,"")</f>
        <v/>
      </c>
      <c r="AE326" s="20" t="n">
        <f aca="false">IF(AND($A326&gt;=Premissas!$C$25,N(AB326)&gt;=0),$A326,"")</f>
        <v>56158</v>
      </c>
    </row>
    <row r="327" customFormat="false" ht="15" hidden="false" customHeight="false" outlineLevel="0" collapsed="false">
      <c r="A327" s="20" t="n">
        <f aca="false">DATE(YEAR(A326),MONTH(A326)+1,1)</f>
        <v>56189</v>
      </c>
      <c r="B327" s="5" t="str">
        <f aca="false">IF($A327&lt;Premissas!$C$25,"Obra",IF($A327=Premissas!$C$25,"Chaves",IF($A327&lt;Premissas!$C$27,"Mobiliando","Airbnb")))</f>
        <v>Airbnb</v>
      </c>
      <c r="C327" s="35" t="n">
        <f aca="false">(YEAR($A327)-YEAR(Premissas!$C$18))*12+MONTH($A327)-MONTH(Premissas!$C$18)</f>
        <v>326</v>
      </c>
      <c r="D327" s="16" t="n">
        <f aca="false">($A327=Premissas!$C$19)*Premissas!$C$8+(($A327=EDATE(Premissas!$C$19,1))+($A327=EDATE(Premissas!$C$19,2)))*Premissas!$C$9+AND($A327&gt;=Premissas!$C$20,$A327&lt;EDATE(Premissas!$C$20,Premissas!$C$21))*Premissas!$C$10+(($A327=Premissas!$C$22)+($A327=Premissas!$C$23)+($A327=Premissas!$C$24))*Premissas!$C$11+($A327=Premissas!$C$25)*Premissas!$C$12</f>
        <v>0</v>
      </c>
      <c r="E327" s="36" t="n">
        <f aca="false">(1+Premissas!$C$57)^C327</f>
        <v>4.28244525713244</v>
      </c>
      <c r="F327" s="16" t="n">
        <f aca="false">D327*E327</f>
        <v>0</v>
      </c>
      <c r="G327" s="16" t="n">
        <f aca="false">($A327=Premissas!$C$25)*Premissas!$C$34*Premissas!$C$14*(1+Premissas!$C$57)^C327</f>
        <v>0</v>
      </c>
      <c r="H327" s="16" t="n">
        <f aca="false">IF(AND($A327&gt;Premissas!$C$25,$A327&lt;Premissas!$C$27),Premissas!$C$35/MAX(1,Premissas!$C$26),0)</f>
        <v>0</v>
      </c>
      <c r="I327" s="35" t="n">
        <f aca="false">IF(AND($A327&gt;Premissas!$C$25,((YEAR($A327)-YEAR(Premissas!$C$25))*12+MONTH($A327)-MONTH(Premissas!$C$25))&lt;=Premissas!$C$32),((YEAR($A327)-YEAR(Premissas!$C$25))*12+MONTH($A327)-MONTH(Premissas!$C$25)),0)</f>
        <v>0</v>
      </c>
      <c r="J327" s="16" t="n">
        <f aca="false">IF(I327&gt;0,N326*(1+Premissas!$C$59),0)</f>
        <v>0</v>
      </c>
      <c r="K327" s="16" t="n">
        <f aca="false">J327*Premissas!$C$58</f>
        <v>0</v>
      </c>
      <c r="L327" s="16" t="n">
        <f aca="false">IF(I327&gt;0,J327/(Premissas!$C$32-I327+1),0)</f>
        <v>0</v>
      </c>
      <c r="M327" s="16" t="n">
        <f aca="false">K327+L327</f>
        <v>0</v>
      </c>
      <c r="N327" s="16" t="n">
        <f aca="false">IF($A327=Premissas!$C$25,Premissas!$C$13*E327,IF(I327&gt;0,J327-L327,0))</f>
        <v>0</v>
      </c>
      <c r="O327" s="37" t="n">
        <f aca="false">IF($A327&gt;=Premissas!$C$27,Premissas!$C$39*IF(((YEAR($A327)-YEAR(Premissas!$C$27))*12+MONTH($A327)-MONTH(Premissas!$C$27))&lt;Premissas!$C$41,Premissas!$C$42,1),0)</f>
        <v>0.62</v>
      </c>
      <c r="P327" s="16" t="n">
        <f aca="false">O327*Premissas!$C$38*Premissas!$C$40*(1+Premissas!$C$60)^((YEAR($A327)-YEAR(Premissas!$C$19))*12+MONTH($A327)-MONTH(Premissas!$C$19))</f>
        <v>12254.6821497802</v>
      </c>
      <c r="Q327" s="16" t="n">
        <f aca="false">P327*Premissas!$C$43</f>
        <v>1960.74914396483</v>
      </c>
      <c r="R327" s="16" t="n">
        <f aca="false">P327*Premissas!$C$44</f>
        <v>2450.93642995604</v>
      </c>
      <c r="S327" s="16" t="n">
        <f aca="false">IF($A327&gt;=Premissas!$C$25,Premissas!$C$45*(1+Premissas!$C$60)^((YEAR($A327)-YEAR(Premissas!$C$19))*12+MONTH($A327)-MONTH(Premissas!$C$19)),0)</f>
        <v>2148.43656202318</v>
      </c>
      <c r="T327" s="16" t="n">
        <f aca="false">IF($A327&gt;=Premissas!$C$27,Premissas!$C$46*(1+Premissas!$C$60)^((YEAR($A327)-YEAR(Premissas!$C$19))*12+MONTH($A327)-MONTH(Premissas!$C$19)),0)</f>
        <v>859.374624809271</v>
      </c>
      <c r="U327" s="16" t="n">
        <f aca="false">IF($A327&gt;=Premissas!$C$27,Premissas!$C$47*(1+Premissas!$C$60)^((YEAR($A327)-YEAR(Premissas!$C$19))*12+MONTH($A327)-MONTH(Premissas!$C$19)),0)</f>
        <v>429.687312404636</v>
      </c>
      <c r="V327" s="16" t="n">
        <f aca="false">IF($A327&gt;=Premissas!$C$27,MAX(0,P327-Q327-R327-S327)*Premissas!$C$49,0)</f>
        <v>1566.00400380494</v>
      </c>
      <c r="W327" s="16" t="n">
        <f aca="false">P327-Q327-R327-S327-T327-U327-V327</f>
        <v>2839.4940728173</v>
      </c>
      <c r="X327" s="16" t="n">
        <f aca="false">W327-F327-G327-H327-M327</f>
        <v>2839.4940728173</v>
      </c>
      <c r="Y327" s="16" t="n">
        <f aca="false">Y326+X327</f>
        <v>-351356.945246675</v>
      </c>
      <c r="Z327" s="16" t="n">
        <f aca="false">Premissas!$C$14*(1+Premissas!$C$57)^((YEAR(Premissas!$C$19)-YEAR(Premissas!$C$18))*12+MONTH(Premissas!$C$19)-MONTH(Premissas!$C$18))*(1+Premissas!$C$61)^((YEAR($A327)-YEAR(Premissas!$C$19))*12+MONTH($A327)-MONTH(Premissas!$C$19))</f>
        <v>1770950.32248033</v>
      </c>
      <c r="AA327" s="16" t="n">
        <f aca="false">IF($A327&gt;=Premissas!$C$25,Z327*(1-Premissas!$C$53)-N327-Premissas!$C$54*MAX(0,Z327*(1-Premissas!$C$53)-(Premissas!$C$14*(1+Premissas!$C$57)^((YEAR(Premissas!$C$25)-YEAR(Premissas!$C$18))*12+MONTH(Premissas!$C$25)-MONTH(Premissas!$C$18))*(1+Premissas!$C$34))),"")</f>
        <v>1496191.51717345</v>
      </c>
      <c r="AB327" s="16" t="n">
        <f aca="false">IF($A327&gt;=Premissas!$C$25,Y327+AA327,"")</f>
        <v>1144834.57192677</v>
      </c>
      <c r="AC327" s="20" t="n">
        <f aca="false">IF(AND($A327&gt;=Premissas!$C$27,W327&gt;=M327),$A327,"")</f>
        <v>56189</v>
      </c>
      <c r="AD327" s="20" t="str">
        <f aca="false">IF(AND($A327&gt;=Premissas!$C$27,Y327&gt;=0),$A327,"")</f>
        <v/>
      </c>
      <c r="AE327" s="20" t="n">
        <f aca="false">IF(AND($A327&gt;=Premissas!$C$25,N(AB327)&gt;=0),$A327,"")</f>
        <v>56189</v>
      </c>
    </row>
    <row r="328" customFormat="false" ht="15" hidden="false" customHeight="false" outlineLevel="0" collapsed="false">
      <c r="A328" s="20" t="n">
        <f aca="false">DATE(YEAR(A327),MONTH(A327)+1,1)</f>
        <v>56219</v>
      </c>
      <c r="B328" s="5" t="str">
        <f aca="false">IF($A328&lt;Premissas!$C$25,"Obra",IF($A328=Premissas!$C$25,"Chaves",IF($A328&lt;Premissas!$C$27,"Mobiliando","Airbnb")))</f>
        <v>Airbnb</v>
      </c>
      <c r="C328" s="35" t="n">
        <f aca="false">(YEAR($A328)-YEAR(Premissas!$C$18))*12+MONTH($A328)-MONTH(Premissas!$C$18)</f>
        <v>327</v>
      </c>
      <c r="D328" s="16" t="n">
        <f aca="false">($A328=Premissas!$C$19)*Premissas!$C$8+(($A328=EDATE(Premissas!$C$19,1))+($A328=EDATE(Premissas!$C$19,2)))*Premissas!$C$9+AND($A328&gt;=Premissas!$C$20,$A328&lt;EDATE(Premissas!$C$20,Premissas!$C$21))*Premissas!$C$10+(($A328=Premissas!$C$22)+($A328=Premissas!$C$23)+($A328=Premissas!$C$24))*Premissas!$C$11+($A328=Premissas!$C$25)*Premissas!$C$12</f>
        <v>0</v>
      </c>
      <c r="E328" s="36" t="n">
        <f aca="false">(1+Premissas!$C$57)^C328</f>
        <v>4.30159506295106</v>
      </c>
      <c r="F328" s="16" t="n">
        <f aca="false">D328*E328</f>
        <v>0</v>
      </c>
      <c r="G328" s="16" t="n">
        <f aca="false">($A328=Premissas!$C$25)*Premissas!$C$34*Premissas!$C$14*(1+Premissas!$C$57)^C328</f>
        <v>0</v>
      </c>
      <c r="H328" s="16" t="n">
        <f aca="false">IF(AND($A328&gt;Premissas!$C$25,$A328&lt;Premissas!$C$27),Premissas!$C$35/MAX(1,Premissas!$C$26),0)</f>
        <v>0</v>
      </c>
      <c r="I328" s="35" t="n">
        <f aca="false">IF(AND($A328&gt;Premissas!$C$25,((YEAR($A328)-YEAR(Premissas!$C$25))*12+MONTH($A328)-MONTH(Premissas!$C$25))&lt;=Premissas!$C$32),((YEAR($A328)-YEAR(Premissas!$C$25))*12+MONTH($A328)-MONTH(Premissas!$C$25)),0)</f>
        <v>0</v>
      </c>
      <c r="J328" s="16" t="n">
        <f aca="false">IF(I328&gt;0,N327*(1+Premissas!$C$59),0)</f>
        <v>0</v>
      </c>
      <c r="K328" s="16" t="n">
        <f aca="false">J328*Premissas!$C$58</f>
        <v>0</v>
      </c>
      <c r="L328" s="16" t="n">
        <f aca="false">IF(I328&gt;0,J328/(Premissas!$C$32-I328+1),0)</f>
        <v>0</v>
      </c>
      <c r="M328" s="16" t="n">
        <f aca="false">K328+L328</f>
        <v>0</v>
      </c>
      <c r="N328" s="16" t="n">
        <f aca="false">IF($A328=Premissas!$C$25,Premissas!$C$13*E328,IF(I328&gt;0,J328-L328,0))</f>
        <v>0</v>
      </c>
      <c r="O328" s="37" t="n">
        <f aca="false">IF($A328&gt;=Premissas!$C$27,Premissas!$C$39*IF(((YEAR($A328)-YEAR(Premissas!$C$27))*12+MONTH($A328)-MONTH(Premissas!$C$27))&lt;Premissas!$C$41,Premissas!$C$42,1),0)</f>
        <v>0.62</v>
      </c>
      <c r="P328" s="16" t="n">
        <f aca="false">O328*Premissas!$C$38*Premissas!$C$40*(1+Premissas!$C$60)^((YEAR($A328)-YEAR(Premissas!$C$19))*12+MONTH($A328)-MONTH(Premissas!$C$19))</f>
        <v>12294.8007902521</v>
      </c>
      <c r="Q328" s="16" t="n">
        <f aca="false">P328*Premissas!$C$43</f>
        <v>1967.16812644034</v>
      </c>
      <c r="R328" s="16" t="n">
        <f aca="false">P328*Premissas!$C$44</f>
        <v>2458.96015805043</v>
      </c>
      <c r="S328" s="16" t="n">
        <f aca="false">IF($A328&gt;=Premissas!$C$25,Premissas!$C$45*(1+Premissas!$C$60)^((YEAR($A328)-YEAR(Premissas!$C$19))*12+MONTH($A328)-MONTH(Premissas!$C$19)),0)</f>
        <v>2155.4699842658</v>
      </c>
      <c r="T328" s="16" t="n">
        <f aca="false">IF($A328&gt;=Premissas!$C$27,Premissas!$C$46*(1+Premissas!$C$60)^((YEAR($A328)-YEAR(Premissas!$C$19))*12+MONTH($A328)-MONTH(Premissas!$C$19)),0)</f>
        <v>862.187993706322</v>
      </c>
      <c r="U328" s="16" t="n">
        <f aca="false">IF($A328&gt;=Premissas!$C$27,Premissas!$C$47*(1+Premissas!$C$60)^((YEAR($A328)-YEAR(Premissas!$C$19))*12+MONTH($A328)-MONTH(Premissas!$C$19)),0)</f>
        <v>431.093996853161</v>
      </c>
      <c r="V328" s="16" t="n">
        <f aca="false">IF($A328&gt;=Premissas!$C$27,MAX(0,P328-Q328-R328-S328)*Premissas!$C$49,0)</f>
        <v>1571.13069341128</v>
      </c>
      <c r="W328" s="16" t="n">
        <f aca="false">P328-Q328-R328-S328-T328-U328-V328</f>
        <v>2848.78983752481</v>
      </c>
      <c r="X328" s="16" t="n">
        <f aca="false">W328-F328-G328-H328-M328</f>
        <v>2848.78983752481</v>
      </c>
      <c r="Y328" s="16" t="n">
        <f aca="false">Y327+X328</f>
        <v>-348508.15540915</v>
      </c>
      <c r="Z328" s="16" t="n">
        <f aca="false">Premissas!$C$14*(1+Premissas!$C$57)^((YEAR(Premissas!$C$19)-YEAR(Premissas!$C$18))*12+MONTH(Premissas!$C$19)-MONTH(Premissas!$C$18))*(1+Premissas!$C$61)^((YEAR($A328)-YEAR(Premissas!$C$19))*12+MONTH($A328)-MONTH(Premissas!$C$19))</f>
        <v>1778165.3933088</v>
      </c>
      <c r="AA328" s="16" t="n">
        <f aca="false">IF($A328&gt;=Premissas!$C$25,Z328*(1-Premissas!$C$53)-N328-Premissas!$C$54*MAX(0,Z328*(1-Premissas!$C$53)-(Premissas!$C$14*(1+Premissas!$C$57)^((YEAR(Premissas!$C$25)-YEAR(Premissas!$C$18))*12+MONTH(Premissas!$C$25)-MONTH(Premissas!$C$18))*(1+Premissas!$C$34))),"")</f>
        <v>1501956.3587654</v>
      </c>
      <c r="AB328" s="16" t="n">
        <f aca="false">IF($A328&gt;=Premissas!$C$25,Y328+AA328,"")</f>
        <v>1153448.20335625</v>
      </c>
      <c r="AC328" s="20" t="n">
        <f aca="false">IF(AND($A328&gt;=Premissas!$C$27,W328&gt;=M328),$A328,"")</f>
        <v>56219</v>
      </c>
      <c r="AD328" s="20" t="str">
        <f aca="false">IF(AND($A328&gt;=Premissas!$C$27,Y328&gt;=0),$A328,"")</f>
        <v/>
      </c>
      <c r="AE328" s="20" t="n">
        <f aca="false">IF(AND($A328&gt;=Premissas!$C$25,N(AB328)&gt;=0),$A328,"")</f>
        <v>56219</v>
      </c>
    </row>
    <row r="329" customFormat="false" ht="15" hidden="false" customHeight="false" outlineLevel="0" collapsed="false">
      <c r="A329" s="29" t="n">
        <f aca="false">DATE(YEAR(A328),MONTH(A328)+1,1)</f>
        <v>56250</v>
      </c>
      <c r="B329" s="30" t="str">
        <f aca="false">IF($A329&lt;Premissas!$C$25,"Obra",IF($A329=Premissas!$C$25,"Chaves",IF($A329&lt;Premissas!$C$27,"Mobiliando","Airbnb")))</f>
        <v>Airbnb</v>
      </c>
      <c r="C329" s="31" t="n">
        <f aca="false">(YEAR($A329)-YEAR(Premissas!$C$18))*12+MONTH($A329)-MONTH(Premissas!$C$18)</f>
        <v>328</v>
      </c>
      <c r="D329" s="32" t="n">
        <f aca="false">($A329=Premissas!$C$19)*Premissas!$C$8+(($A329=EDATE(Premissas!$C$19,1))+($A329=EDATE(Premissas!$C$19,2)))*Premissas!$C$9+AND($A329&gt;=Premissas!$C$20,$A329&lt;EDATE(Premissas!$C$20,Premissas!$C$21))*Premissas!$C$10+(($A329=Premissas!$C$22)+($A329=Premissas!$C$23)+($A329=Premissas!$C$24))*Premissas!$C$11+($A329=Premissas!$C$25)*Premissas!$C$12</f>
        <v>0</v>
      </c>
      <c r="E329" s="33" t="n">
        <f aca="false">(1+Premissas!$C$57)^C329</f>
        <v>4.32083050093561</v>
      </c>
      <c r="F329" s="32" t="n">
        <f aca="false">D329*E329</f>
        <v>0</v>
      </c>
      <c r="G329" s="32" t="n">
        <f aca="false">($A329=Premissas!$C$25)*Premissas!$C$34*Premissas!$C$14*(1+Premissas!$C$57)^C329</f>
        <v>0</v>
      </c>
      <c r="H329" s="32" t="n">
        <f aca="false">IF(AND($A329&gt;Premissas!$C$25,$A329&lt;Premissas!$C$27),Premissas!$C$35/MAX(1,Premissas!$C$26),0)</f>
        <v>0</v>
      </c>
      <c r="I329" s="31" t="n">
        <f aca="false">IF(AND($A329&gt;Premissas!$C$25,((YEAR($A329)-YEAR(Premissas!$C$25))*12+MONTH($A329)-MONTH(Premissas!$C$25))&lt;=Premissas!$C$32),((YEAR($A329)-YEAR(Premissas!$C$25))*12+MONTH($A329)-MONTH(Premissas!$C$25)),0)</f>
        <v>0</v>
      </c>
      <c r="J329" s="32" t="n">
        <f aca="false">IF(I329&gt;0,N328*(1+Premissas!$C$59),0)</f>
        <v>0</v>
      </c>
      <c r="K329" s="32" t="n">
        <f aca="false">J329*Premissas!$C$58</f>
        <v>0</v>
      </c>
      <c r="L329" s="32" t="n">
        <f aca="false">IF(I329&gt;0,J329/(Premissas!$C$32-I329+1),0)</f>
        <v>0</v>
      </c>
      <c r="M329" s="32" t="n">
        <f aca="false">K329+L329</f>
        <v>0</v>
      </c>
      <c r="N329" s="32" t="n">
        <f aca="false">IF($A329=Premissas!$C$25,Premissas!$C$13*E329,IF(I329&gt;0,J329-L329,0))</f>
        <v>0</v>
      </c>
      <c r="O329" s="34" t="n">
        <f aca="false">IF($A329&gt;=Premissas!$C$27,Premissas!$C$39*IF(((YEAR($A329)-YEAR(Premissas!$C$27))*12+MONTH($A329)-MONTH(Premissas!$C$27))&lt;Premissas!$C$41,Premissas!$C$42,1),0)</f>
        <v>0.62</v>
      </c>
      <c r="P329" s="32" t="n">
        <f aca="false">O329*Premissas!$C$38*Premissas!$C$40*(1+Premissas!$C$60)^((YEAR($A329)-YEAR(Premissas!$C$19))*12+MONTH($A329)-MONTH(Premissas!$C$19))</f>
        <v>12335.0507687134</v>
      </c>
      <c r="Q329" s="32" t="n">
        <f aca="false">P329*Premissas!$C$43</f>
        <v>1973.60812299414</v>
      </c>
      <c r="R329" s="32" t="n">
        <f aca="false">P329*Premissas!$C$44</f>
        <v>2467.01015374268</v>
      </c>
      <c r="S329" s="32" t="n">
        <f aca="false">IF($A329&gt;=Premissas!$C$25,Premissas!$C$45*(1+Premissas!$C$60)^((YEAR($A329)-YEAR(Premissas!$C$19))*12+MONTH($A329)-MONTH(Premissas!$C$19)),0)</f>
        <v>2162.52643210263</v>
      </c>
      <c r="T329" s="32" t="n">
        <f aca="false">IF($A329&gt;=Premissas!$C$27,Premissas!$C$46*(1+Premissas!$C$60)^((YEAR($A329)-YEAR(Premissas!$C$19))*12+MONTH($A329)-MONTH(Premissas!$C$19)),0)</f>
        <v>865.010572841052</v>
      </c>
      <c r="U329" s="32" t="n">
        <f aca="false">IF($A329&gt;=Premissas!$C$27,Premissas!$C$47*(1+Premissas!$C$60)^((YEAR($A329)-YEAR(Premissas!$C$19))*12+MONTH($A329)-MONTH(Premissas!$C$19)),0)</f>
        <v>432.505286420526</v>
      </c>
      <c r="V329" s="32" t="n">
        <f aca="false">IF($A329&gt;=Premissas!$C$27,MAX(0,P329-Q329-R329-S329)*Premissas!$C$49,0)</f>
        <v>1576.27416646534</v>
      </c>
      <c r="W329" s="32" t="n">
        <f aca="false">P329-Q329-R329-S329-T329-U329-V329</f>
        <v>2858.11603414703</v>
      </c>
      <c r="X329" s="32" t="n">
        <f aca="false">W329-F329-G329-H329-M329</f>
        <v>2858.11603414703</v>
      </c>
      <c r="Y329" s="32" t="n">
        <f aca="false">Y328+X329</f>
        <v>-345650.039375003</v>
      </c>
      <c r="Z329" s="32" t="n">
        <f aca="false">Premissas!$C$14*(1+Premissas!$C$57)^((YEAR(Premissas!$C$19)-YEAR(Premissas!$C$18))*12+MONTH(Premissas!$C$19)-MONTH(Premissas!$C$18))*(1+Premissas!$C$61)^((YEAR($A329)-YEAR(Premissas!$C$19))*12+MONTH($A329)-MONTH(Premissas!$C$19))</f>
        <v>1785409.85922894</v>
      </c>
      <c r="AA329" s="32" t="n">
        <f aca="false">IF($A329&gt;=Premissas!$C$25,Z329*(1-Premissas!$C$53)-N329-Premissas!$C$54*MAX(0,Z329*(1-Premissas!$C$53)-(Premissas!$C$14*(1+Premissas!$C$57)^((YEAR(Premissas!$C$25)-YEAR(Premissas!$C$18))*12+MONTH(Premissas!$C$25)-MONTH(Premissas!$C$18))*(1+Premissas!$C$34))),"")</f>
        <v>1507744.68703559</v>
      </c>
      <c r="AB329" s="32" t="n">
        <f aca="false">IF($A329&gt;=Premissas!$C$25,Y329+AA329,"")</f>
        <v>1162094.64766059</v>
      </c>
      <c r="AC329" s="29" t="n">
        <f aca="false">IF(AND($A329&gt;=Premissas!$C$27,W329&gt;=M329),$A329,"")</f>
        <v>56250</v>
      </c>
      <c r="AD329" s="29" t="str">
        <f aca="false">IF(AND($A329&gt;=Premissas!$C$27,Y329&gt;=0),$A329,"")</f>
        <v/>
      </c>
      <c r="AE329" s="29" t="n">
        <f aca="false">IF(AND($A329&gt;=Premissas!$C$25,N(AB329)&gt;=0),$A329,"")</f>
        <v>56250</v>
      </c>
    </row>
    <row r="330" customFormat="false" ht="15" hidden="false" customHeight="false" outlineLevel="0" collapsed="false">
      <c r="A330" s="20" t="n">
        <f aca="false">DATE(YEAR(A329),MONTH(A329)+1,1)</f>
        <v>56281</v>
      </c>
      <c r="B330" s="5" t="str">
        <f aca="false">IF($A330&lt;Premissas!$C$25,"Obra",IF($A330=Premissas!$C$25,"Chaves",IF($A330&lt;Premissas!$C$27,"Mobiliando","Airbnb")))</f>
        <v>Airbnb</v>
      </c>
      <c r="C330" s="35" t="n">
        <f aca="false">(YEAR($A330)-YEAR(Premissas!$C$18))*12+MONTH($A330)-MONTH(Premissas!$C$18)</f>
        <v>329</v>
      </c>
      <c r="D330" s="16" t="n">
        <f aca="false">($A330=Premissas!$C$19)*Premissas!$C$8+(($A330=EDATE(Premissas!$C$19,1))+($A330=EDATE(Premissas!$C$19,2)))*Premissas!$C$9+AND($A330&gt;=Premissas!$C$20,$A330&lt;EDATE(Premissas!$C$20,Premissas!$C$21))*Premissas!$C$10+(($A330=Premissas!$C$22)+($A330=Premissas!$C$23)+($A330=Premissas!$C$24))*Premissas!$C$11+($A330=Premissas!$C$25)*Premissas!$C$12</f>
        <v>0</v>
      </c>
      <c r="E330" s="36" t="n">
        <f aca="false">(1+Premissas!$C$57)^C330</f>
        <v>4.34015195400737</v>
      </c>
      <c r="F330" s="16" t="n">
        <f aca="false">D330*E330</f>
        <v>0</v>
      </c>
      <c r="G330" s="16" t="n">
        <f aca="false">($A330=Premissas!$C$25)*Premissas!$C$34*Premissas!$C$14*(1+Premissas!$C$57)^C330</f>
        <v>0</v>
      </c>
      <c r="H330" s="16" t="n">
        <f aca="false">IF(AND($A330&gt;Premissas!$C$25,$A330&lt;Premissas!$C$27),Premissas!$C$35/MAX(1,Premissas!$C$26),0)</f>
        <v>0</v>
      </c>
      <c r="I330" s="35" t="n">
        <f aca="false">IF(AND($A330&gt;Premissas!$C$25,((YEAR($A330)-YEAR(Premissas!$C$25))*12+MONTH($A330)-MONTH(Premissas!$C$25))&lt;=Premissas!$C$32),((YEAR($A330)-YEAR(Premissas!$C$25))*12+MONTH($A330)-MONTH(Premissas!$C$25)),0)</f>
        <v>0</v>
      </c>
      <c r="J330" s="16" t="n">
        <f aca="false">IF(I330&gt;0,N329*(1+Premissas!$C$59),0)</f>
        <v>0</v>
      </c>
      <c r="K330" s="16" t="n">
        <f aca="false">J330*Premissas!$C$58</f>
        <v>0</v>
      </c>
      <c r="L330" s="16" t="n">
        <f aca="false">IF(I330&gt;0,J330/(Premissas!$C$32-I330+1),0)</f>
        <v>0</v>
      </c>
      <c r="M330" s="16" t="n">
        <f aca="false">K330+L330</f>
        <v>0</v>
      </c>
      <c r="N330" s="16" t="n">
        <f aca="false">IF($A330=Premissas!$C$25,Premissas!$C$13*E330,IF(I330&gt;0,J330-L330,0))</f>
        <v>0</v>
      </c>
      <c r="O330" s="37" t="n">
        <f aca="false">IF($A330&gt;=Premissas!$C$27,Premissas!$C$39*IF(((YEAR($A330)-YEAR(Premissas!$C$27))*12+MONTH($A330)-MONTH(Premissas!$C$27))&lt;Premissas!$C$41,Premissas!$C$42,1),0)</f>
        <v>0.62</v>
      </c>
      <c r="P330" s="16" t="n">
        <f aca="false">O330*Premissas!$C$38*Premissas!$C$40*(1+Premissas!$C$60)^((YEAR($A330)-YEAR(Premissas!$C$19))*12+MONTH($A330)-MONTH(Premissas!$C$19))</f>
        <v>12375.4325151304</v>
      </c>
      <c r="Q330" s="16" t="n">
        <f aca="false">P330*Premissas!$C$43</f>
        <v>1980.06920242086</v>
      </c>
      <c r="R330" s="16" t="n">
        <f aca="false">P330*Premissas!$C$44</f>
        <v>2475.08650302608</v>
      </c>
      <c r="S330" s="16" t="n">
        <f aca="false">IF($A330&gt;=Premissas!$C$25,Premissas!$C$45*(1+Premissas!$C$60)^((YEAR($A330)-YEAR(Premissas!$C$19))*12+MONTH($A330)-MONTH(Premissas!$C$19)),0)</f>
        <v>2169.60598091346</v>
      </c>
      <c r="T330" s="16" t="n">
        <f aca="false">IF($A330&gt;=Premissas!$C$27,Premissas!$C$46*(1+Premissas!$C$60)^((YEAR($A330)-YEAR(Premissas!$C$19))*12+MONTH($A330)-MONTH(Premissas!$C$19)),0)</f>
        <v>867.842392365385</v>
      </c>
      <c r="U330" s="16" t="n">
        <f aca="false">IF($A330&gt;=Premissas!$C$27,Premissas!$C$47*(1+Premissas!$C$60)^((YEAR($A330)-YEAR(Premissas!$C$19))*12+MONTH($A330)-MONTH(Premissas!$C$19)),0)</f>
        <v>433.921196182692</v>
      </c>
      <c r="V330" s="16" t="n">
        <f aca="false">IF($A330&gt;=Premissas!$C$27,MAX(0,P330-Q330-R330-S330)*Premissas!$C$49,0)</f>
        <v>1581.43447791175</v>
      </c>
      <c r="W330" s="16" t="n">
        <f aca="false">P330-Q330-R330-S330-T330-U330-V330</f>
        <v>2867.47276231016</v>
      </c>
      <c r="X330" s="16" t="n">
        <f aca="false">W330-F330-G330-H330-M330</f>
        <v>2867.47276231016</v>
      </c>
      <c r="Y330" s="16" t="n">
        <f aca="false">Y329+X330</f>
        <v>-342782.566612693</v>
      </c>
      <c r="Z330" s="16" t="n">
        <f aca="false">Premissas!$C$14*(1+Premissas!$C$57)^((YEAR(Premissas!$C$19)-YEAR(Premissas!$C$18))*12+MONTH(Premissas!$C$19)-MONTH(Premissas!$C$18))*(1+Premissas!$C$61)^((YEAR($A330)-YEAR(Premissas!$C$19))*12+MONTH($A330)-MONTH(Premissas!$C$19))</f>
        <v>1792683.83999999</v>
      </c>
      <c r="AA330" s="16" t="n">
        <f aca="false">IF($A330&gt;=Premissas!$C$25,Z330*(1-Premissas!$C$53)-N330-Premissas!$C$54*MAX(0,Z330*(1-Premissas!$C$53)-(Premissas!$C$14*(1+Premissas!$C$57)^((YEAR(Premissas!$C$25)-YEAR(Premissas!$C$18))*12+MONTH(Premissas!$C$25)-MONTH(Premissas!$C$18))*(1+Premissas!$C$34))),"")</f>
        <v>1513556.59767166</v>
      </c>
      <c r="AB330" s="16" t="n">
        <f aca="false">IF($A330&gt;=Premissas!$C$25,Y330+AA330,"")</f>
        <v>1170774.03105896</v>
      </c>
      <c r="AC330" s="20" t="n">
        <f aca="false">IF(AND($A330&gt;=Premissas!$C$27,W330&gt;=M330),$A330,"")</f>
        <v>56281</v>
      </c>
      <c r="AD330" s="20" t="str">
        <f aca="false">IF(AND($A330&gt;=Premissas!$C$27,Y330&gt;=0),$A330,"")</f>
        <v/>
      </c>
      <c r="AE330" s="20" t="n">
        <f aca="false">IF(AND($A330&gt;=Premissas!$C$25,N(AB330)&gt;=0),$A330,"")</f>
        <v>56281</v>
      </c>
    </row>
    <row r="331" customFormat="false" ht="15" hidden="false" customHeight="false" outlineLevel="0" collapsed="false">
      <c r="A331" s="20" t="n">
        <f aca="false">DATE(YEAR(A330),MONTH(A330)+1,1)</f>
        <v>56309</v>
      </c>
      <c r="B331" s="5" t="str">
        <f aca="false">IF($A331&lt;Premissas!$C$25,"Obra",IF($A331=Premissas!$C$25,"Chaves",IF($A331&lt;Premissas!$C$27,"Mobiliando","Airbnb")))</f>
        <v>Airbnb</v>
      </c>
      <c r="C331" s="35" t="n">
        <f aca="false">(YEAR($A331)-YEAR(Premissas!$C$18))*12+MONTH($A331)-MONTH(Premissas!$C$18)</f>
        <v>330</v>
      </c>
      <c r="D331" s="16" t="n">
        <f aca="false">($A331=Premissas!$C$19)*Premissas!$C$8+(($A331=EDATE(Premissas!$C$19,1))+($A331=EDATE(Premissas!$C$19,2)))*Premissas!$C$9+AND($A331&gt;=Premissas!$C$20,$A331&lt;EDATE(Premissas!$C$20,Premissas!$C$21))*Premissas!$C$10+(($A331=Premissas!$C$22)+($A331=Premissas!$C$23)+($A331=Premissas!$C$24))*Premissas!$C$11+($A331=Premissas!$C$25)*Premissas!$C$12</f>
        <v>0</v>
      </c>
      <c r="E331" s="36" t="n">
        <f aca="false">(1+Premissas!$C$57)^C331</f>
        <v>4.35955980679991</v>
      </c>
      <c r="F331" s="16" t="n">
        <f aca="false">D331*E331</f>
        <v>0</v>
      </c>
      <c r="G331" s="16" t="n">
        <f aca="false">($A331=Premissas!$C$25)*Premissas!$C$34*Premissas!$C$14*(1+Premissas!$C$57)^C331</f>
        <v>0</v>
      </c>
      <c r="H331" s="16" t="n">
        <f aca="false">IF(AND($A331&gt;Premissas!$C$25,$A331&lt;Premissas!$C$27),Premissas!$C$35/MAX(1,Premissas!$C$26),0)</f>
        <v>0</v>
      </c>
      <c r="I331" s="35" t="n">
        <f aca="false">IF(AND($A331&gt;Premissas!$C$25,((YEAR($A331)-YEAR(Premissas!$C$25))*12+MONTH($A331)-MONTH(Premissas!$C$25))&lt;=Premissas!$C$32),((YEAR($A331)-YEAR(Premissas!$C$25))*12+MONTH($A331)-MONTH(Premissas!$C$25)),0)</f>
        <v>0</v>
      </c>
      <c r="J331" s="16" t="n">
        <f aca="false">IF(I331&gt;0,N330*(1+Premissas!$C$59),0)</f>
        <v>0</v>
      </c>
      <c r="K331" s="16" t="n">
        <f aca="false">J331*Premissas!$C$58</f>
        <v>0</v>
      </c>
      <c r="L331" s="16" t="n">
        <f aca="false">IF(I331&gt;0,J331/(Premissas!$C$32-I331+1),0)</f>
        <v>0</v>
      </c>
      <c r="M331" s="16" t="n">
        <f aca="false">K331+L331</f>
        <v>0</v>
      </c>
      <c r="N331" s="16" t="n">
        <f aca="false">IF($A331=Premissas!$C$25,Premissas!$C$13*E331,IF(I331&gt;0,J331-L331,0))</f>
        <v>0</v>
      </c>
      <c r="O331" s="37" t="n">
        <f aca="false">IF($A331&gt;=Premissas!$C$27,Premissas!$C$39*IF(((YEAR($A331)-YEAR(Premissas!$C$27))*12+MONTH($A331)-MONTH(Premissas!$C$27))&lt;Premissas!$C$41,Premissas!$C$42,1),0)</f>
        <v>0.62</v>
      </c>
      <c r="P331" s="16" t="n">
        <f aca="false">O331*Premissas!$C$38*Premissas!$C$40*(1+Premissas!$C$60)^((YEAR($A331)-YEAR(Premissas!$C$19))*12+MONTH($A331)-MONTH(Premissas!$C$19))</f>
        <v>12415.9464608771</v>
      </c>
      <c r="Q331" s="16" t="n">
        <f aca="false">P331*Premissas!$C$43</f>
        <v>1986.55143374033</v>
      </c>
      <c r="R331" s="16" t="n">
        <f aca="false">P331*Premissas!$C$44</f>
        <v>2483.18929217542</v>
      </c>
      <c r="S331" s="16" t="n">
        <f aca="false">IF($A331&gt;=Premissas!$C$25,Premissas!$C$45*(1+Premissas!$C$60)^((YEAR($A331)-YEAR(Premissas!$C$19))*12+MONTH($A331)-MONTH(Premissas!$C$19)),0)</f>
        <v>2176.70870632487</v>
      </c>
      <c r="T331" s="16" t="n">
        <f aca="false">IF($A331&gt;=Premissas!$C$27,Premissas!$C$46*(1+Premissas!$C$60)^((YEAR($A331)-YEAR(Premissas!$C$19))*12+MONTH($A331)-MONTH(Premissas!$C$19)),0)</f>
        <v>870.68348252995</v>
      </c>
      <c r="U331" s="16" t="n">
        <f aca="false">IF($A331&gt;=Premissas!$C$27,Premissas!$C$47*(1+Premissas!$C$60)^((YEAR($A331)-YEAR(Premissas!$C$19))*12+MONTH($A331)-MONTH(Premissas!$C$19)),0)</f>
        <v>435.341741264975</v>
      </c>
      <c r="V331" s="16" t="n">
        <f aca="false">IF($A331&gt;=Premissas!$C$27,MAX(0,P331-Q331-R331-S331)*Premissas!$C$49,0)</f>
        <v>1586.61168287503</v>
      </c>
      <c r="W331" s="16" t="n">
        <f aca="false">P331-Q331-R331-S331-T331-U331-V331</f>
        <v>2876.86012196651</v>
      </c>
      <c r="X331" s="16" t="n">
        <f aca="false">W331-F331-G331-H331-M331</f>
        <v>2876.86012196651</v>
      </c>
      <c r="Y331" s="16" t="n">
        <f aca="false">Y330+X331</f>
        <v>-339905.706490726</v>
      </c>
      <c r="Z331" s="16" t="n">
        <f aca="false">Premissas!$C$14*(1+Premissas!$C$57)^((YEAR(Premissas!$C$19)-YEAR(Premissas!$C$18))*12+MONTH(Premissas!$C$19)-MONTH(Premissas!$C$18))*(1+Premissas!$C$61)^((YEAR($A331)-YEAR(Premissas!$C$19))*12+MONTH($A331)-MONTH(Premissas!$C$19))</f>
        <v>1799987.4558691</v>
      </c>
      <c r="AA331" s="16" t="n">
        <f aca="false">IF($A331&gt;=Premissas!$C$25,Z331*(1-Premissas!$C$53)-N331-Premissas!$C$54*MAX(0,Z331*(1-Premissas!$C$53)-(Premissas!$C$14*(1+Premissas!$C$57)^((YEAR(Premissas!$C$25)-YEAR(Premissas!$C$18))*12+MONTH(Premissas!$C$25)-MONTH(Premissas!$C$18))*(1+Premissas!$C$34))),"")</f>
        <v>1519392.18675107</v>
      </c>
      <c r="AB331" s="16" t="n">
        <f aca="false">IF($A331&gt;=Premissas!$C$25,Y331+AA331,"")</f>
        <v>1179486.48026035</v>
      </c>
      <c r="AC331" s="20" t="n">
        <f aca="false">IF(AND($A331&gt;=Premissas!$C$27,W331&gt;=M331),$A331,"")</f>
        <v>56309</v>
      </c>
      <c r="AD331" s="20" t="str">
        <f aca="false">IF(AND($A331&gt;=Premissas!$C$27,Y331&gt;=0),$A331,"")</f>
        <v/>
      </c>
      <c r="AE331" s="20" t="n">
        <f aca="false">IF(AND($A331&gt;=Premissas!$C$25,N(AB331)&gt;=0),$A331,"")</f>
        <v>56309</v>
      </c>
    </row>
    <row r="332" customFormat="false" ht="15" hidden="false" customHeight="false" outlineLevel="0" collapsed="false">
      <c r="A332" s="20" t="n">
        <f aca="false">DATE(YEAR(A331),MONTH(A331)+1,1)</f>
        <v>56340</v>
      </c>
      <c r="B332" s="5" t="str">
        <f aca="false">IF($A332&lt;Premissas!$C$25,"Obra",IF($A332=Premissas!$C$25,"Chaves",IF($A332&lt;Premissas!$C$27,"Mobiliando","Airbnb")))</f>
        <v>Airbnb</v>
      </c>
      <c r="C332" s="35" t="n">
        <f aca="false">(YEAR($A332)-YEAR(Premissas!$C$18))*12+MONTH($A332)-MONTH(Premissas!$C$18)</f>
        <v>331</v>
      </c>
      <c r="D332" s="16" t="n">
        <f aca="false">($A332=Premissas!$C$19)*Premissas!$C$8+(($A332=EDATE(Premissas!$C$19,1))+($A332=EDATE(Premissas!$C$19,2)))*Premissas!$C$9+AND($A332&gt;=Premissas!$C$20,$A332&lt;EDATE(Premissas!$C$20,Premissas!$C$21))*Premissas!$C$10+(($A332=Premissas!$C$22)+($A332=Premissas!$C$23)+($A332=Premissas!$C$24))*Premissas!$C$11+($A332=Premissas!$C$25)*Premissas!$C$12</f>
        <v>0</v>
      </c>
      <c r="E332" s="36" t="n">
        <f aca="false">(1+Premissas!$C$57)^C332</f>
        <v>4.37905444566676</v>
      </c>
      <c r="F332" s="16" t="n">
        <f aca="false">D332*E332</f>
        <v>0</v>
      </c>
      <c r="G332" s="16" t="n">
        <f aca="false">($A332=Premissas!$C$25)*Premissas!$C$34*Premissas!$C$14*(1+Premissas!$C$57)^C332</f>
        <v>0</v>
      </c>
      <c r="H332" s="16" t="n">
        <f aca="false">IF(AND($A332&gt;Premissas!$C$25,$A332&lt;Premissas!$C$27),Premissas!$C$35/MAX(1,Premissas!$C$26),0)</f>
        <v>0</v>
      </c>
      <c r="I332" s="35" t="n">
        <f aca="false">IF(AND($A332&gt;Premissas!$C$25,((YEAR($A332)-YEAR(Premissas!$C$25))*12+MONTH($A332)-MONTH(Premissas!$C$25))&lt;=Premissas!$C$32),((YEAR($A332)-YEAR(Premissas!$C$25))*12+MONTH($A332)-MONTH(Premissas!$C$25)),0)</f>
        <v>0</v>
      </c>
      <c r="J332" s="16" t="n">
        <f aca="false">IF(I332&gt;0,N331*(1+Premissas!$C$59),0)</f>
        <v>0</v>
      </c>
      <c r="K332" s="16" t="n">
        <f aca="false">J332*Premissas!$C$58</f>
        <v>0</v>
      </c>
      <c r="L332" s="16" t="n">
        <f aca="false">IF(I332&gt;0,J332/(Premissas!$C$32-I332+1),0)</f>
        <v>0</v>
      </c>
      <c r="M332" s="16" t="n">
        <f aca="false">K332+L332</f>
        <v>0</v>
      </c>
      <c r="N332" s="16" t="n">
        <f aca="false">IF($A332=Premissas!$C$25,Premissas!$C$13*E332,IF(I332&gt;0,J332-L332,0))</f>
        <v>0</v>
      </c>
      <c r="O332" s="37" t="n">
        <f aca="false">IF($A332&gt;=Premissas!$C$27,Premissas!$C$39*IF(((YEAR($A332)-YEAR(Premissas!$C$27))*12+MONTH($A332)-MONTH(Premissas!$C$27))&lt;Premissas!$C$41,Premissas!$C$42,1),0)</f>
        <v>0.62</v>
      </c>
      <c r="P332" s="16" t="n">
        <f aca="false">O332*Premissas!$C$38*Premissas!$C$40*(1+Premissas!$C$60)^((YEAR($A332)-YEAR(Premissas!$C$19))*12+MONTH($A332)-MONTH(Premissas!$C$19))</f>
        <v>12456.5930387397</v>
      </c>
      <c r="Q332" s="16" t="n">
        <f aca="false">P332*Premissas!$C$43</f>
        <v>1993.05488619835</v>
      </c>
      <c r="R332" s="16" t="n">
        <f aca="false">P332*Premissas!$C$44</f>
        <v>2491.31860774794</v>
      </c>
      <c r="S332" s="16" t="n">
        <f aca="false">IF($A332&gt;=Premissas!$C$25,Premissas!$C$45*(1+Premissas!$C$60)^((YEAR($A332)-YEAR(Premissas!$C$19))*12+MONTH($A332)-MONTH(Premissas!$C$19)),0)</f>
        <v>2183.83468421103</v>
      </c>
      <c r="T332" s="16" t="n">
        <f aca="false">IF($A332&gt;=Premissas!$C$27,Premissas!$C$46*(1+Premissas!$C$60)^((YEAR($A332)-YEAR(Premissas!$C$19))*12+MONTH($A332)-MONTH(Premissas!$C$19)),0)</f>
        <v>873.533873684412</v>
      </c>
      <c r="U332" s="16" t="n">
        <f aca="false">IF($A332&gt;=Premissas!$C$27,Premissas!$C$47*(1+Premissas!$C$60)^((YEAR($A332)-YEAR(Premissas!$C$19))*12+MONTH($A332)-MONTH(Premissas!$C$19)),0)</f>
        <v>436.766936842206</v>
      </c>
      <c r="V332" s="16" t="n">
        <f aca="false">IF($A332&gt;=Premissas!$C$27,MAX(0,P332-Q332-R332-S332)*Premissas!$C$49,0)</f>
        <v>1591.80583666016</v>
      </c>
      <c r="W332" s="16" t="n">
        <f aca="false">P332-Q332-R332-S332-T332-U332-V332</f>
        <v>2886.27821339561</v>
      </c>
      <c r="X332" s="16" t="n">
        <f aca="false">W332-F332-G332-H332-M332</f>
        <v>2886.27821339561</v>
      </c>
      <c r="Y332" s="16" t="n">
        <f aca="false">Y331+X332</f>
        <v>-337019.42827733</v>
      </c>
      <c r="Z332" s="16" t="n">
        <f aca="false">Premissas!$C$14*(1+Premissas!$C$57)^((YEAR(Premissas!$C$19)-YEAR(Premissas!$C$18))*12+MONTH(Premissas!$C$19)-MONTH(Premissas!$C$18))*(1+Premissas!$C$61)^((YEAR($A332)-YEAR(Premissas!$C$19))*12+MONTH($A332)-MONTH(Premissas!$C$19))</f>
        <v>1807320.82757332</v>
      </c>
      <c r="AA332" s="16" t="n">
        <f aca="false">IF($A332&gt;=Premissas!$C$25,Z332*(1-Premissas!$C$53)-N332-Premissas!$C$54*MAX(0,Z332*(1-Premissas!$C$53)-(Premissas!$C$14*(1+Premissas!$C$57)^((YEAR(Premissas!$C$25)-YEAR(Premissas!$C$18))*12+MONTH(Premissas!$C$25)-MONTH(Premissas!$C$18))*(1+Premissas!$C$34))),"")</f>
        <v>1525251.55074275</v>
      </c>
      <c r="AB332" s="16" t="n">
        <f aca="false">IF($A332&gt;=Premissas!$C$25,Y332+AA332,"")</f>
        <v>1188232.12246542</v>
      </c>
      <c r="AC332" s="20" t="n">
        <f aca="false">IF(AND($A332&gt;=Premissas!$C$27,W332&gt;=M332),$A332,"")</f>
        <v>56340</v>
      </c>
      <c r="AD332" s="20" t="str">
        <f aca="false">IF(AND($A332&gt;=Premissas!$C$27,Y332&gt;=0),$A332,"")</f>
        <v/>
      </c>
      <c r="AE332" s="20" t="n">
        <f aca="false">IF(AND($A332&gt;=Premissas!$C$25,N(AB332)&gt;=0),$A332,"")</f>
        <v>56340</v>
      </c>
    </row>
    <row r="333" customFormat="false" ht="15" hidden="false" customHeight="false" outlineLevel="0" collapsed="false">
      <c r="A333" s="20" t="n">
        <f aca="false">DATE(YEAR(A332),MONTH(A332)+1,1)</f>
        <v>56370</v>
      </c>
      <c r="B333" s="5" t="str">
        <f aca="false">IF($A333&lt;Premissas!$C$25,"Obra",IF($A333=Premissas!$C$25,"Chaves",IF($A333&lt;Premissas!$C$27,"Mobiliando","Airbnb")))</f>
        <v>Airbnb</v>
      </c>
      <c r="C333" s="35" t="n">
        <f aca="false">(YEAR($A333)-YEAR(Premissas!$C$18))*12+MONTH($A333)-MONTH(Premissas!$C$18)</f>
        <v>332</v>
      </c>
      <c r="D333" s="16" t="n">
        <f aca="false">($A333=Premissas!$C$19)*Premissas!$C$8+(($A333=EDATE(Premissas!$C$19,1))+($A333=EDATE(Premissas!$C$19,2)))*Premissas!$C$9+AND($A333&gt;=Premissas!$C$20,$A333&lt;EDATE(Premissas!$C$20,Premissas!$C$21))*Premissas!$C$10+(($A333=Premissas!$C$22)+($A333=Premissas!$C$23)+($A333=Premissas!$C$24))*Premissas!$C$11+($A333=Premissas!$C$25)*Premissas!$C$12</f>
        <v>0</v>
      </c>
      <c r="E333" s="36" t="n">
        <f aca="false">(1+Premissas!$C$57)^C333</f>
        <v>4.39863625868912</v>
      </c>
      <c r="F333" s="16" t="n">
        <f aca="false">D333*E333</f>
        <v>0</v>
      </c>
      <c r="G333" s="16" t="n">
        <f aca="false">($A333=Premissas!$C$25)*Premissas!$C$34*Premissas!$C$14*(1+Premissas!$C$57)^C333</f>
        <v>0</v>
      </c>
      <c r="H333" s="16" t="n">
        <f aca="false">IF(AND($A333&gt;Premissas!$C$25,$A333&lt;Premissas!$C$27),Premissas!$C$35/MAX(1,Premissas!$C$26),0)</f>
        <v>0</v>
      </c>
      <c r="I333" s="35" t="n">
        <f aca="false">IF(AND($A333&gt;Premissas!$C$25,((YEAR($A333)-YEAR(Premissas!$C$25))*12+MONTH($A333)-MONTH(Premissas!$C$25))&lt;=Premissas!$C$32),((YEAR($A333)-YEAR(Premissas!$C$25))*12+MONTH($A333)-MONTH(Premissas!$C$25)),0)</f>
        <v>0</v>
      </c>
      <c r="J333" s="16" t="n">
        <f aca="false">IF(I333&gt;0,N332*(1+Premissas!$C$59),0)</f>
        <v>0</v>
      </c>
      <c r="K333" s="16" t="n">
        <f aca="false">J333*Premissas!$C$58</f>
        <v>0</v>
      </c>
      <c r="L333" s="16" t="n">
        <f aca="false">IF(I333&gt;0,J333/(Premissas!$C$32-I333+1),0)</f>
        <v>0</v>
      </c>
      <c r="M333" s="16" t="n">
        <f aca="false">K333+L333</f>
        <v>0</v>
      </c>
      <c r="N333" s="16" t="n">
        <f aca="false">IF($A333=Premissas!$C$25,Premissas!$C$13*E333,IF(I333&gt;0,J333-L333,0))</f>
        <v>0</v>
      </c>
      <c r="O333" s="37" t="n">
        <f aca="false">IF($A333&gt;=Premissas!$C$27,Premissas!$C$39*IF(((YEAR($A333)-YEAR(Premissas!$C$27))*12+MONTH($A333)-MONTH(Premissas!$C$27))&lt;Premissas!$C$41,Premissas!$C$42,1),0)</f>
        <v>0.62</v>
      </c>
      <c r="P333" s="16" t="n">
        <f aca="false">O333*Premissas!$C$38*Premissas!$C$40*(1+Premissas!$C$60)^((YEAR($A333)-YEAR(Premissas!$C$19))*12+MONTH($A333)-MONTH(Premissas!$C$19))</f>
        <v>12497.3726829213</v>
      </c>
      <c r="Q333" s="16" t="n">
        <f aca="false">P333*Premissas!$C$43</f>
        <v>1999.57962926741</v>
      </c>
      <c r="R333" s="16" t="n">
        <f aca="false">P333*Premissas!$C$44</f>
        <v>2499.47453658426</v>
      </c>
      <c r="S333" s="16" t="n">
        <f aca="false">IF($A333&gt;=Premissas!$C$25,Premissas!$C$45*(1+Premissas!$C$60)^((YEAR($A333)-YEAR(Premissas!$C$19))*12+MONTH($A333)-MONTH(Premissas!$C$19)),0)</f>
        <v>2190.98399069448</v>
      </c>
      <c r="T333" s="16" t="n">
        <f aca="false">IF($A333&gt;=Premissas!$C$27,Premissas!$C$46*(1+Premissas!$C$60)^((YEAR($A333)-YEAR(Premissas!$C$19))*12+MONTH($A333)-MONTH(Premissas!$C$19)),0)</f>
        <v>876.393596277791</v>
      </c>
      <c r="U333" s="16" t="n">
        <f aca="false">IF($A333&gt;=Premissas!$C$27,Premissas!$C$47*(1+Premissas!$C$60)^((YEAR($A333)-YEAR(Premissas!$C$19))*12+MONTH($A333)-MONTH(Premissas!$C$19)),0)</f>
        <v>438.196798138895</v>
      </c>
      <c r="V333" s="16" t="n">
        <f aca="false">IF($A333&gt;=Premissas!$C$27,MAX(0,P333-Q333-R333-S333)*Premissas!$C$49,0)</f>
        <v>1597.01699475317</v>
      </c>
      <c r="W333" s="16" t="n">
        <f aca="false">P333-Q333-R333-S333-T333-U333-V333</f>
        <v>2895.7271372053</v>
      </c>
      <c r="X333" s="16" t="n">
        <f aca="false">W333-F333-G333-H333-M333</f>
        <v>2895.7271372053</v>
      </c>
      <c r="Y333" s="16" t="n">
        <f aca="false">Y332+X333</f>
        <v>-334123.701140125</v>
      </c>
      <c r="Z333" s="16" t="n">
        <f aca="false">Premissas!$C$14*(1+Premissas!$C$57)^((YEAR(Premissas!$C$19)-YEAR(Premissas!$C$18))*12+MONTH(Premissas!$C$19)-MONTH(Premissas!$C$18))*(1+Premissas!$C$61)^((YEAR($A333)-YEAR(Premissas!$C$19))*12+MONTH($A333)-MONTH(Premissas!$C$19))</f>
        <v>1814684.07634162</v>
      </c>
      <c r="AA333" s="16" t="n">
        <f aca="false">IF($A333&gt;=Premissas!$C$25,Z333*(1-Premissas!$C$53)-N333-Premissas!$C$54*MAX(0,Z333*(1-Premissas!$C$53)-(Premissas!$C$14*(1+Premissas!$C$57)^((YEAR(Premissas!$C$25)-YEAR(Premissas!$C$18))*12+MONTH(Premissas!$C$25)-MONTH(Premissas!$C$18))*(1+Premissas!$C$34))),"")</f>
        <v>1531134.78650862</v>
      </c>
      <c r="AB333" s="16" t="n">
        <f aca="false">IF($A333&gt;=Premissas!$C$25,Y333+AA333,"")</f>
        <v>1197011.08536849</v>
      </c>
      <c r="AC333" s="20" t="n">
        <f aca="false">IF(AND($A333&gt;=Premissas!$C$27,W333&gt;=M333),$A333,"")</f>
        <v>56370</v>
      </c>
      <c r="AD333" s="20" t="str">
        <f aca="false">IF(AND($A333&gt;=Premissas!$C$27,Y333&gt;=0),$A333,"")</f>
        <v/>
      </c>
      <c r="AE333" s="20" t="n">
        <f aca="false">IF(AND($A333&gt;=Premissas!$C$25,N(AB333)&gt;=0),$A333,"")</f>
        <v>56370</v>
      </c>
    </row>
    <row r="334" customFormat="false" ht="15" hidden="false" customHeight="false" outlineLevel="0" collapsed="false">
      <c r="A334" s="20" t="n">
        <f aca="false">DATE(YEAR(A333),MONTH(A333)+1,1)</f>
        <v>56401</v>
      </c>
      <c r="B334" s="5" t="str">
        <f aca="false">IF($A334&lt;Premissas!$C$25,"Obra",IF($A334=Premissas!$C$25,"Chaves",IF($A334&lt;Premissas!$C$27,"Mobiliando","Airbnb")))</f>
        <v>Airbnb</v>
      </c>
      <c r="C334" s="35" t="n">
        <f aca="false">(YEAR($A334)-YEAR(Premissas!$C$18))*12+MONTH($A334)-MONTH(Premissas!$C$18)</f>
        <v>333</v>
      </c>
      <c r="D334" s="16" t="n">
        <f aca="false">($A334=Premissas!$C$19)*Premissas!$C$8+(($A334=EDATE(Premissas!$C$19,1))+($A334=EDATE(Premissas!$C$19,2)))*Premissas!$C$9+AND($A334&gt;=Premissas!$C$20,$A334&lt;EDATE(Premissas!$C$20,Premissas!$C$21))*Premissas!$C$10+(($A334=Premissas!$C$22)+($A334=Premissas!$C$23)+($A334=Premissas!$C$24))*Premissas!$C$11+($A334=Premissas!$C$25)*Premissas!$C$12</f>
        <v>0</v>
      </c>
      <c r="E334" s="36" t="n">
        <f aca="false">(1+Premissas!$C$57)^C334</f>
        <v>4.41830563568357</v>
      </c>
      <c r="F334" s="16" t="n">
        <f aca="false">D334*E334</f>
        <v>0</v>
      </c>
      <c r="G334" s="16" t="n">
        <f aca="false">($A334=Premissas!$C$25)*Premissas!$C$34*Premissas!$C$14*(1+Premissas!$C$57)^C334</f>
        <v>0</v>
      </c>
      <c r="H334" s="16" t="n">
        <f aca="false">IF(AND($A334&gt;Premissas!$C$25,$A334&lt;Premissas!$C$27),Premissas!$C$35/MAX(1,Premissas!$C$26),0)</f>
        <v>0</v>
      </c>
      <c r="I334" s="35" t="n">
        <f aca="false">IF(AND($A334&gt;Premissas!$C$25,((YEAR($A334)-YEAR(Premissas!$C$25))*12+MONTH($A334)-MONTH(Premissas!$C$25))&lt;=Premissas!$C$32),((YEAR($A334)-YEAR(Premissas!$C$25))*12+MONTH($A334)-MONTH(Premissas!$C$25)),0)</f>
        <v>0</v>
      </c>
      <c r="J334" s="16" t="n">
        <f aca="false">IF(I334&gt;0,N333*(1+Premissas!$C$59),0)</f>
        <v>0</v>
      </c>
      <c r="K334" s="16" t="n">
        <f aca="false">J334*Premissas!$C$58</f>
        <v>0</v>
      </c>
      <c r="L334" s="16" t="n">
        <f aca="false">IF(I334&gt;0,J334/(Premissas!$C$32-I334+1),0)</f>
        <v>0</v>
      </c>
      <c r="M334" s="16" t="n">
        <f aca="false">K334+L334</f>
        <v>0</v>
      </c>
      <c r="N334" s="16" t="n">
        <f aca="false">IF($A334=Premissas!$C$25,Premissas!$C$13*E334,IF(I334&gt;0,J334-L334,0))</f>
        <v>0</v>
      </c>
      <c r="O334" s="37" t="n">
        <f aca="false">IF($A334&gt;=Premissas!$C$27,Premissas!$C$39*IF(((YEAR($A334)-YEAR(Premissas!$C$27))*12+MONTH($A334)-MONTH(Premissas!$C$27))&lt;Premissas!$C$41,Premissas!$C$42,1),0)</f>
        <v>0.62</v>
      </c>
      <c r="P334" s="16" t="n">
        <f aca="false">O334*Premissas!$C$38*Premissas!$C$40*(1+Premissas!$C$60)^((YEAR($A334)-YEAR(Premissas!$C$19))*12+MONTH($A334)-MONTH(Premissas!$C$19))</f>
        <v>12538.2858290463</v>
      </c>
      <c r="Q334" s="16" t="n">
        <f aca="false">P334*Premissas!$C$43</f>
        <v>2006.12573264741</v>
      </c>
      <c r="R334" s="16" t="n">
        <f aca="false">P334*Premissas!$C$44</f>
        <v>2507.65716580927</v>
      </c>
      <c r="S334" s="16" t="n">
        <f aca="false">IF($A334&gt;=Premissas!$C$25,Premissas!$C$45*(1+Premissas!$C$60)^((YEAR($A334)-YEAR(Premissas!$C$19))*12+MONTH($A334)-MONTH(Premissas!$C$19)),0)</f>
        <v>2198.15670214697</v>
      </c>
      <c r="T334" s="16" t="n">
        <f aca="false">IF($A334&gt;=Premissas!$C$27,Premissas!$C$46*(1+Premissas!$C$60)^((YEAR($A334)-YEAR(Premissas!$C$19))*12+MONTH($A334)-MONTH(Premissas!$C$19)),0)</f>
        <v>879.26268085879</v>
      </c>
      <c r="U334" s="16" t="n">
        <f aca="false">IF($A334&gt;=Premissas!$C$27,Premissas!$C$47*(1+Premissas!$C$60)^((YEAR($A334)-YEAR(Premissas!$C$19))*12+MONTH($A334)-MONTH(Premissas!$C$19)),0)</f>
        <v>439.631340429395</v>
      </c>
      <c r="V334" s="16" t="n">
        <f aca="false">IF($A334&gt;=Premissas!$C$27,MAX(0,P334-Q334-R334-S334)*Premissas!$C$49,0)</f>
        <v>1602.24521282174</v>
      </c>
      <c r="W334" s="16" t="n">
        <f aca="false">P334-Q334-R334-S334-T334-U334-V334</f>
        <v>2905.20699433276</v>
      </c>
      <c r="X334" s="16" t="n">
        <f aca="false">W334-F334-G334-H334-M334</f>
        <v>2905.20699433276</v>
      </c>
      <c r="Y334" s="16" t="n">
        <f aca="false">Y333+X334</f>
        <v>-331218.494145792</v>
      </c>
      <c r="Z334" s="16" t="n">
        <f aca="false">Premissas!$C$14*(1+Premissas!$C$57)^((YEAR(Premissas!$C$19)-YEAR(Premissas!$C$18))*12+MONTH(Premissas!$C$19)-MONTH(Premissas!$C$18))*(1+Premissas!$C$61)^((YEAR($A334)-YEAR(Premissas!$C$19))*12+MONTH($A334)-MONTH(Premissas!$C$19))</f>
        <v>1822077.32389685</v>
      </c>
      <c r="AA334" s="16" t="n">
        <f aca="false">IF($A334&gt;=Premissas!$C$25,Z334*(1-Premissas!$C$53)-N334-Premissas!$C$54*MAX(0,Z334*(1-Premissas!$C$53)-(Premissas!$C$14*(1+Premissas!$C$57)^((YEAR(Premissas!$C$25)-YEAR(Premissas!$C$18))*12+MONTH(Premissas!$C$25)-MONTH(Premissas!$C$18))*(1+Premissas!$C$34))),"")</f>
        <v>1537041.99130525</v>
      </c>
      <c r="AB334" s="16" t="n">
        <f aca="false">IF($A334&gt;=Premissas!$C$25,Y334+AA334,"")</f>
        <v>1205823.49715946</v>
      </c>
      <c r="AC334" s="20" t="n">
        <f aca="false">IF(AND($A334&gt;=Premissas!$C$27,W334&gt;=M334),$A334,"")</f>
        <v>56401</v>
      </c>
      <c r="AD334" s="20" t="str">
        <f aca="false">IF(AND($A334&gt;=Premissas!$C$27,Y334&gt;=0),$A334,"")</f>
        <v/>
      </c>
      <c r="AE334" s="20" t="n">
        <f aca="false">IF(AND($A334&gt;=Premissas!$C$25,N(AB334)&gt;=0),$A334,"")</f>
        <v>56401</v>
      </c>
    </row>
    <row r="335" customFormat="false" ht="15" hidden="false" customHeight="false" outlineLevel="0" collapsed="false">
      <c r="A335" s="20" t="n">
        <f aca="false">DATE(YEAR(A334),MONTH(A334)+1,1)</f>
        <v>56431</v>
      </c>
      <c r="B335" s="5" t="str">
        <f aca="false">IF($A335&lt;Premissas!$C$25,"Obra",IF($A335=Premissas!$C$25,"Chaves",IF($A335&lt;Premissas!$C$27,"Mobiliando","Airbnb")))</f>
        <v>Airbnb</v>
      </c>
      <c r="C335" s="35" t="n">
        <f aca="false">(YEAR($A335)-YEAR(Premissas!$C$18))*12+MONTH($A335)-MONTH(Premissas!$C$18)</f>
        <v>334</v>
      </c>
      <c r="D335" s="16" t="n">
        <f aca="false">($A335=Premissas!$C$19)*Premissas!$C$8+(($A335=EDATE(Premissas!$C$19,1))+($A335=EDATE(Premissas!$C$19,2)))*Premissas!$C$9+AND($A335&gt;=Premissas!$C$20,$A335&lt;EDATE(Premissas!$C$20,Premissas!$C$21))*Premissas!$C$10+(($A335=Premissas!$C$22)+($A335=Premissas!$C$23)+($A335=Premissas!$C$24))*Premissas!$C$11+($A335=Premissas!$C$25)*Premissas!$C$12</f>
        <v>0</v>
      </c>
      <c r="E335" s="36" t="n">
        <f aca="false">(1+Premissas!$C$57)^C335</f>
        <v>4.43806296820982</v>
      </c>
      <c r="F335" s="16" t="n">
        <f aca="false">D335*E335</f>
        <v>0</v>
      </c>
      <c r="G335" s="16" t="n">
        <f aca="false">($A335=Premissas!$C$25)*Premissas!$C$34*Premissas!$C$14*(1+Premissas!$C$57)^C335</f>
        <v>0</v>
      </c>
      <c r="H335" s="16" t="n">
        <f aca="false">IF(AND($A335&gt;Premissas!$C$25,$A335&lt;Premissas!$C$27),Premissas!$C$35/MAX(1,Premissas!$C$26),0)</f>
        <v>0</v>
      </c>
      <c r="I335" s="35" t="n">
        <f aca="false">IF(AND($A335&gt;Premissas!$C$25,((YEAR($A335)-YEAR(Premissas!$C$25))*12+MONTH($A335)-MONTH(Premissas!$C$25))&lt;=Premissas!$C$32),((YEAR($A335)-YEAR(Premissas!$C$25))*12+MONTH($A335)-MONTH(Premissas!$C$25)),0)</f>
        <v>0</v>
      </c>
      <c r="J335" s="16" t="n">
        <f aca="false">IF(I335&gt;0,N334*(1+Premissas!$C$59),0)</f>
        <v>0</v>
      </c>
      <c r="K335" s="16" t="n">
        <f aca="false">J335*Premissas!$C$58</f>
        <v>0</v>
      </c>
      <c r="L335" s="16" t="n">
        <f aca="false">IF(I335&gt;0,J335/(Premissas!$C$32-I335+1),0)</f>
        <v>0</v>
      </c>
      <c r="M335" s="16" t="n">
        <f aca="false">K335+L335</f>
        <v>0</v>
      </c>
      <c r="N335" s="16" t="n">
        <f aca="false">IF($A335=Premissas!$C$25,Premissas!$C$13*E335,IF(I335&gt;0,J335-L335,0))</f>
        <v>0</v>
      </c>
      <c r="O335" s="37" t="n">
        <f aca="false">IF($A335&gt;=Premissas!$C$27,Premissas!$C$39*IF(((YEAR($A335)-YEAR(Premissas!$C$27))*12+MONTH($A335)-MONTH(Premissas!$C$27))&lt;Premissas!$C$41,Premissas!$C$42,1),0)</f>
        <v>0.62</v>
      </c>
      <c r="P335" s="16" t="n">
        <f aca="false">O335*Premissas!$C$38*Premissas!$C$40*(1+Premissas!$C$60)^((YEAR($A335)-YEAR(Premissas!$C$19))*12+MONTH($A335)-MONTH(Premissas!$C$19))</f>
        <v>12579.3329141655</v>
      </c>
      <c r="Q335" s="16" t="n">
        <f aca="false">P335*Premissas!$C$43</f>
        <v>2012.69326626648</v>
      </c>
      <c r="R335" s="16" t="n">
        <f aca="false">P335*Premissas!$C$44</f>
        <v>2515.86658283309</v>
      </c>
      <c r="S335" s="16" t="n">
        <f aca="false">IF($A335&gt;=Premissas!$C$25,Premissas!$C$45*(1+Premissas!$C$60)^((YEAR($A335)-YEAR(Premissas!$C$19))*12+MONTH($A335)-MONTH(Premissas!$C$19)),0)</f>
        <v>2205.3528951903</v>
      </c>
      <c r="T335" s="16" t="n">
        <f aca="false">IF($A335&gt;=Premissas!$C$27,Premissas!$C$46*(1+Premissas!$C$60)^((YEAR($A335)-YEAR(Premissas!$C$19))*12+MONTH($A335)-MONTH(Premissas!$C$19)),0)</f>
        <v>882.14115807612</v>
      </c>
      <c r="U335" s="16" t="n">
        <f aca="false">IF($A335&gt;=Premissas!$C$27,Premissas!$C$47*(1+Premissas!$C$60)^((YEAR($A335)-YEAR(Premissas!$C$19))*12+MONTH($A335)-MONTH(Premissas!$C$19)),0)</f>
        <v>441.07057903806</v>
      </c>
      <c r="V335" s="16" t="n">
        <f aca="false">IF($A335&gt;=Premissas!$C$27,MAX(0,P335-Q335-R335-S335)*Premissas!$C$49,0)</f>
        <v>1607.49054671579</v>
      </c>
      <c r="W335" s="16" t="n">
        <f aca="false">P335-Q335-R335-S335-T335-U335-V335</f>
        <v>2914.71788604563</v>
      </c>
      <c r="X335" s="16" t="n">
        <f aca="false">W335-F335-G335-H335-M335</f>
        <v>2914.71788604563</v>
      </c>
      <c r="Y335" s="16" t="n">
        <f aca="false">Y334+X335</f>
        <v>-328303.776259747</v>
      </c>
      <c r="Z335" s="16" t="n">
        <f aca="false">Premissas!$C$14*(1+Premissas!$C$57)^((YEAR(Premissas!$C$19)-YEAR(Premissas!$C$18))*12+MONTH(Premissas!$C$19)-MONTH(Premissas!$C$18))*(1+Premissas!$C$61)^((YEAR($A335)-YEAR(Premissas!$C$19))*12+MONTH($A335)-MONTH(Premissas!$C$19))</f>
        <v>1829500.69245779</v>
      </c>
      <c r="AA335" s="16" t="n">
        <f aca="false">IF($A335&gt;=Premissas!$C$25,Z335*(1-Premissas!$C$53)-N335-Premissas!$C$54*MAX(0,Z335*(1-Premissas!$C$53)-(Premissas!$C$14*(1+Premissas!$C$57)^((YEAR(Premissas!$C$25)-YEAR(Premissas!$C$18))*12+MONTH(Premissas!$C$25)-MONTH(Premissas!$C$18))*(1+Premissas!$C$34))),"")</f>
        <v>1542973.26278544</v>
      </c>
      <c r="AB335" s="16" t="n">
        <f aca="false">IF($A335&gt;=Premissas!$C$25,Y335+AA335,"")</f>
        <v>1214669.48652569</v>
      </c>
      <c r="AC335" s="20" t="n">
        <f aca="false">IF(AND($A335&gt;=Premissas!$C$27,W335&gt;=M335),$A335,"")</f>
        <v>56431</v>
      </c>
      <c r="AD335" s="20" t="str">
        <f aca="false">IF(AND($A335&gt;=Premissas!$C$27,Y335&gt;=0),$A335,"")</f>
        <v/>
      </c>
      <c r="AE335" s="20" t="n">
        <f aca="false">IF(AND($A335&gt;=Premissas!$C$25,N(AB335)&gt;=0),$A335,"")</f>
        <v>56431</v>
      </c>
    </row>
    <row r="336" customFormat="false" ht="15" hidden="false" customHeight="false" outlineLevel="0" collapsed="false">
      <c r="A336" s="20" t="n">
        <f aca="false">DATE(YEAR(A335),MONTH(A335)+1,1)</f>
        <v>56462</v>
      </c>
      <c r="B336" s="5" t="str">
        <f aca="false">IF($A336&lt;Premissas!$C$25,"Obra",IF($A336=Premissas!$C$25,"Chaves",IF($A336&lt;Premissas!$C$27,"Mobiliando","Airbnb")))</f>
        <v>Airbnb</v>
      </c>
      <c r="C336" s="35" t="n">
        <f aca="false">(YEAR($A336)-YEAR(Premissas!$C$18))*12+MONTH($A336)-MONTH(Premissas!$C$18)</f>
        <v>335</v>
      </c>
      <c r="D336" s="16" t="n">
        <f aca="false">($A336=Premissas!$C$19)*Premissas!$C$8+(($A336=EDATE(Premissas!$C$19,1))+($A336=EDATE(Premissas!$C$19,2)))*Premissas!$C$9+AND($A336&gt;=Premissas!$C$20,$A336&lt;EDATE(Premissas!$C$20,Premissas!$C$21))*Premissas!$C$10+(($A336=Premissas!$C$22)+($A336=Premissas!$C$23)+($A336=Premissas!$C$24))*Premissas!$C$11+($A336=Premissas!$C$25)*Premissas!$C$12</f>
        <v>0</v>
      </c>
      <c r="E336" s="36" t="n">
        <f aca="false">(1+Premissas!$C$57)^C336</f>
        <v>4.45790864957853</v>
      </c>
      <c r="F336" s="16" t="n">
        <f aca="false">D336*E336</f>
        <v>0</v>
      </c>
      <c r="G336" s="16" t="n">
        <f aca="false">($A336=Premissas!$C$25)*Premissas!$C$34*Premissas!$C$14*(1+Premissas!$C$57)^C336</f>
        <v>0</v>
      </c>
      <c r="H336" s="16" t="n">
        <f aca="false">IF(AND($A336&gt;Premissas!$C$25,$A336&lt;Premissas!$C$27),Premissas!$C$35/MAX(1,Premissas!$C$26),0)</f>
        <v>0</v>
      </c>
      <c r="I336" s="35" t="n">
        <f aca="false">IF(AND($A336&gt;Premissas!$C$25,((YEAR($A336)-YEAR(Premissas!$C$25))*12+MONTH($A336)-MONTH(Premissas!$C$25))&lt;=Premissas!$C$32),((YEAR($A336)-YEAR(Premissas!$C$25))*12+MONTH($A336)-MONTH(Premissas!$C$25)),0)</f>
        <v>0</v>
      </c>
      <c r="J336" s="16" t="n">
        <f aca="false">IF(I336&gt;0,N335*(1+Premissas!$C$59),0)</f>
        <v>0</v>
      </c>
      <c r="K336" s="16" t="n">
        <f aca="false">J336*Premissas!$C$58</f>
        <v>0</v>
      </c>
      <c r="L336" s="16" t="n">
        <f aca="false">IF(I336&gt;0,J336/(Premissas!$C$32-I336+1),0)</f>
        <v>0</v>
      </c>
      <c r="M336" s="16" t="n">
        <f aca="false">K336+L336</f>
        <v>0</v>
      </c>
      <c r="N336" s="16" t="n">
        <f aca="false">IF($A336=Premissas!$C$25,Premissas!$C$13*E336,IF(I336&gt;0,J336-L336,0))</f>
        <v>0</v>
      </c>
      <c r="O336" s="37" t="n">
        <f aca="false">IF($A336&gt;=Premissas!$C$27,Premissas!$C$39*IF(((YEAR($A336)-YEAR(Premissas!$C$27))*12+MONTH($A336)-MONTH(Premissas!$C$27))&lt;Premissas!$C$41,Premissas!$C$42,1),0)</f>
        <v>0.62</v>
      </c>
      <c r="P336" s="16" t="n">
        <f aca="false">O336*Premissas!$C$38*Premissas!$C$40*(1+Premissas!$C$60)^((YEAR($A336)-YEAR(Premissas!$C$19))*12+MONTH($A336)-MONTH(Premissas!$C$19))</f>
        <v>12620.5143767601</v>
      </c>
      <c r="Q336" s="16" t="n">
        <f aca="false">P336*Premissas!$C$43</f>
        <v>2019.28230028162</v>
      </c>
      <c r="R336" s="16" t="n">
        <f aca="false">P336*Premissas!$C$44</f>
        <v>2524.10287535202</v>
      </c>
      <c r="S336" s="16" t="n">
        <f aca="false">IF($A336&gt;=Premissas!$C$25,Premissas!$C$45*(1+Premissas!$C$60)^((YEAR($A336)-YEAR(Premissas!$C$19))*12+MONTH($A336)-MONTH(Premissas!$C$19)),0)</f>
        <v>2212.57264669707</v>
      </c>
      <c r="T336" s="16" t="n">
        <f aca="false">IF($A336&gt;=Premissas!$C$27,Premissas!$C$46*(1+Premissas!$C$60)^((YEAR($A336)-YEAR(Premissas!$C$19))*12+MONTH($A336)-MONTH(Premissas!$C$19)),0)</f>
        <v>885.029058678829</v>
      </c>
      <c r="U336" s="16" t="n">
        <f aca="false">IF($A336&gt;=Premissas!$C$27,Premissas!$C$47*(1+Premissas!$C$60)^((YEAR($A336)-YEAR(Premissas!$C$19))*12+MONTH($A336)-MONTH(Premissas!$C$19)),0)</f>
        <v>442.514529339414</v>
      </c>
      <c r="V336" s="16" t="n">
        <f aca="false">IF($A336&gt;=Premissas!$C$27,MAX(0,P336-Q336-R336-S336)*Premissas!$C$49,0)</f>
        <v>1612.75305246808</v>
      </c>
      <c r="W336" s="16" t="n">
        <f aca="false">P336-Q336-R336-S336-T336-U336-V336</f>
        <v>2924.25991394307</v>
      </c>
      <c r="X336" s="16" t="n">
        <f aca="false">W336-F336-G336-H336-M336</f>
        <v>2924.25991394307</v>
      </c>
      <c r="Y336" s="16" t="n">
        <f aca="false">Y335+X336</f>
        <v>-325379.516345804</v>
      </c>
      <c r="Z336" s="16" t="n">
        <f aca="false">Premissas!$C$14*(1+Premissas!$C$57)^((YEAR(Premissas!$C$19)-YEAR(Premissas!$C$18))*12+MONTH(Premissas!$C$19)-MONTH(Premissas!$C$18))*(1+Premissas!$C$61)^((YEAR($A336)-YEAR(Premissas!$C$19))*12+MONTH($A336)-MONTH(Premissas!$C$19))</f>
        <v>1836954.30474113</v>
      </c>
      <c r="AA336" s="16" t="n">
        <f aca="false">IF($A336&gt;=Premissas!$C$25,Z336*(1-Premissas!$C$53)-N336-Premissas!$C$54*MAX(0,Z336*(1-Premissas!$C$53)-(Premissas!$C$14*(1+Premissas!$C$57)^((YEAR(Premissas!$C$25)-YEAR(Premissas!$C$18))*12+MONTH(Premissas!$C$25)-MONTH(Premissas!$C$18))*(1+Premissas!$C$34))),"")</f>
        <v>1548928.69899983</v>
      </c>
      <c r="AB336" s="16" t="n">
        <f aca="false">IF($A336&gt;=Premissas!$C$25,Y336+AA336,"")</f>
        <v>1223549.18265402</v>
      </c>
      <c r="AC336" s="20" t="n">
        <f aca="false">IF(AND($A336&gt;=Premissas!$C$27,W336&gt;=M336),$A336,"")</f>
        <v>56462</v>
      </c>
      <c r="AD336" s="20" t="str">
        <f aca="false">IF(AND($A336&gt;=Premissas!$C$27,Y336&gt;=0),$A336,"")</f>
        <v/>
      </c>
      <c r="AE336" s="20" t="n">
        <f aca="false">IF(AND($A336&gt;=Premissas!$C$25,N(AB336)&gt;=0),$A336,"")</f>
        <v>56462</v>
      </c>
    </row>
    <row r="337" customFormat="false" ht="15" hidden="false" customHeight="false" outlineLevel="0" collapsed="false">
      <c r="A337" s="20" t="n">
        <f aca="false">DATE(YEAR(A336),MONTH(A336)+1,1)</f>
        <v>56493</v>
      </c>
      <c r="B337" s="5" t="str">
        <f aca="false">IF($A337&lt;Premissas!$C$25,"Obra",IF($A337=Premissas!$C$25,"Chaves",IF($A337&lt;Premissas!$C$27,"Mobiliando","Airbnb")))</f>
        <v>Airbnb</v>
      </c>
      <c r="C337" s="35" t="n">
        <f aca="false">(YEAR($A337)-YEAR(Premissas!$C$18))*12+MONTH($A337)-MONTH(Premissas!$C$18)</f>
        <v>336</v>
      </c>
      <c r="D337" s="16" t="n">
        <f aca="false">($A337=Premissas!$C$19)*Premissas!$C$8+(($A337=EDATE(Premissas!$C$19,1))+($A337=EDATE(Premissas!$C$19,2)))*Premissas!$C$9+AND($A337&gt;=Premissas!$C$20,$A337&lt;EDATE(Premissas!$C$20,Premissas!$C$21))*Premissas!$C$10+(($A337=Premissas!$C$22)+($A337=Premissas!$C$23)+($A337=Premissas!$C$24))*Premissas!$C$11+($A337=Premissas!$C$25)*Premissas!$C$12</f>
        <v>0</v>
      </c>
      <c r="E337" s="36" t="n">
        <f aca="false">(1+Premissas!$C$57)^C337</f>
        <v>4.47784307485913</v>
      </c>
      <c r="F337" s="16" t="n">
        <f aca="false">D337*E337</f>
        <v>0</v>
      </c>
      <c r="G337" s="16" t="n">
        <f aca="false">($A337=Premissas!$C$25)*Premissas!$C$34*Premissas!$C$14*(1+Premissas!$C$57)^C337</f>
        <v>0</v>
      </c>
      <c r="H337" s="16" t="n">
        <f aca="false">IF(AND($A337&gt;Premissas!$C$25,$A337&lt;Premissas!$C$27),Premissas!$C$35/MAX(1,Premissas!$C$26),0)</f>
        <v>0</v>
      </c>
      <c r="I337" s="35" t="n">
        <f aca="false">IF(AND($A337&gt;Premissas!$C$25,((YEAR($A337)-YEAR(Premissas!$C$25))*12+MONTH($A337)-MONTH(Premissas!$C$25))&lt;=Premissas!$C$32),((YEAR($A337)-YEAR(Premissas!$C$25))*12+MONTH($A337)-MONTH(Premissas!$C$25)),0)</f>
        <v>0</v>
      </c>
      <c r="J337" s="16" t="n">
        <f aca="false">IF(I337&gt;0,N336*(1+Premissas!$C$59),0)</f>
        <v>0</v>
      </c>
      <c r="K337" s="16" t="n">
        <f aca="false">J337*Premissas!$C$58</f>
        <v>0</v>
      </c>
      <c r="L337" s="16" t="n">
        <f aca="false">IF(I337&gt;0,J337/(Premissas!$C$32-I337+1),0)</f>
        <v>0</v>
      </c>
      <c r="M337" s="16" t="n">
        <f aca="false">K337+L337</f>
        <v>0</v>
      </c>
      <c r="N337" s="16" t="n">
        <f aca="false">IF($A337=Premissas!$C$25,Premissas!$C$13*E337,IF(I337&gt;0,J337-L337,0))</f>
        <v>0</v>
      </c>
      <c r="O337" s="37" t="n">
        <f aca="false">IF($A337&gt;=Premissas!$C$27,Premissas!$C$39*IF(((YEAR($A337)-YEAR(Premissas!$C$27))*12+MONTH($A337)-MONTH(Premissas!$C$27))&lt;Premissas!$C$41,Premissas!$C$42,1),0)</f>
        <v>0.62</v>
      </c>
      <c r="P337" s="16" t="n">
        <f aca="false">O337*Premissas!$C$38*Premissas!$C$40*(1+Premissas!$C$60)^((YEAR($A337)-YEAR(Premissas!$C$19))*12+MONTH($A337)-MONTH(Premissas!$C$19))</f>
        <v>12661.8306567471</v>
      </c>
      <c r="Q337" s="16" t="n">
        <f aca="false">P337*Premissas!$C$43</f>
        <v>2025.89290507954</v>
      </c>
      <c r="R337" s="16" t="n">
        <f aca="false">P337*Premissas!$C$44</f>
        <v>2532.36613134942</v>
      </c>
      <c r="S337" s="16" t="n">
        <f aca="false">IF($A337&gt;=Premissas!$C$25,Premissas!$C$45*(1+Premissas!$C$60)^((YEAR($A337)-YEAR(Premissas!$C$19))*12+MONTH($A337)-MONTH(Premissas!$C$19)),0)</f>
        <v>2219.81603379157</v>
      </c>
      <c r="T337" s="16" t="n">
        <f aca="false">IF($A337&gt;=Premissas!$C$27,Premissas!$C$46*(1+Premissas!$C$60)^((YEAR($A337)-YEAR(Premissas!$C$19))*12+MONTH($A337)-MONTH(Premissas!$C$19)),0)</f>
        <v>887.926413516628</v>
      </c>
      <c r="U337" s="16" t="n">
        <f aca="false">IF($A337&gt;=Premissas!$C$27,Premissas!$C$47*(1+Premissas!$C$60)^((YEAR($A337)-YEAR(Premissas!$C$19))*12+MONTH($A337)-MONTH(Premissas!$C$19)),0)</f>
        <v>443.963206758314</v>
      </c>
      <c r="V337" s="16" t="n">
        <f aca="false">IF($A337&gt;=Premissas!$C$27,MAX(0,P337-Q337-R337-S337)*Premissas!$C$49,0)</f>
        <v>1618.03278629481</v>
      </c>
      <c r="W337" s="16" t="n">
        <f aca="false">P337-Q337-R337-S337-T337-U337-V337</f>
        <v>2933.83317995683</v>
      </c>
      <c r="X337" s="16" t="n">
        <f aca="false">W337-F337-G337-H337-M337</f>
        <v>2933.83317995683</v>
      </c>
      <c r="Y337" s="16" t="n">
        <f aca="false">Y336+X337</f>
        <v>-322445.683165847</v>
      </c>
      <c r="Z337" s="16" t="n">
        <f aca="false">Premissas!$C$14*(1+Premissas!$C$57)^((YEAR(Premissas!$C$19)-YEAR(Premissas!$C$18))*12+MONTH(Premissas!$C$19)-MONTH(Premissas!$C$18))*(1+Premissas!$C$61)^((YEAR($A337)-YEAR(Premissas!$C$19))*12+MONTH($A337)-MONTH(Premissas!$C$19))</f>
        <v>1844438.28396355</v>
      </c>
      <c r="AA337" s="16" t="n">
        <f aca="false">IF($A337&gt;=Premissas!$C$25,Z337*(1-Premissas!$C$53)-N337-Premissas!$C$54*MAX(0,Z337*(1-Premissas!$C$53)-(Premissas!$C$14*(1+Premissas!$C$57)^((YEAR(Premissas!$C$25)-YEAR(Premissas!$C$18))*12+MONTH(Premissas!$C$25)-MONTH(Premissas!$C$18))*(1+Premissas!$C$34))),"")</f>
        <v>1554908.39839854</v>
      </c>
      <c r="AB337" s="16" t="n">
        <f aca="false">IF($A337&gt;=Premissas!$C$25,Y337+AA337,"")</f>
        <v>1232462.71523269</v>
      </c>
      <c r="AC337" s="20" t="n">
        <f aca="false">IF(AND($A337&gt;=Premissas!$C$27,W337&gt;=M337),$A337,"")</f>
        <v>56493</v>
      </c>
      <c r="AD337" s="20" t="str">
        <f aca="false">IF(AND($A337&gt;=Premissas!$C$27,Y337&gt;=0),$A337,"")</f>
        <v/>
      </c>
      <c r="AE337" s="20" t="n">
        <f aca="false">IF(AND($A337&gt;=Premissas!$C$25,N(AB337)&gt;=0),$A337,"")</f>
        <v>56493</v>
      </c>
    </row>
    <row r="338" customFormat="false" ht="15" hidden="false" customHeight="false" outlineLevel="0" collapsed="false">
      <c r="A338" s="20" t="n">
        <f aca="false">DATE(YEAR(A337),MONTH(A337)+1,1)</f>
        <v>56523</v>
      </c>
      <c r="B338" s="5" t="str">
        <f aca="false">IF($A338&lt;Premissas!$C$25,"Obra",IF($A338=Premissas!$C$25,"Chaves",IF($A338&lt;Premissas!$C$27,"Mobiliando","Airbnb")))</f>
        <v>Airbnb</v>
      </c>
      <c r="C338" s="35" t="n">
        <f aca="false">(YEAR($A338)-YEAR(Premissas!$C$18))*12+MONTH($A338)-MONTH(Premissas!$C$18)</f>
        <v>337</v>
      </c>
      <c r="D338" s="16" t="n">
        <f aca="false">($A338=Premissas!$C$19)*Premissas!$C$8+(($A338=EDATE(Premissas!$C$19,1))+($A338=EDATE(Premissas!$C$19,2)))*Premissas!$C$9+AND($A338&gt;=Premissas!$C$20,$A338&lt;EDATE(Premissas!$C$20,Premissas!$C$21))*Premissas!$C$10+(($A338=Premissas!$C$22)+($A338=Premissas!$C$23)+($A338=Premissas!$C$24))*Premissas!$C$11+($A338=Premissas!$C$25)*Premissas!$C$12</f>
        <v>0</v>
      </c>
      <c r="E338" s="36" t="n">
        <f aca="false">(1+Premissas!$C$57)^C338</f>
        <v>4.49786664088766</v>
      </c>
      <c r="F338" s="16" t="n">
        <f aca="false">D338*E338</f>
        <v>0</v>
      </c>
      <c r="G338" s="16" t="n">
        <f aca="false">($A338=Premissas!$C$25)*Premissas!$C$34*Premissas!$C$14*(1+Premissas!$C$57)^C338</f>
        <v>0</v>
      </c>
      <c r="H338" s="16" t="n">
        <f aca="false">IF(AND($A338&gt;Premissas!$C$25,$A338&lt;Premissas!$C$27),Premissas!$C$35/MAX(1,Premissas!$C$26),0)</f>
        <v>0</v>
      </c>
      <c r="I338" s="35" t="n">
        <f aca="false">IF(AND($A338&gt;Premissas!$C$25,((YEAR($A338)-YEAR(Premissas!$C$25))*12+MONTH($A338)-MONTH(Premissas!$C$25))&lt;=Premissas!$C$32),((YEAR($A338)-YEAR(Premissas!$C$25))*12+MONTH($A338)-MONTH(Premissas!$C$25)),0)</f>
        <v>0</v>
      </c>
      <c r="J338" s="16" t="n">
        <f aca="false">IF(I338&gt;0,N337*(1+Premissas!$C$59),0)</f>
        <v>0</v>
      </c>
      <c r="K338" s="16" t="n">
        <f aca="false">J338*Premissas!$C$58</f>
        <v>0</v>
      </c>
      <c r="L338" s="16" t="n">
        <f aca="false">IF(I338&gt;0,J338/(Premissas!$C$32-I338+1),0)</f>
        <v>0</v>
      </c>
      <c r="M338" s="16" t="n">
        <f aca="false">K338+L338</f>
        <v>0</v>
      </c>
      <c r="N338" s="16" t="n">
        <f aca="false">IF($A338=Premissas!$C$25,Premissas!$C$13*E338,IF(I338&gt;0,J338-L338,0))</f>
        <v>0</v>
      </c>
      <c r="O338" s="37" t="n">
        <f aca="false">IF($A338&gt;=Premissas!$C$27,Premissas!$C$39*IF(((YEAR($A338)-YEAR(Premissas!$C$27))*12+MONTH($A338)-MONTH(Premissas!$C$27))&lt;Premissas!$C$41,Premissas!$C$42,1),0)</f>
        <v>0.62</v>
      </c>
      <c r="P338" s="16" t="n">
        <f aca="false">O338*Premissas!$C$38*Premissas!$C$40*(1+Premissas!$C$60)^((YEAR($A338)-YEAR(Premissas!$C$19))*12+MONTH($A338)-MONTH(Premissas!$C$19))</f>
        <v>12703.2821954836</v>
      </c>
      <c r="Q338" s="16" t="n">
        <f aca="false">P338*Premissas!$C$43</f>
        <v>2032.52515127737</v>
      </c>
      <c r="R338" s="16" t="n">
        <f aca="false">P338*Premissas!$C$44</f>
        <v>2540.65643909671</v>
      </c>
      <c r="S338" s="16" t="n">
        <f aca="false">IF($A338&gt;=Premissas!$C$25,Premissas!$C$45*(1+Premissas!$C$60)^((YEAR($A338)-YEAR(Premissas!$C$19))*12+MONTH($A338)-MONTH(Premissas!$C$19)),0)</f>
        <v>2227.08313385056</v>
      </c>
      <c r="T338" s="16" t="n">
        <f aca="false">IF($A338&gt;=Premissas!$C$27,Premissas!$C$46*(1+Premissas!$C$60)^((YEAR($A338)-YEAR(Premissas!$C$19))*12+MONTH($A338)-MONTH(Premissas!$C$19)),0)</f>
        <v>890.833253540222</v>
      </c>
      <c r="U338" s="16" t="n">
        <f aca="false">IF($A338&gt;=Premissas!$C$27,Premissas!$C$47*(1+Premissas!$C$60)^((YEAR($A338)-YEAR(Premissas!$C$19))*12+MONTH($A338)-MONTH(Premissas!$C$19)),0)</f>
        <v>445.416626770111</v>
      </c>
      <c r="V338" s="16" t="n">
        <f aca="false">IF($A338&gt;=Premissas!$C$27,MAX(0,P338-Q338-R338-S338)*Premissas!$C$49,0)</f>
        <v>1623.32980459621</v>
      </c>
      <c r="W338" s="16" t="n">
        <f aca="false">P338-Q338-R338-S338-T338-U338-V338</f>
        <v>2943.43778635239</v>
      </c>
      <c r="X338" s="16" t="n">
        <f aca="false">W338-F338-G338-H338-M338</f>
        <v>2943.43778635239</v>
      </c>
      <c r="Y338" s="16" t="n">
        <f aca="false">Y337+X338</f>
        <v>-319502.245379494</v>
      </c>
      <c r="Z338" s="16" t="n">
        <f aca="false">Premissas!$C$14*(1+Premissas!$C$57)^((YEAR(Premissas!$C$19)-YEAR(Premissas!$C$18))*12+MONTH(Premissas!$C$19)-MONTH(Premissas!$C$18))*(1+Premissas!$C$61)^((YEAR($A338)-YEAR(Premissas!$C$19))*12+MONTH($A338)-MONTH(Premissas!$C$19))</f>
        <v>1851952.75384372</v>
      </c>
      <c r="AA338" s="16" t="n">
        <f aca="false">IF($A338&gt;=Premissas!$C$25,Z338*(1-Premissas!$C$53)-N338-Premissas!$C$54*MAX(0,Z338*(1-Premissas!$C$53)-(Premissas!$C$14*(1+Premissas!$C$57)^((YEAR(Premissas!$C$25)-YEAR(Premissas!$C$18))*12+MONTH(Premissas!$C$25)-MONTH(Premissas!$C$18))*(1+Premissas!$C$34))),"")</f>
        <v>1560912.4598328</v>
      </c>
      <c r="AB338" s="16" t="n">
        <f aca="false">IF($A338&gt;=Premissas!$C$25,Y338+AA338,"")</f>
        <v>1241410.2144533</v>
      </c>
      <c r="AC338" s="20" t="n">
        <f aca="false">IF(AND($A338&gt;=Premissas!$C$27,W338&gt;=M338),$A338,"")</f>
        <v>56523</v>
      </c>
      <c r="AD338" s="20" t="str">
        <f aca="false">IF(AND($A338&gt;=Premissas!$C$27,Y338&gt;=0),$A338,"")</f>
        <v/>
      </c>
      <c r="AE338" s="20" t="n">
        <f aca="false">IF(AND($A338&gt;=Premissas!$C$25,N(AB338)&gt;=0),$A338,"")</f>
        <v>56523</v>
      </c>
    </row>
    <row r="339" customFormat="false" ht="15" hidden="false" customHeight="false" outlineLevel="0" collapsed="false">
      <c r="A339" s="20" t="n">
        <f aca="false">DATE(YEAR(A338),MONTH(A338)+1,1)</f>
        <v>56554</v>
      </c>
      <c r="B339" s="5" t="str">
        <f aca="false">IF($A339&lt;Premissas!$C$25,"Obra",IF($A339=Premissas!$C$25,"Chaves",IF($A339&lt;Premissas!$C$27,"Mobiliando","Airbnb")))</f>
        <v>Airbnb</v>
      </c>
      <c r="C339" s="35" t="n">
        <f aca="false">(YEAR($A339)-YEAR(Premissas!$C$18))*12+MONTH($A339)-MONTH(Premissas!$C$18)</f>
        <v>338</v>
      </c>
      <c r="D339" s="16" t="n">
        <f aca="false">($A339=Premissas!$C$19)*Premissas!$C$8+(($A339=EDATE(Premissas!$C$19,1))+($A339=EDATE(Premissas!$C$19,2)))*Premissas!$C$9+AND($A339&gt;=Premissas!$C$20,$A339&lt;EDATE(Premissas!$C$20,Premissas!$C$21))*Premissas!$C$10+(($A339=Premissas!$C$22)+($A339=Premissas!$C$23)+($A339=Premissas!$C$24))*Premissas!$C$11+($A339=Premissas!$C$25)*Premissas!$C$12</f>
        <v>0</v>
      </c>
      <c r="E339" s="36" t="n">
        <f aca="false">(1+Premissas!$C$57)^C339</f>
        <v>4.51797974627473</v>
      </c>
      <c r="F339" s="16" t="n">
        <f aca="false">D339*E339</f>
        <v>0</v>
      </c>
      <c r="G339" s="16" t="n">
        <f aca="false">($A339=Premissas!$C$25)*Premissas!$C$34*Premissas!$C$14*(1+Premissas!$C$57)^C339</f>
        <v>0</v>
      </c>
      <c r="H339" s="16" t="n">
        <f aca="false">IF(AND($A339&gt;Premissas!$C$25,$A339&lt;Premissas!$C$27),Premissas!$C$35/MAX(1,Premissas!$C$26),0)</f>
        <v>0</v>
      </c>
      <c r="I339" s="35" t="n">
        <f aca="false">IF(AND($A339&gt;Premissas!$C$25,((YEAR($A339)-YEAR(Premissas!$C$25))*12+MONTH($A339)-MONTH(Premissas!$C$25))&lt;=Premissas!$C$32),((YEAR($A339)-YEAR(Premissas!$C$25))*12+MONTH($A339)-MONTH(Premissas!$C$25)),0)</f>
        <v>0</v>
      </c>
      <c r="J339" s="16" t="n">
        <f aca="false">IF(I339&gt;0,N338*(1+Premissas!$C$59),0)</f>
        <v>0</v>
      </c>
      <c r="K339" s="16" t="n">
        <f aca="false">J339*Premissas!$C$58</f>
        <v>0</v>
      </c>
      <c r="L339" s="16" t="n">
        <f aca="false">IF(I339&gt;0,J339/(Premissas!$C$32-I339+1),0)</f>
        <v>0</v>
      </c>
      <c r="M339" s="16" t="n">
        <f aca="false">K339+L339</f>
        <v>0</v>
      </c>
      <c r="N339" s="16" t="n">
        <f aca="false">IF($A339=Premissas!$C$25,Premissas!$C$13*E339,IF(I339&gt;0,J339-L339,0))</f>
        <v>0</v>
      </c>
      <c r="O339" s="37" t="n">
        <f aca="false">IF($A339&gt;=Premissas!$C$27,Premissas!$C$39*IF(((YEAR($A339)-YEAR(Premissas!$C$27))*12+MONTH($A339)-MONTH(Premissas!$C$27))&lt;Premissas!$C$41,Premissas!$C$42,1),0)</f>
        <v>0.62</v>
      </c>
      <c r="P339" s="16" t="n">
        <f aca="false">O339*Premissas!$C$38*Premissas!$C$40*(1+Premissas!$C$60)^((YEAR($A339)-YEAR(Premissas!$C$19))*12+MONTH($A339)-MONTH(Premissas!$C$19))</f>
        <v>12744.8694357714</v>
      </c>
      <c r="Q339" s="16" t="n">
        <f aca="false">P339*Premissas!$C$43</f>
        <v>2039.17910972343</v>
      </c>
      <c r="R339" s="16" t="n">
        <f aca="false">P339*Premissas!$C$44</f>
        <v>2548.97388715429</v>
      </c>
      <c r="S339" s="16" t="n">
        <f aca="false">IF($A339&gt;=Premissas!$C$25,Premissas!$C$45*(1+Premissas!$C$60)^((YEAR($A339)-YEAR(Premissas!$C$19))*12+MONTH($A339)-MONTH(Premissas!$C$19)),0)</f>
        <v>2234.37402450411</v>
      </c>
      <c r="T339" s="16" t="n">
        <f aca="false">IF($A339&gt;=Premissas!$C$27,Premissas!$C$46*(1+Premissas!$C$60)^((YEAR($A339)-YEAR(Premissas!$C$19))*12+MONTH($A339)-MONTH(Premissas!$C$19)),0)</f>
        <v>893.749609801643</v>
      </c>
      <c r="U339" s="16" t="n">
        <f aca="false">IF($A339&gt;=Premissas!$C$27,Premissas!$C$47*(1+Premissas!$C$60)^((YEAR($A339)-YEAR(Premissas!$C$19))*12+MONTH($A339)-MONTH(Premissas!$C$19)),0)</f>
        <v>446.874804900821</v>
      </c>
      <c r="V339" s="16" t="n">
        <f aca="false">IF($A339&gt;=Premissas!$C$27,MAX(0,P339-Q339-R339-S339)*Premissas!$C$49,0)</f>
        <v>1628.64416395714</v>
      </c>
      <c r="W339" s="16" t="n">
        <f aca="false">P339-Q339-R339-S339-T339-U339-V339</f>
        <v>2953.07383573</v>
      </c>
      <c r="X339" s="16" t="n">
        <f aca="false">W339-F339-G339-H339-M339</f>
        <v>2953.07383573</v>
      </c>
      <c r="Y339" s="16" t="n">
        <f aca="false">Y338+X339</f>
        <v>-316549.171543764</v>
      </c>
      <c r="Z339" s="16" t="n">
        <f aca="false">Premissas!$C$14*(1+Premissas!$C$57)^((YEAR(Premissas!$C$19)-YEAR(Premissas!$C$18))*12+MONTH(Premissas!$C$19)-MONTH(Premissas!$C$18))*(1+Premissas!$C$61)^((YEAR($A339)-YEAR(Premissas!$C$19))*12+MONTH($A339)-MONTH(Premissas!$C$19))</f>
        <v>1859497.83860435</v>
      </c>
      <c r="AA339" s="16" t="n">
        <f aca="false">IF($A339&gt;=Premissas!$C$25,Z339*(1-Premissas!$C$53)-N339-Premissas!$C$54*MAX(0,Z339*(1-Premissas!$C$53)-(Premissas!$C$14*(1+Premissas!$C$57)^((YEAR(Premissas!$C$25)-YEAR(Premissas!$C$18))*12+MONTH(Premissas!$C$25)-MONTH(Premissas!$C$18))*(1+Premissas!$C$34))),"")</f>
        <v>1566940.98255654</v>
      </c>
      <c r="AB339" s="16" t="n">
        <f aca="false">IF($A339&gt;=Premissas!$C$25,Y339+AA339,"")</f>
        <v>1250391.81101277</v>
      </c>
      <c r="AC339" s="20" t="n">
        <f aca="false">IF(AND($A339&gt;=Premissas!$C$27,W339&gt;=M339),$A339,"")</f>
        <v>56554</v>
      </c>
      <c r="AD339" s="20" t="str">
        <f aca="false">IF(AND($A339&gt;=Premissas!$C$27,Y339&gt;=0),$A339,"")</f>
        <v/>
      </c>
      <c r="AE339" s="20" t="n">
        <f aca="false">IF(AND($A339&gt;=Premissas!$C$25,N(AB339)&gt;=0),$A339,"")</f>
        <v>56554</v>
      </c>
    </row>
    <row r="340" customFormat="false" ht="15" hidden="false" customHeight="false" outlineLevel="0" collapsed="false">
      <c r="A340" s="20" t="n">
        <f aca="false">DATE(YEAR(A339),MONTH(A339)+1,1)</f>
        <v>56584</v>
      </c>
      <c r="B340" s="5" t="str">
        <f aca="false">IF($A340&lt;Premissas!$C$25,"Obra",IF($A340=Premissas!$C$25,"Chaves",IF($A340&lt;Premissas!$C$27,"Mobiliando","Airbnb")))</f>
        <v>Airbnb</v>
      </c>
      <c r="C340" s="35" t="n">
        <f aca="false">(YEAR($A340)-YEAR(Premissas!$C$18))*12+MONTH($A340)-MONTH(Premissas!$C$18)</f>
        <v>339</v>
      </c>
      <c r="D340" s="16" t="n">
        <f aca="false">($A340=Premissas!$C$19)*Premissas!$C$8+(($A340=EDATE(Premissas!$C$19,1))+($A340=EDATE(Premissas!$C$19,2)))*Premissas!$C$9+AND($A340&gt;=Premissas!$C$20,$A340&lt;EDATE(Premissas!$C$20,Premissas!$C$21))*Premissas!$C$10+(($A340=Premissas!$C$22)+($A340=Premissas!$C$23)+($A340=Premissas!$C$24))*Premissas!$C$11+($A340=Premissas!$C$25)*Premissas!$C$12</f>
        <v>0</v>
      </c>
      <c r="E340" s="36" t="n">
        <f aca="false">(1+Premissas!$C$57)^C340</f>
        <v>4.53818279141336</v>
      </c>
      <c r="F340" s="16" t="n">
        <f aca="false">D340*E340</f>
        <v>0</v>
      </c>
      <c r="G340" s="16" t="n">
        <f aca="false">($A340=Premissas!$C$25)*Premissas!$C$34*Premissas!$C$14*(1+Premissas!$C$57)^C340</f>
        <v>0</v>
      </c>
      <c r="H340" s="16" t="n">
        <f aca="false">IF(AND($A340&gt;Premissas!$C$25,$A340&lt;Premissas!$C$27),Premissas!$C$35/MAX(1,Premissas!$C$26),0)</f>
        <v>0</v>
      </c>
      <c r="I340" s="35" t="n">
        <f aca="false">IF(AND($A340&gt;Premissas!$C$25,((YEAR($A340)-YEAR(Premissas!$C$25))*12+MONTH($A340)-MONTH(Premissas!$C$25))&lt;=Premissas!$C$32),((YEAR($A340)-YEAR(Premissas!$C$25))*12+MONTH($A340)-MONTH(Premissas!$C$25)),0)</f>
        <v>0</v>
      </c>
      <c r="J340" s="16" t="n">
        <f aca="false">IF(I340&gt;0,N339*(1+Premissas!$C$59),0)</f>
        <v>0</v>
      </c>
      <c r="K340" s="16" t="n">
        <f aca="false">J340*Premissas!$C$58</f>
        <v>0</v>
      </c>
      <c r="L340" s="16" t="n">
        <f aca="false">IF(I340&gt;0,J340/(Premissas!$C$32-I340+1),0)</f>
        <v>0</v>
      </c>
      <c r="M340" s="16" t="n">
        <f aca="false">K340+L340</f>
        <v>0</v>
      </c>
      <c r="N340" s="16" t="n">
        <f aca="false">IF($A340=Premissas!$C$25,Premissas!$C$13*E340,IF(I340&gt;0,J340-L340,0))</f>
        <v>0</v>
      </c>
      <c r="O340" s="37" t="n">
        <f aca="false">IF($A340&gt;=Premissas!$C$27,Premissas!$C$39*IF(((YEAR($A340)-YEAR(Premissas!$C$27))*12+MONTH($A340)-MONTH(Premissas!$C$27))&lt;Premissas!$C$41,Premissas!$C$42,1),0)</f>
        <v>0.62</v>
      </c>
      <c r="P340" s="16" t="n">
        <f aca="false">O340*Premissas!$C$38*Premissas!$C$40*(1+Premissas!$C$60)^((YEAR($A340)-YEAR(Premissas!$C$19))*12+MONTH($A340)-MONTH(Premissas!$C$19))</f>
        <v>12786.5928218622</v>
      </c>
      <c r="Q340" s="16" t="n">
        <f aca="false">P340*Premissas!$C$43</f>
        <v>2045.85485149796</v>
      </c>
      <c r="R340" s="16" t="n">
        <f aca="false">P340*Premissas!$C$44</f>
        <v>2557.31856437245</v>
      </c>
      <c r="S340" s="16" t="n">
        <f aca="false">IF($A340&gt;=Premissas!$C$25,Premissas!$C$45*(1+Premissas!$C$60)^((YEAR($A340)-YEAR(Premissas!$C$19))*12+MONTH($A340)-MONTH(Premissas!$C$19)),0)</f>
        <v>2241.68878363644</v>
      </c>
      <c r="T340" s="16" t="n">
        <f aca="false">IF($A340&gt;=Premissas!$C$27,Premissas!$C$46*(1+Premissas!$C$60)^((YEAR($A340)-YEAR(Premissas!$C$19))*12+MONTH($A340)-MONTH(Premissas!$C$19)),0)</f>
        <v>896.675513454575</v>
      </c>
      <c r="U340" s="16" t="n">
        <f aca="false">IF($A340&gt;=Premissas!$C$27,Premissas!$C$47*(1+Premissas!$C$60)^((YEAR($A340)-YEAR(Premissas!$C$19))*12+MONTH($A340)-MONTH(Premissas!$C$19)),0)</f>
        <v>448.337756727287</v>
      </c>
      <c r="V340" s="16" t="n">
        <f aca="false">IF($A340&gt;=Premissas!$C$27,MAX(0,P340-Q340-R340-S340)*Premissas!$C$49,0)</f>
        <v>1633.97592114773</v>
      </c>
      <c r="W340" s="16" t="n">
        <f aca="false">P340-Q340-R340-S340-T340-U340-V340</f>
        <v>2962.7414310258</v>
      </c>
      <c r="X340" s="16" t="n">
        <f aca="false">W340-F340-G340-H340-M340</f>
        <v>2962.7414310258</v>
      </c>
      <c r="Y340" s="16" t="n">
        <f aca="false">Y339+X340</f>
        <v>-313586.430112739</v>
      </c>
      <c r="Z340" s="16" t="n">
        <f aca="false">Premissas!$C$14*(1+Premissas!$C$57)^((YEAR(Premissas!$C$19)-YEAR(Premissas!$C$18))*12+MONTH(Premissas!$C$19)-MONTH(Premissas!$C$18))*(1+Premissas!$C$61)^((YEAR($A340)-YEAR(Premissas!$C$19))*12+MONTH($A340)-MONTH(Premissas!$C$19))</f>
        <v>1867073.66297425</v>
      </c>
      <c r="AA340" s="16" t="n">
        <f aca="false">IF($A340&gt;=Premissas!$C$25,Z340*(1-Premissas!$C$53)-N340-Premissas!$C$54*MAX(0,Z340*(1-Premissas!$C$53)-(Premissas!$C$14*(1+Premissas!$C$57)^((YEAR(Premissas!$C$25)-YEAR(Premissas!$C$18))*12+MONTH(Premissas!$C$25)-MONTH(Premissas!$C$18))*(1+Premissas!$C$34))),"")</f>
        <v>1572994.06622809</v>
      </c>
      <c r="AB340" s="16" t="n">
        <f aca="false">IF($A340&gt;=Premissas!$C$25,Y340+AA340,"")</f>
        <v>1259407.63611535</v>
      </c>
      <c r="AC340" s="20" t="n">
        <f aca="false">IF(AND($A340&gt;=Premissas!$C$27,W340&gt;=M340),$A340,"")</f>
        <v>56584</v>
      </c>
      <c r="AD340" s="20" t="str">
        <f aca="false">IF(AND($A340&gt;=Premissas!$C$27,Y340&gt;=0),$A340,"")</f>
        <v/>
      </c>
      <c r="AE340" s="20" t="n">
        <f aca="false">IF(AND($A340&gt;=Premissas!$C$25,N(AB340)&gt;=0),$A340,"")</f>
        <v>56584</v>
      </c>
    </row>
    <row r="341" customFormat="false" ht="15" hidden="false" customHeight="false" outlineLevel="0" collapsed="false">
      <c r="A341" s="29" t="n">
        <f aca="false">DATE(YEAR(A340),MONTH(A340)+1,1)</f>
        <v>56615</v>
      </c>
      <c r="B341" s="30" t="str">
        <f aca="false">IF($A341&lt;Premissas!$C$25,"Obra",IF($A341=Premissas!$C$25,"Chaves",IF($A341&lt;Premissas!$C$27,"Mobiliando","Airbnb")))</f>
        <v>Airbnb</v>
      </c>
      <c r="C341" s="31" t="n">
        <f aca="false">(YEAR($A341)-YEAR(Premissas!$C$18))*12+MONTH($A341)-MONTH(Premissas!$C$18)</f>
        <v>340</v>
      </c>
      <c r="D341" s="32" t="n">
        <f aca="false">($A341=Premissas!$C$19)*Premissas!$C$8+(($A341=EDATE(Premissas!$C$19,1))+($A341=EDATE(Premissas!$C$19,2)))*Premissas!$C$9+AND($A341&gt;=Premissas!$C$20,$A341&lt;EDATE(Premissas!$C$20,Premissas!$C$21))*Premissas!$C$10+(($A341=Premissas!$C$22)+($A341=Premissas!$C$23)+($A341=Premissas!$C$24))*Premissas!$C$11+($A341=Premissas!$C$25)*Premissas!$C$12</f>
        <v>0</v>
      </c>
      <c r="E341" s="33" t="n">
        <f aca="false">(1+Premissas!$C$57)^C341</f>
        <v>4.55847617848707</v>
      </c>
      <c r="F341" s="32" t="n">
        <f aca="false">D341*E341</f>
        <v>0</v>
      </c>
      <c r="G341" s="32" t="n">
        <f aca="false">($A341=Premissas!$C$25)*Premissas!$C$34*Premissas!$C$14*(1+Premissas!$C$57)^C341</f>
        <v>0</v>
      </c>
      <c r="H341" s="32" t="n">
        <f aca="false">IF(AND($A341&gt;Premissas!$C$25,$A341&lt;Premissas!$C$27),Premissas!$C$35/MAX(1,Premissas!$C$26),0)</f>
        <v>0</v>
      </c>
      <c r="I341" s="31" t="n">
        <f aca="false">IF(AND($A341&gt;Premissas!$C$25,((YEAR($A341)-YEAR(Premissas!$C$25))*12+MONTH($A341)-MONTH(Premissas!$C$25))&lt;=Premissas!$C$32),((YEAR($A341)-YEAR(Premissas!$C$25))*12+MONTH($A341)-MONTH(Premissas!$C$25)),0)</f>
        <v>0</v>
      </c>
      <c r="J341" s="32" t="n">
        <f aca="false">IF(I341&gt;0,N340*(1+Premissas!$C$59),0)</f>
        <v>0</v>
      </c>
      <c r="K341" s="32" t="n">
        <f aca="false">J341*Premissas!$C$58</f>
        <v>0</v>
      </c>
      <c r="L341" s="32" t="n">
        <f aca="false">IF(I341&gt;0,J341/(Premissas!$C$32-I341+1),0)</f>
        <v>0</v>
      </c>
      <c r="M341" s="32" t="n">
        <f aca="false">K341+L341</f>
        <v>0</v>
      </c>
      <c r="N341" s="32" t="n">
        <f aca="false">IF($A341=Premissas!$C$25,Premissas!$C$13*E341,IF(I341&gt;0,J341-L341,0))</f>
        <v>0</v>
      </c>
      <c r="O341" s="34" t="n">
        <f aca="false">IF($A341&gt;=Premissas!$C$27,Premissas!$C$39*IF(((YEAR($A341)-YEAR(Premissas!$C$27))*12+MONTH($A341)-MONTH(Premissas!$C$27))&lt;Premissas!$C$41,Premissas!$C$42,1),0)</f>
        <v>0.62</v>
      </c>
      <c r="P341" s="32" t="n">
        <f aca="false">O341*Premissas!$C$38*Premissas!$C$40*(1+Premissas!$C$60)^((YEAR($A341)-YEAR(Premissas!$C$19))*12+MONTH($A341)-MONTH(Premissas!$C$19))</f>
        <v>12828.4527994619</v>
      </c>
      <c r="Q341" s="32" t="n">
        <f aca="false">P341*Premissas!$C$43</f>
        <v>2052.55244791391</v>
      </c>
      <c r="R341" s="32" t="n">
        <f aca="false">P341*Premissas!$C$44</f>
        <v>2565.69055989239</v>
      </c>
      <c r="S341" s="32" t="n">
        <f aca="false">IF($A341&gt;=Premissas!$C$25,Premissas!$C$45*(1+Premissas!$C$60)^((YEAR($A341)-YEAR(Premissas!$C$19))*12+MONTH($A341)-MONTH(Premissas!$C$19)),0)</f>
        <v>2249.02748938674</v>
      </c>
      <c r="T341" s="32" t="n">
        <f aca="false">IF($A341&gt;=Premissas!$C$27,Premissas!$C$46*(1+Premissas!$C$60)^((YEAR($A341)-YEAR(Premissas!$C$19))*12+MONTH($A341)-MONTH(Premissas!$C$19)),0)</f>
        <v>899.610995754695</v>
      </c>
      <c r="U341" s="32" t="n">
        <f aca="false">IF($A341&gt;=Premissas!$C$27,Premissas!$C$47*(1+Premissas!$C$60)^((YEAR($A341)-YEAR(Premissas!$C$19))*12+MONTH($A341)-MONTH(Premissas!$C$19)),0)</f>
        <v>449.805497877347</v>
      </c>
      <c r="V341" s="32" t="n">
        <f aca="false">IF($A341&gt;=Premissas!$C$27,MAX(0,P341-Q341-R341-S341)*Premissas!$C$49,0)</f>
        <v>1639.32513312395</v>
      </c>
      <c r="W341" s="32" t="n">
        <f aca="false">P341-Q341-R341-S341-T341-U341-V341</f>
        <v>2972.44067551292</v>
      </c>
      <c r="X341" s="32" t="n">
        <f aca="false">W341-F341-G341-H341-M341</f>
        <v>2972.44067551292</v>
      </c>
      <c r="Y341" s="32" t="n">
        <f aca="false">Y340+X341</f>
        <v>-310613.989437226</v>
      </c>
      <c r="Z341" s="32" t="n">
        <f aca="false">Premissas!$C$14*(1+Premissas!$C$57)^((YEAR(Premissas!$C$19)-YEAR(Premissas!$C$18))*12+MONTH(Premissas!$C$19)-MONTH(Premissas!$C$18))*(1+Premissas!$C$61)^((YEAR($A341)-YEAR(Premissas!$C$19))*12+MONTH($A341)-MONTH(Premissas!$C$19))</f>
        <v>1874680.35219039</v>
      </c>
      <c r="AA341" s="32" t="n">
        <f aca="false">IF($A341&gt;=Premissas!$C$25,Z341*(1-Premissas!$C$53)-N341-Premissas!$C$54*MAX(0,Z341*(1-Premissas!$C$53)-(Premissas!$C$14*(1+Premissas!$C$57)^((YEAR(Premissas!$C$25)-YEAR(Premissas!$C$18))*12+MONTH(Premissas!$C$25)-MONTH(Premissas!$C$18))*(1+Premissas!$C$34))),"")</f>
        <v>1579071.81091179</v>
      </c>
      <c r="AB341" s="32" t="n">
        <f aca="false">IF($A341&gt;=Premissas!$C$25,Y341+AA341,"")</f>
        <v>1268457.82147456</v>
      </c>
      <c r="AC341" s="29" t="n">
        <f aca="false">IF(AND($A341&gt;=Premissas!$C$27,W341&gt;=M341),$A341,"")</f>
        <v>56615</v>
      </c>
      <c r="AD341" s="29" t="str">
        <f aca="false">IF(AND($A341&gt;=Premissas!$C$27,Y341&gt;=0),$A341,"")</f>
        <v/>
      </c>
      <c r="AE341" s="29" t="n">
        <f aca="false">IF(AND($A341&gt;=Premissas!$C$25,N(AB341)&gt;=0),$A341,"")</f>
        <v>56615</v>
      </c>
    </row>
    <row r="342" customFormat="false" ht="15" hidden="false" customHeight="false" outlineLevel="0" collapsed="false">
      <c r="A342" s="20" t="n">
        <f aca="false">DATE(YEAR(A341),MONTH(A341)+1,1)</f>
        <v>56646</v>
      </c>
      <c r="B342" s="5" t="str">
        <f aca="false">IF($A342&lt;Premissas!$C$25,"Obra",IF($A342=Premissas!$C$25,"Chaves",IF($A342&lt;Premissas!$C$27,"Mobiliando","Airbnb")))</f>
        <v>Airbnb</v>
      </c>
      <c r="C342" s="35" t="n">
        <f aca="false">(YEAR($A342)-YEAR(Premissas!$C$18))*12+MONTH($A342)-MONTH(Premissas!$C$18)</f>
        <v>341</v>
      </c>
      <c r="D342" s="16" t="n">
        <f aca="false">($A342=Premissas!$C$19)*Premissas!$C$8+(($A342=EDATE(Premissas!$C$19,1))+($A342=EDATE(Premissas!$C$19,2)))*Premissas!$C$9+AND($A342&gt;=Premissas!$C$20,$A342&lt;EDATE(Premissas!$C$20,Premissas!$C$21))*Premissas!$C$10+(($A342=Premissas!$C$22)+($A342=Premissas!$C$23)+($A342=Premissas!$C$24))*Premissas!$C$11+($A342=Premissas!$C$25)*Premissas!$C$12</f>
        <v>0</v>
      </c>
      <c r="E342" s="36" t="n">
        <f aca="false">(1+Premissas!$C$57)^C342</f>
        <v>4.57886031147778</v>
      </c>
      <c r="F342" s="16" t="n">
        <f aca="false">D342*E342</f>
        <v>0</v>
      </c>
      <c r="G342" s="16" t="n">
        <f aca="false">($A342=Premissas!$C$25)*Premissas!$C$34*Premissas!$C$14*(1+Premissas!$C$57)^C342</f>
        <v>0</v>
      </c>
      <c r="H342" s="16" t="n">
        <f aca="false">IF(AND($A342&gt;Premissas!$C$25,$A342&lt;Premissas!$C$27),Premissas!$C$35/MAX(1,Premissas!$C$26),0)</f>
        <v>0</v>
      </c>
      <c r="I342" s="35" t="n">
        <f aca="false">IF(AND($A342&gt;Premissas!$C$25,((YEAR($A342)-YEAR(Premissas!$C$25))*12+MONTH($A342)-MONTH(Premissas!$C$25))&lt;=Premissas!$C$32),((YEAR($A342)-YEAR(Premissas!$C$25))*12+MONTH($A342)-MONTH(Premissas!$C$25)),0)</f>
        <v>0</v>
      </c>
      <c r="J342" s="16" t="n">
        <f aca="false">IF(I342&gt;0,N341*(1+Premissas!$C$59),0)</f>
        <v>0</v>
      </c>
      <c r="K342" s="16" t="n">
        <f aca="false">J342*Premissas!$C$58</f>
        <v>0</v>
      </c>
      <c r="L342" s="16" t="n">
        <f aca="false">IF(I342&gt;0,J342/(Premissas!$C$32-I342+1),0)</f>
        <v>0</v>
      </c>
      <c r="M342" s="16" t="n">
        <f aca="false">K342+L342</f>
        <v>0</v>
      </c>
      <c r="N342" s="16" t="n">
        <f aca="false">IF($A342=Premissas!$C$25,Premissas!$C$13*E342,IF(I342&gt;0,J342-L342,0))</f>
        <v>0</v>
      </c>
      <c r="O342" s="37" t="n">
        <f aca="false">IF($A342&gt;=Premissas!$C$27,Premissas!$C$39*IF(((YEAR($A342)-YEAR(Premissas!$C$27))*12+MONTH($A342)-MONTH(Premissas!$C$27))&lt;Premissas!$C$41,Premissas!$C$42,1),0)</f>
        <v>0.62</v>
      </c>
      <c r="P342" s="16" t="n">
        <f aca="false">O342*Premissas!$C$38*Premissas!$C$40*(1+Premissas!$C$60)^((YEAR($A342)-YEAR(Premissas!$C$19))*12+MONTH($A342)-MONTH(Premissas!$C$19))</f>
        <v>12870.4498157356</v>
      </c>
      <c r="Q342" s="16" t="n">
        <f aca="false">P342*Premissas!$C$43</f>
        <v>2059.2719705177</v>
      </c>
      <c r="R342" s="16" t="n">
        <f aca="false">P342*Premissas!$C$44</f>
        <v>2574.08996314712</v>
      </c>
      <c r="S342" s="16" t="n">
        <f aca="false">IF($A342&gt;=Premissas!$C$25,Premissas!$C$45*(1+Premissas!$C$60)^((YEAR($A342)-YEAR(Premissas!$C$19))*12+MONTH($A342)-MONTH(Premissas!$C$19)),0)</f>
        <v>2256.39022015</v>
      </c>
      <c r="T342" s="16" t="n">
        <f aca="false">IF($A342&gt;=Premissas!$C$27,Premissas!$C$46*(1+Premissas!$C$60)^((YEAR($A342)-YEAR(Premissas!$C$19))*12+MONTH($A342)-MONTH(Premissas!$C$19)),0)</f>
        <v>902.556088060001</v>
      </c>
      <c r="U342" s="16" t="n">
        <f aca="false">IF($A342&gt;=Premissas!$C$27,Premissas!$C$47*(1+Premissas!$C$60)^((YEAR($A342)-YEAR(Premissas!$C$19))*12+MONTH($A342)-MONTH(Premissas!$C$19)),0)</f>
        <v>451.27804403</v>
      </c>
      <c r="V342" s="16" t="n">
        <f aca="false">IF($A342&gt;=Premissas!$C$27,MAX(0,P342-Q342-R342-S342)*Premissas!$C$49,0)</f>
        <v>1644.69185702822</v>
      </c>
      <c r="W342" s="16" t="n">
        <f aca="false">P342-Q342-R342-S342-T342-U342-V342</f>
        <v>2982.17167280257</v>
      </c>
      <c r="X342" s="16" t="n">
        <f aca="false">W342-F342-G342-H342-M342</f>
        <v>2982.17167280257</v>
      </c>
      <c r="Y342" s="16" t="n">
        <f aca="false">Y341+X342</f>
        <v>-307631.817764423</v>
      </c>
      <c r="Z342" s="16" t="n">
        <f aca="false">Premissas!$C$14*(1+Premissas!$C$57)^((YEAR(Premissas!$C$19)-YEAR(Premissas!$C$18))*12+MONTH(Premissas!$C$19)-MONTH(Premissas!$C$18))*(1+Premissas!$C$61)^((YEAR($A342)-YEAR(Premissas!$C$19))*12+MONTH($A342)-MONTH(Premissas!$C$19))</f>
        <v>1882318.03199999</v>
      </c>
      <c r="AA342" s="16" t="n">
        <f aca="false">IF($A342&gt;=Premissas!$C$25,Z342*(1-Premissas!$C$53)-N342-Premissas!$C$54*MAX(0,Z342*(1-Premissas!$C$53)-(Premissas!$C$14*(1+Premissas!$C$57)^((YEAR(Premissas!$C$25)-YEAR(Premissas!$C$18))*12+MONTH(Premissas!$C$25)-MONTH(Premissas!$C$18))*(1+Premissas!$C$34))),"")</f>
        <v>1585174.31707966</v>
      </c>
      <c r="AB342" s="16" t="n">
        <f aca="false">IF($A342&gt;=Premissas!$C$25,Y342+AA342,"")</f>
        <v>1277542.49931523</v>
      </c>
      <c r="AC342" s="20" t="n">
        <f aca="false">IF(AND($A342&gt;=Premissas!$C$27,W342&gt;=M342),$A342,"")</f>
        <v>56646</v>
      </c>
      <c r="AD342" s="20" t="str">
        <f aca="false">IF(AND($A342&gt;=Premissas!$C$27,Y342&gt;=0),$A342,"")</f>
        <v/>
      </c>
      <c r="AE342" s="20" t="n">
        <f aca="false">IF(AND($A342&gt;=Premissas!$C$25,N(AB342)&gt;=0),$A342,"")</f>
        <v>56646</v>
      </c>
    </row>
    <row r="343" customFormat="false" ht="15" hidden="false" customHeight="false" outlineLevel="0" collapsed="false">
      <c r="A343" s="20" t="n">
        <f aca="false">DATE(YEAR(A342),MONTH(A342)+1,1)</f>
        <v>56674</v>
      </c>
      <c r="B343" s="5" t="str">
        <f aca="false">IF($A343&lt;Premissas!$C$25,"Obra",IF($A343=Premissas!$C$25,"Chaves",IF($A343&lt;Premissas!$C$27,"Mobiliando","Airbnb")))</f>
        <v>Airbnb</v>
      </c>
      <c r="C343" s="35" t="n">
        <f aca="false">(YEAR($A343)-YEAR(Premissas!$C$18))*12+MONTH($A343)-MONTH(Premissas!$C$18)</f>
        <v>342</v>
      </c>
      <c r="D343" s="16" t="n">
        <f aca="false">($A343=Premissas!$C$19)*Premissas!$C$8+(($A343=EDATE(Premissas!$C$19,1))+($A343=EDATE(Premissas!$C$19,2)))*Premissas!$C$9+AND($A343&gt;=Premissas!$C$20,$A343&lt;EDATE(Premissas!$C$20,Premissas!$C$21))*Premissas!$C$10+(($A343=Premissas!$C$22)+($A343=Premissas!$C$23)+($A343=Premissas!$C$24))*Premissas!$C$11+($A343=Premissas!$C$25)*Premissas!$C$12</f>
        <v>0</v>
      </c>
      <c r="E343" s="36" t="n">
        <f aca="false">(1+Premissas!$C$57)^C343</f>
        <v>4.5993355961739</v>
      </c>
      <c r="F343" s="16" t="n">
        <f aca="false">D343*E343</f>
        <v>0</v>
      </c>
      <c r="G343" s="16" t="n">
        <f aca="false">($A343=Premissas!$C$25)*Premissas!$C$34*Premissas!$C$14*(1+Premissas!$C$57)^C343</f>
        <v>0</v>
      </c>
      <c r="H343" s="16" t="n">
        <f aca="false">IF(AND($A343&gt;Premissas!$C$25,$A343&lt;Premissas!$C$27),Premissas!$C$35/MAX(1,Premissas!$C$26),0)</f>
        <v>0</v>
      </c>
      <c r="I343" s="35" t="n">
        <f aca="false">IF(AND($A343&gt;Premissas!$C$25,((YEAR($A343)-YEAR(Premissas!$C$25))*12+MONTH($A343)-MONTH(Premissas!$C$25))&lt;=Premissas!$C$32),((YEAR($A343)-YEAR(Premissas!$C$25))*12+MONTH($A343)-MONTH(Premissas!$C$25)),0)</f>
        <v>0</v>
      </c>
      <c r="J343" s="16" t="n">
        <f aca="false">IF(I343&gt;0,N342*(1+Premissas!$C$59),0)</f>
        <v>0</v>
      </c>
      <c r="K343" s="16" t="n">
        <f aca="false">J343*Premissas!$C$58</f>
        <v>0</v>
      </c>
      <c r="L343" s="16" t="n">
        <f aca="false">IF(I343&gt;0,J343/(Premissas!$C$32-I343+1),0)</f>
        <v>0</v>
      </c>
      <c r="M343" s="16" t="n">
        <f aca="false">K343+L343</f>
        <v>0</v>
      </c>
      <c r="N343" s="16" t="n">
        <f aca="false">IF($A343=Premissas!$C$25,Premissas!$C$13*E343,IF(I343&gt;0,J343-L343,0))</f>
        <v>0</v>
      </c>
      <c r="O343" s="37" t="n">
        <f aca="false">IF($A343&gt;=Premissas!$C$27,Premissas!$C$39*IF(((YEAR($A343)-YEAR(Premissas!$C$27))*12+MONTH($A343)-MONTH(Premissas!$C$27))&lt;Premissas!$C$41,Premissas!$C$42,1),0)</f>
        <v>0.62</v>
      </c>
      <c r="P343" s="16" t="n">
        <f aca="false">O343*Premissas!$C$38*Premissas!$C$40*(1+Premissas!$C$60)^((YEAR($A343)-YEAR(Premissas!$C$19))*12+MONTH($A343)-MONTH(Premissas!$C$19))</f>
        <v>12912.5843193122</v>
      </c>
      <c r="Q343" s="16" t="n">
        <f aca="false">P343*Premissas!$C$43</f>
        <v>2066.01349108995</v>
      </c>
      <c r="R343" s="16" t="n">
        <f aca="false">P343*Premissas!$C$44</f>
        <v>2582.51686386244</v>
      </c>
      <c r="S343" s="16" t="n">
        <f aca="false">IF($A343&gt;=Premissas!$C$25,Premissas!$C$45*(1+Premissas!$C$60)^((YEAR($A343)-YEAR(Premissas!$C$19))*12+MONTH($A343)-MONTH(Premissas!$C$19)),0)</f>
        <v>2263.77705457787</v>
      </c>
      <c r="T343" s="16" t="n">
        <f aca="false">IF($A343&gt;=Premissas!$C$27,Premissas!$C$46*(1+Premissas!$C$60)^((YEAR($A343)-YEAR(Premissas!$C$19))*12+MONTH($A343)-MONTH(Premissas!$C$19)),0)</f>
        <v>905.510821831148</v>
      </c>
      <c r="U343" s="16" t="n">
        <f aca="false">IF($A343&gt;=Premissas!$C$27,Premissas!$C$47*(1+Premissas!$C$60)^((YEAR($A343)-YEAR(Premissas!$C$19))*12+MONTH($A343)-MONTH(Premissas!$C$19)),0)</f>
        <v>452.755410915574</v>
      </c>
      <c r="V343" s="16" t="n">
        <f aca="false">IF($A343&gt;=Premissas!$C$27,MAX(0,P343-Q343-R343-S343)*Premissas!$C$49,0)</f>
        <v>1650.07615019003</v>
      </c>
      <c r="W343" s="16" t="n">
        <f aca="false">P343-Q343-R343-S343-T343-U343-V343</f>
        <v>2991.93452684517</v>
      </c>
      <c r="X343" s="16" t="n">
        <f aca="false">W343-F343-G343-H343-M343</f>
        <v>2991.93452684517</v>
      </c>
      <c r="Y343" s="16" t="n">
        <f aca="false">Y342+X343</f>
        <v>-304639.883237578</v>
      </c>
      <c r="Z343" s="16" t="n">
        <f aca="false">Premissas!$C$14*(1+Premissas!$C$57)^((YEAR(Premissas!$C$19)-YEAR(Premissas!$C$18))*12+MONTH(Premissas!$C$19)-MONTH(Premissas!$C$18))*(1+Premissas!$C$61)^((YEAR($A343)-YEAR(Premissas!$C$19))*12+MONTH($A343)-MONTH(Premissas!$C$19))</f>
        <v>1889986.82866255</v>
      </c>
      <c r="AA343" s="16" t="n">
        <f aca="false">IF($A343&gt;=Premissas!$C$25,Z343*(1-Premissas!$C$53)-N343-Premissas!$C$54*MAX(0,Z343*(1-Premissas!$C$53)-(Premissas!$C$14*(1+Premissas!$C$57)^((YEAR(Premissas!$C$25)-YEAR(Premissas!$C$18))*12+MONTH(Premissas!$C$25)-MONTH(Premissas!$C$18))*(1+Premissas!$C$34))),"")</f>
        <v>1591301.68561304</v>
      </c>
      <c r="AB343" s="16" t="n">
        <f aca="false">IF($A343&gt;=Premissas!$C$25,Y343+AA343,"")</f>
        <v>1286661.80237547</v>
      </c>
      <c r="AC343" s="20" t="n">
        <f aca="false">IF(AND($A343&gt;=Premissas!$C$27,W343&gt;=M343),$A343,"")</f>
        <v>56674</v>
      </c>
      <c r="AD343" s="20" t="str">
        <f aca="false">IF(AND($A343&gt;=Premissas!$C$27,Y343&gt;=0),$A343,"")</f>
        <v/>
      </c>
      <c r="AE343" s="20" t="n">
        <f aca="false">IF(AND($A343&gt;=Premissas!$C$25,N(AB343)&gt;=0),$A343,"")</f>
        <v>56674</v>
      </c>
    </row>
    <row r="344" customFormat="false" ht="15" hidden="false" customHeight="false" outlineLevel="0" collapsed="false">
      <c r="A344" s="20" t="n">
        <f aca="false">DATE(YEAR(A343),MONTH(A343)+1,1)</f>
        <v>56705</v>
      </c>
      <c r="B344" s="5" t="str">
        <f aca="false">IF($A344&lt;Premissas!$C$25,"Obra",IF($A344=Premissas!$C$25,"Chaves",IF($A344&lt;Premissas!$C$27,"Mobiliando","Airbnb")))</f>
        <v>Airbnb</v>
      </c>
      <c r="C344" s="35" t="n">
        <f aca="false">(YEAR($A344)-YEAR(Premissas!$C$18))*12+MONTH($A344)-MONTH(Premissas!$C$18)</f>
        <v>343</v>
      </c>
      <c r="D344" s="16" t="n">
        <f aca="false">($A344=Premissas!$C$19)*Premissas!$C$8+(($A344=EDATE(Premissas!$C$19,1))+($A344=EDATE(Premissas!$C$19,2)))*Premissas!$C$9+AND($A344&gt;=Premissas!$C$20,$A344&lt;EDATE(Premissas!$C$20,Premissas!$C$21))*Premissas!$C$10+(($A344=Premissas!$C$22)+($A344=Premissas!$C$23)+($A344=Premissas!$C$24))*Premissas!$C$11+($A344=Premissas!$C$25)*Premissas!$C$12</f>
        <v>0</v>
      </c>
      <c r="E344" s="36" t="n">
        <f aca="false">(1+Premissas!$C$57)^C344</f>
        <v>4.61990244017843</v>
      </c>
      <c r="F344" s="16" t="n">
        <f aca="false">D344*E344</f>
        <v>0</v>
      </c>
      <c r="G344" s="16" t="n">
        <f aca="false">($A344=Premissas!$C$25)*Premissas!$C$34*Premissas!$C$14*(1+Premissas!$C$57)^C344</f>
        <v>0</v>
      </c>
      <c r="H344" s="16" t="n">
        <f aca="false">IF(AND($A344&gt;Premissas!$C$25,$A344&lt;Premissas!$C$27),Premissas!$C$35/MAX(1,Premissas!$C$26),0)</f>
        <v>0</v>
      </c>
      <c r="I344" s="35" t="n">
        <f aca="false">IF(AND($A344&gt;Premissas!$C$25,((YEAR($A344)-YEAR(Premissas!$C$25))*12+MONTH($A344)-MONTH(Premissas!$C$25))&lt;=Premissas!$C$32),((YEAR($A344)-YEAR(Premissas!$C$25))*12+MONTH($A344)-MONTH(Premissas!$C$25)),0)</f>
        <v>0</v>
      </c>
      <c r="J344" s="16" t="n">
        <f aca="false">IF(I344&gt;0,N343*(1+Premissas!$C$59),0)</f>
        <v>0</v>
      </c>
      <c r="K344" s="16" t="n">
        <f aca="false">J344*Premissas!$C$58</f>
        <v>0</v>
      </c>
      <c r="L344" s="16" t="n">
        <f aca="false">IF(I344&gt;0,J344/(Premissas!$C$32-I344+1),0)</f>
        <v>0</v>
      </c>
      <c r="M344" s="16" t="n">
        <f aca="false">K344+L344</f>
        <v>0</v>
      </c>
      <c r="N344" s="16" t="n">
        <f aca="false">IF($A344=Premissas!$C$25,Premissas!$C$13*E344,IF(I344&gt;0,J344-L344,0))</f>
        <v>0</v>
      </c>
      <c r="O344" s="37" t="n">
        <f aca="false">IF($A344&gt;=Premissas!$C$27,Premissas!$C$39*IF(((YEAR($A344)-YEAR(Premissas!$C$27))*12+MONTH($A344)-MONTH(Premissas!$C$27))&lt;Premissas!$C$41,Premissas!$C$42,1),0)</f>
        <v>0.62</v>
      </c>
      <c r="P344" s="16" t="n">
        <f aca="false">O344*Premissas!$C$38*Premissas!$C$40*(1+Premissas!$C$60)^((YEAR($A344)-YEAR(Premissas!$C$19))*12+MONTH($A344)-MONTH(Premissas!$C$19))</f>
        <v>12954.8567602893</v>
      </c>
      <c r="Q344" s="16" t="n">
        <f aca="false">P344*Premissas!$C$43</f>
        <v>2072.77708164629</v>
      </c>
      <c r="R344" s="16" t="n">
        <f aca="false">P344*Premissas!$C$44</f>
        <v>2590.97135205786</v>
      </c>
      <c r="S344" s="16" t="n">
        <f aca="false">IF($A344&gt;=Premissas!$C$25,Premissas!$C$45*(1+Premissas!$C$60)^((YEAR($A344)-YEAR(Premissas!$C$19))*12+MONTH($A344)-MONTH(Premissas!$C$19)),0)</f>
        <v>2271.18807157947</v>
      </c>
      <c r="T344" s="16" t="n">
        <f aca="false">IF($A344&gt;=Premissas!$C$27,Premissas!$C$46*(1+Premissas!$C$60)^((YEAR($A344)-YEAR(Premissas!$C$19))*12+MONTH($A344)-MONTH(Premissas!$C$19)),0)</f>
        <v>908.475228631789</v>
      </c>
      <c r="U344" s="16" t="n">
        <f aca="false">IF($A344&gt;=Premissas!$C$27,Premissas!$C$47*(1+Premissas!$C$60)^((YEAR($A344)-YEAR(Premissas!$C$19))*12+MONTH($A344)-MONTH(Premissas!$C$19)),0)</f>
        <v>454.237614315894</v>
      </c>
      <c r="V344" s="16" t="n">
        <f aca="false">IF($A344&gt;=Premissas!$C$27,MAX(0,P344-Q344-R344-S344)*Premissas!$C$49,0)</f>
        <v>1655.47807012656</v>
      </c>
      <c r="W344" s="16" t="n">
        <f aca="false">P344-Q344-R344-S344-T344-U344-V344</f>
        <v>3001.72934193144</v>
      </c>
      <c r="X344" s="16" t="n">
        <f aca="false">W344-F344-G344-H344-M344</f>
        <v>3001.72934193144</v>
      </c>
      <c r="Y344" s="16" t="n">
        <f aca="false">Y343+X344</f>
        <v>-301638.153895647</v>
      </c>
      <c r="Z344" s="16" t="n">
        <f aca="false">Premissas!$C$14*(1+Premissas!$C$57)^((YEAR(Premissas!$C$19)-YEAR(Premissas!$C$18))*12+MONTH(Premissas!$C$19)-MONTH(Premissas!$C$18))*(1+Premissas!$C$61)^((YEAR($A344)-YEAR(Premissas!$C$19))*12+MONTH($A344)-MONTH(Premissas!$C$19))</f>
        <v>1897686.86895199</v>
      </c>
      <c r="AA344" s="16" t="n">
        <f aca="false">IF($A344&gt;=Premissas!$C$25,Z344*(1-Premissas!$C$53)-N344-Premissas!$C$54*MAX(0,Z344*(1-Premissas!$C$53)-(Premissas!$C$14*(1+Premissas!$C$57)^((YEAR(Premissas!$C$25)-YEAR(Premissas!$C$18))*12+MONTH(Premissas!$C$25)-MONTH(Premissas!$C$18))*(1+Premissas!$C$34))),"")</f>
        <v>1597454.0178043</v>
      </c>
      <c r="AB344" s="16" t="n">
        <f aca="false">IF($A344&gt;=Premissas!$C$25,Y344+AA344,"")</f>
        <v>1295815.86390866</v>
      </c>
      <c r="AC344" s="20" t="n">
        <f aca="false">IF(AND($A344&gt;=Premissas!$C$27,W344&gt;=M344),$A344,"")</f>
        <v>56705</v>
      </c>
      <c r="AD344" s="20" t="str">
        <f aca="false">IF(AND($A344&gt;=Premissas!$C$27,Y344&gt;=0),$A344,"")</f>
        <v/>
      </c>
      <c r="AE344" s="20" t="n">
        <f aca="false">IF(AND($A344&gt;=Premissas!$C$25,N(AB344)&gt;=0),$A344,"")</f>
        <v>56705</v>
      </c>
    </row>
    <row r="345" customFormat="false" ht="15" hidden="false" customHeight="false" outlineLevel="0" collapsed="false">
      <c r="A345" s="20" t="n">
        <f aca="false">DATE(YEAR(A344),MONTH(A344)+1,1)</f>
        <v>56735</v>
      </c>
      <c r="B345" s="5" t="str">
        <f aca="false">IF($A345&lt;Premissas!$C$25,"Obra",IF($A345=Premissas!$C$25,"Chaves",IF($A345&lt;Premissas!$C$27,"Mobiliando","Airbnb")))</f>
        <v>Airbnb</v>
      </c>
      <c r="C345" s="35" t="n">
        <f aca="false">(YEAR($A345)-YEAR(Premissas!$C$18))*12+MONTH($A345)-MONTH(Premissas!$C$18)</f>
        <v>344</v>
      </c>
      <c r="D345" s="16" t="n">
        <f aca="false">($A345=Premissas!$C$19)*Premissas!$C$8+(($A345=EDATE(Premissas!$C$19,1))+($A345=EDATE(Premissas!$C$19,2)))*Premissas!$C$9+AND($A345&gt;=Premissas!$C$20,$A345&lt;EDATE(Premissas!$C$20,Premissas!$C$21))*Premissas!$C$10+(($A345=Premissas!$C$22)+($A345=Premissas!$C$23)+($A345=Premissas!$C$24))*Premissas!$C$11+($A345=Premissas!$C$25)*Premissas!$C$12</f>
        <v>0</v>
      </c>
      <c r="E345" s="36" t="n">
        <f aca="false">(1+Premissas!$C$57)^C345</f>
        <v>4.64056125291702</v>
      </c>
      <c r="F345" s="16" t="n">
        <f aca="false">D345*E345</f>
        <v>0</v>
      </c>
      <c r="G345" s="16" t="n">
        <f aca="false">($A345=Premissas!$C$25)*Premissas!$C$34*Premissas!$C$14*(1+Premissas!$C$57)^C345</f>
        <v>0</v>
      </c>
      <c r="H345" s="16" t="n">
        <f aca="false">IF(AND($A345&gt;Premissas!$C$25,$A345&lt;Premissas!$C$27),Premissas!$C$35/MAX(1,Premissas!$C$26),0)</f>
        <v>0</v>
      </c>
      <c r="I345" s="35" t="n">
        <f aca="false">IF(AND($A345&gt;Premissas!$C$25,((YEAR($A345)-YEAR(Premissas!$C$25))*12+MONTH($A345)-MONTH(Premissas!$C$25))&lt;=Premissas!$C$32),((YEAR($A345)-YEAR(Premissas!$C$25))*12+MONTH($A345)-MONTH(Premissas!$C$25)),0)</f>
        <v>0</v>
      </c>
      <c r="J345" s="16" t="n">
        <f aca="false">IF(I345&gt;0,N344*(1+Premissas!$C$59),0)</f>
        <v>0</v>
      </c>
      <c r="K345" s="16" t="n">
        <f aca="false">J345*Premissas!$C$58</f>
        <v>0</v>
      </c>
      <c r="L345" s="16" t="n">
        <f aca="false">IF(I345&gt;0,J345/(Premissas!$C$32-I345+1),0)</f>
        <v>0</v>
      </c>
      <c r="M345" s="16" t="n">
        <f aca="false">K345+L345</f>
        <v>0</v>
      </c>
      <c r="N345" s="16" t="n">
        <f aca="false">IF($A345=Premissas!$C$25,Premissas!$C$13*E345,IF(I345&gt;0,J345-L345,0))</f>
        <v>0</v>
      </c>
      <c r="O345" s="37" t="n">
        <f aca="false">IF($A345&gt;=Premissas!$C$27,Premissas!$C$39*IF(((YEAR($A345)-YEAR(Premissas!$C$27))*12+MONTH($A345)-MONTH(Premissas!$C$27))&lt;Premissas!$C$41,Premissas!$C$42,1),0)</f>
        <v>0.62</v>
      </c>
      <c r="P345" s="16" t="n">
        <f aca="false">O345*Premissas!$C$38*Premissas!$C$40*(1+Premissas!$C$60)^((YEAR($A345)-YEAR(Premissas!$C$19))*12+MONTH($A345)-MONTH(Premissas!$C$19))</f>
        <v>12997.2675902382</v>
      </c>
      <c r="Q345" s="16" t="n">
        <f aca="false">P345*Premissas!$C$43</f>
        <v>2079.56281443811</v>
      </c>
      <c r="R345" s="16" t="n">
        <f aca="false">P345*Premissas!$C$44</f>
        <v>2599.45351804763</v>
      </c>
      <c r="S345" s="16" t="n">
        <f aca="false">IF($A345&gt;=Premissas!$C$25,Premissas!$C$45*(1+Premissas!$C$60)^((YEAR($A345)-YEAR(Premissas!$C$19))*12+MONTH($A345)-MONTH(Premissas!$C$19)),0)</f>
        <v>2278.62335032226</v>
      </c>
      <c r="T345" s="16" t="n">
        <f aca="false">IF($A345&gt;=Premissas!$C$27,Premissas!$C$46*(1+Premissas!$C$60)^((YEAR($A345)-YEAR(Premissas!$C$19))*12+MONTH($A345)-MONTH(Premissas!$C$19)),0)</f>
        <v>911.449340128903</v>
      </c>
      <c r="U345" s="16" t="n">
        <f aca="false">IF($A345&gt;=Premissas!$C$27,Premissas!$C$47*(1+Premissas!$C$60)^((YEAR($A345)-YEAR(Premissas!$C$19))*12+MONTH($A345)-MONTH(Premissas!$C$19)),0)</f>
        <v>455.724670064451</v>
      </c>
      <c r="V345" s="16" t="n">
        <f aca="false">IF($A345&gt;=Premissas!$C$27,MAX(0,P345-Q345-R345-S345)*Premissas!$C$49,0)</f>
        <v>1660.89767454329</v>
      </c>
      <c r="W345" s="16" t="n">
        <f aca="false">P345-Q345-R345-S345-T345-U345-V345</f>
        <v>3011.55622269351</v>
      </c>
      <c r="X345" s="16" t="n">
        <f aca="false">W345-F345-G345-H345-M345</f>
        <v>3011.55622269351</v>
      </c>
      <c r="Y345" s="16" t="n">
        <f aca="false">Y344+X345</f>
        <v>-298626.597672953</v>
      </c>
      <c r="Z345" s="16" t="n">
        <f aca="false">Premissas!$C$14*(1+Premissas!$C$57)^((YEAR(Premissas!$C$19)-YEAR(Premissas!$C$18))*12+MONTH(Premissas!$C$19)-MONTH(Premissas!$C$18))*(1+Premissas!$C$61)^((YEAR($A345)-YEAR(Premissas!$C$19))*12+MONTH($A345)-MONTH(Premissas!$C$19))</f>
        <v>1905418.2801587</v>
      </c>
      <c r="AA345" s="16" t="n">
        <f aca="false">IF($A345&gt;=Premissas!$C$25,Z345*(1-Premissas!$C$53)-N345-Premissas!$C$54*MAX(0,Z345*(1-Premissas!$C$53)-(Premissas!$C$14*(1+Premissas!$C$57)^((YEAR(Premissas!$C$25)-YEAR(Premissas!$C$18))*12+MONTH(Premissas!$C$25)-MONTH(Premissas!$C$18))*(1+Premissas!$C$34))),"")</f>
        <v>1603631.41535847</v>
      </c>
      <c r="AB345" s="16" t="n">
        <f aca="false">IF($A345&gt;=Premissas!$C$25,Y345+AA345,"")</f>
        <v>1305004.81768552</v>
      </c>
      <c r="AC345" s="20" t="n">
        <f aca="false">IF(AND($A345&gt;=Premissas!$C$27,W345&gt;=M345),$A345,"")</f>
        <v>56735</v>
      </c>
      <c r="AD345" s="20" t="str">
        <f aca="false">IF(AND($A345&gt;=Premissas!$C$27,Y345&gt;=0),$A345,"")</f>
        <v/>
      </c>
      <c r="AE345" s="20" t="n">
        <f aca="false">IF(AND($A345&gt;=Premissas!$C$25,N(AB345)&gt;=0),$A345,"")</f>
        <v>56735</v>
      </c>
    </row>
    <row r="346" customFormat="false" ht="15" hidden="false" customHeight="false" outlineLevel="0" collapsed="false">
      <c r="A346" s="20" t="n">
        <f aca="false">DATE(YEAR(A345),MONTH(A345)+1,1)</f>
        <v>56766</v>
      </c>
      <c r="B346" s="5" t="str">
        <f aca="false">IF($A346&lt;Premissas!$C$25,"Obra",IF($A346=Premissas!$C$25,"Chaves",IF($A346&lt;Premissas!$C$27,"Mobiliando","Airbnb")))</f>
        <v>Airbnb</v>
      </c>
      <c r="C346" s="35" t="n">
        <f aca="false">(YEAR($A346)-YEAR(Premissas!$C$18))*12+MONTH($A346)-MONTH(Premissas!$C$18)</f>
        <v>345</v>
      </c>
      <c r="D346" s="16" t="n">
        <f aca="false">($A346=Premissas!$C$19)*Premissas!$C$8+(($A346=EDATE(Premissas!$C$19,1))+($A346=EDATE(Premissas!$C$19,2)))*Premissas!$C$9+AND($A346&gt;=Premissas!$C$20,$A346&lt;EDATE(Premissas!$C$20,Premissas!$C$21))*Premissas!$C$10+(($A346=Premissas!$C$22)+($A346=Premissas!$C$23)+($A346=Premissas!$C$24))*Premissas!$C$11+($A346=Premissas!$C$25)*Premissas!$C$12</f>
        <v>0</v>
      </c>
      <c r="E346" s="36" t="n">
        <f aca="false">(1+Premissas!$C$57)^C346</f>
        <v>4.66131244564616</v>
      </c>
      <c r="F346" s="16" t="n">
        <f aca="false">D346*E346</f>
        <v>0</v>
      </c>
      <c r="G346" s="16" t="n">
        <f aca="false">($A346=Premissas!$C$25)*Premissas!$C$34*Premissas!$C$14*(1+Premissas!$C$57)^C346</f>
        <v>0</v>
      </c>
      <c r="H346" s="16" t="n">
        <f aca="false">IF(AND($A346&gt;Premissas!$C$25,$A346&lt;Premissas!$C$27),Premissas!$C$35/MAX(1,Premissas!$C$26),0)</f>
        <v>0</v>
      </c>
      <c r="I346" s="35" t="n">
        <f aca="false">IF(AND($A346&gt;Premissas!$C$25,((YEAR($A346)-YEAR(Premissas!$C$25))*12+MONTH($A346)-MONTH(Premissas!$C$25))&lt;=Premissas!$C$32),((YEAR($A346)-YEAR(Premissas!$C$25))*12+MONTH($A346)-MONTH(Premissas!$C$25)),0)</f>
        <v>0</v>
      </c>
      <c r="J346" s="16" t="n">
        <f aca="false">IF(I346&gt;0,N345*(1+Premissas!$C$59),0)</f>
        <v>0</v>
      </c>
      <c r="K346" s="16" t="n">
        <f aca="false">J346*Premissas!$C$58</f>
        <v>0</v>
      </c>
      <c r="L346" s="16" t="n">
        <f aca="false">IF(I346&gt;0,J346/(Premissas!$C$32-I346+1),0)</f>
        <v>0</v>
      </c>
      <c r="M346" s="16" t="n">
        <f aca="false">K346+L346</f>
        <v>0</v>
      </c>
      <c r="N346" s="16" t="n">
        <f aca="false">IF($A346=Premissas!$C$25,Premissas!$C$13*E346,IF(I346&gt;0,J346-L346,0))</f>
        <v>0</v>
      </c>
      <c r="O346" s="37" t="n">
        <f aca="false">IF($A346&gt;=Premissas!$C$27,Premissas!$C$39*IF(((YEAR($A346)-YEAR(Premissas!$C$27))*12+MONTH($A346)-MONTH(Premissas!$C$27))&lt;Premissas!$C$41,Premissas!$C$42,1),0)</f>
        <v>0.62</v>
      </c>
      <c r="P346" s="16" t="n">
        <f aca="false">O346*Premissas!$C$38*Premissas!$C$40*(1+Premissas!$C$60)^((YEAR($A346)-YEAR(Premissas!$C$19))*12+MONTH($A346)-MONTH(Premissas!$C$19))</f>
        <v>13039.8172622082</v>
      </c>
      <c r="Q346" s="16" t="n">
        <f aca="false">P346*Premissas!$C$43</f>
        <v>2086.37076195331</v>
      </c>
      <c r="R346" s="16" t="n">
        <f aca="false">P346*Premissas!$C$44</f>
        <v>2607.96345244164</v>
      </c>
      <c r="S346" s="16" t="n">
        <f aca="false">IF($A346&gt;=Premissas!$C$25,Premissas!$C$45*(1+Premissas!$C$60)^((YEAR($A346)-YEAR(Premissas!$C$19))*12+MONTH($A346)-MONTH(Premissas!$C$19)),0)</f>
        <v>2286.08297023285</v>
      </c>
      <c r="T346" s="16" t="n">
        <f aca="false">IF($A346&gt;=Premissas!$C$27,Premissas!$C$46*(1+Premissas!$C$60)^((YEAR($A346)-YEAR(Premissas!$C$19))*12+MONTH($A346)-MONTH(Premissas!$C$19)),0)</f>
        <v>914.433188093142</v>
      </c>
      <c r="U346" s="16" t="n">
        <f aca="false">IF($A346&gt;=Premissas!$C$27,Premissas!$C$47*(1+Premissas!$C$60)^((YEAR($A346)-YEAR(Premissas!$C$19))*12+MONTH($A346)-MONTH(Premissas!$C$19)),0)</f>
        <v>457.216594046571</v>
      </c>
      <c r="V346" s="16" t="n">
        <f aca="false">IF($A346&gt;=Premissas!$C$27,MAX(0,P346-Q346-R346-S346)*Premissas!$C$49,0)</f>
        <v>1666.33502133461</v>
      </c>
      <c r="W346" s="16" t="n">
        <f aca="false">P346-Q346-R346-S346-T346-U346-V346</f>
        <v>3021.41527410607</v>
      </c>
      <c r="X346" s="16" t="n">
        <f aca="false">W346-F346-G346-H346-M346</f>
        <v>3021.41527410607</v>
      </c>
      <c r="Y346" s="16" t="n">
        <f aca="false">Y345+X346</f>
        <v>-295605.182398847</v>
      </c>
      <c r="Z346" s="16" t="n">
        <f aca="false">Premissas!$C$14*(1+Premissas!$C$57)^((YEAR(Premissas!$C$19)-YEAR(Premissas!$C$18))*12+MONTH(Premissas!$C$19)-MONTH(Premissas!$C$18))*(1+Premissas!$C$61)^((YEAR($A346)-YEAR(Premissas!$C$19))*12+MONTH($A346)-MONTH(Premissas!$C$19))</f>
        <v>1913181.19009169</v>
      </c>
      <c r="AA346" s="16" t="n">
        <f aca="false">IF($A346&gt;=Premissas!$C$25,Z346*(1-Premissas!$C$53)-N346-Premissas!$C$54*MAX(0,Z346*(1-Premissas!$C$53)-(Premissas!$C$14*(1+Premissas!$C$57)^((YEAR(Premissas!$C$25)-YEAR(Premissas!$C$18))*12+MONTH(Premissas!$C$25)-MONTH(Premissas!$C$18))*(1+Premissas!$C$34))),"")</f>
        <v>1609833.98039493</v>
      </c>
      <c r="AB346" s="16" t="n">
        <f aca="false">IF($A346&gt;=Premissas!$C$25,Y346+AA346,"")</f>
        <v>1314228.79799608</v>
      </c>
      <c r="AC346" s="20" t="n">
        <f aca="false">IF(AND($A346&gt;=Premissas!$C$27,W346&gt;=M346),$A346,"")</f>
        <v>56766</v>
      </c>
      <c r="AD346" s="20" t="str">
        <f aca="false">IF(AND($A346&gt;=Premissas!$C$27,Y346&gt;=0),$A346,"")</f>
        <v/>
      </c>
      <c r="AE346" s="20" t="n">
        <f aca="false">IF(AND($A346&gt;=Premissas!$C$25,N(AB346)&gt;=0),$A346,"")</f>
        <v>56766</v>
      </c>
    </row>
    <row r="347" customFormat="false" ht="15" hidden="false" customHeight="false" outlineLevel="0" collapsed="false">
      <c r="A347" s="20" t="n">
        <f aca="false">DATE(YEAR(A346),MONTH(A346)+1,1)</f>
        <v>56796</v>
      </c>
      <c r="B347" s="5" t="str">
        <f aca="false">IF($A347&lt;Premissas!$C$25,"Obra",IF($A347=Premissas!$C$25,"Chaves",IF($A347&lt;Premissas!$C$27,"Mobiliando","Airbnb")))</f>
        <v>Airbnb</v>
      </c>
      <c r="C347" s="35" t="n">
        <f aca="false">(YEAR($A347)-YEAR(Premissas!$C$18))*12+MONTH($A347)-MONTH(Premissas!$C$18)</f>
        <v>346</v>
      </c>
      <c r="D347" s="16" t="n">
        <f aca="false">($A347=Premissas!$C$19)*Premissas!$C$8+(($A347=EDATE(Premissas!$C$19,1))+($A347=EDATE(Premissas!$C$19,2)))*Premissas!$C$9+AND($A347&gt;=Premissas!$C$20,$A347&lt;EDATE(Premissas!$C$20,Premissas!$C$21))*Premissas!$C$10+(($A347=Premissas!$C$22)+($A347=Premissas!$C$23)+($A347=Premissas!$C$24))*Premissas!$C$11+($A347=Premissas!$C$25)*Premissas!$C$12</f>
        <v>0</v>
      </c>
      <c r="E347" s="36" t="n">
        <f aca="false">(1+Premissas!$C$57)^C347</f>
        <v>4.68215643146136</v>
      </c>
      <c r="F347" s="16" t="n">
        <f aca="false">D347*E347</f>
        <v>0</v>
      </c>
      <c r="G347" s="16" t="n">
        <f aca="false">($A347=Premissas!$C$25)*Premissas!$C$34*Premissas!$C$14*(1+Premissas!$C$57)^C347</f>
        <v>0</v>
      </c>
      <c r="H347" s="16" t="n">
        <f aca="false">IF(AND($A347&gt;Premissas!$C$25,$A347&lt;Premissas!$C$27),Premissas!$C$35/MAX(1,Premissas!$C$26),0)</f>
        <v>0</v>
      </c>
      <c r="I347" s="35" t="n">
        <f aca="false">IF(AND($A347&gt;Premissas!$C$25,((YEAR($A347)-YEAR(Premissas!$C$25))*12+MONTH($A347)-MONTH(Premissas!$C$25))&lt;=Premissas!$C$32),((YEAR($A347)-YEAR(Premissas!$C$25))*12+MONTH($A347)-MONTH(Premissas!$C$25)),0)</f>
        <v>0</v>
      </c>
      <c r="J347" s="16" t="n">
        <f aca="false">IF(I347&gt;0,N346*(1+Premissas!$C$59),0)</f>
        <v>0</v>
      </c>
      <c r="K347" s="16" t="n">
        <f aca="false">J347*Premissas!$C$58</f>
        <v>0</v>
      </c>
      <c r="L347" s="16" t="n">
        <f aca="false">IF(I347&gt;0,J347/(Premissas!$C$32-I347+1),0)</f>
        <v>0</v>
      </c>
      <c r="M347" s="16" t="n">
        <f aca="false">K347+L347</f>
        <v>0</v>
      </c>
      <c r="N347" s="16" t="n">
        <f aca="false">IF($A347=Premissas!$C$25,Premissas!$C$13*E347,IF(I347&gt;0,J347-L347,0))</f>
        <v>0</v>
      </c>
      <c r="O347" s="37" t="n">
        <f aca="false">IF($A347&gt;=Premissas!$C$27,Premissas!$C$39*IF(((YEAR($A347)-YEAR(Premissas!$C$27))*12+MONTH($A347)-MONTH(Premissas!$C$27))&lt;Premissas!$C$41,Premissas!$C$42,1),0)</f>
        <v>0.62</v>
      </c>
      <c r="P347" s="16" t="n">
        <f aca="false">O347*Premissas!$C$38*Premissas!$C$40*(1+Premissas!$C$60)^((YEAR($A347)-YEAR(Premissas!$C$19))*12+MONTH($A347)-MONTH(Premissas!$C$19))</f>
        <v>13082.5062307321</v>
      </c>
      <c r="Q347" s="16" t="n">
        <f aca="false">P347*Premissas!$C$43</f>
        <v>2093.20099691714</v>
      </c>
      <c r="R347" s="16" t="n">
        <f aca="false">P347*Premissas!$C$44</f>
        <v>2616.50124614642</v>
      </c>
      <c r="S347" s="16" t="n">
        <f aca="false">IF($A347&gt;=Premissas!$C$25,Premissas!$C$45*(1+Premissas!$C$60)^((YEAR($A347)-YEAR(Premissas!$C$19))*12+MONTH($A347)-MONTH(Premissas!$C$19)),0)</f>
        <v>2293.56701099791</v>
      </c>
      <c r="T347" s="16" t="n">
        <f aca="false">IF($A347&gt;=Premissas!$C$27,Premissas!$C$46*(1+Premissas!$C$60)^((YEAR($A347)-YEAR(Premissas!$C$19))*12+MONTH($A347)-MONTH(Premissas!$C$19)),0)</f>
        <v>917.426804399165</v>
      </c>
      <c r="U347" s="16" t="n">
        <f aca="false">IF($A347&gt;=Premissas!$C$27,Premissas!$C$47*(1+Premissas!$C$60)^((YEAR($A347)-YEAR(Premissas!$C$19))*12+MONTH($A347)-MONTH(Premissas!$C$19)),0)</f>
        <v>458.713402199583</v>
      </c>
      <c r="V347" s="16" t="n">
        <f aca="false">IF($A347&gt;=Premissas!$C$27,MAX(0,P347-Q347-R347-S347)*Premissas!$C$49,0)</f>
        <v>1671.79016858442</v>
      </c>
      <c r="W347" s="16" t="n">
        <f aca="false">P347-Q347-R347-S347-T347-U347-V347</f>
        <v>3031.30660148746</v>
      </c>
      <c r="X347" s="16" t="n">
        <f aca="false">W347-F347-G347-H347-M347</f>
        <v>3031.30660148746</v>
      </c>
      <c r="Y347" s="16" t="n">
        <f aca="false">Y346+X347</f>
        <v>-292573.875797359</v>
      </c>
      <c r="Z347" s="16" t="n">
        <f aca="false">Premissas!$C$14*(1+Premissas!$C$57)^((YEAR(Premissas!$C$19)-YEAR(Premissas!$C$18))*12+MONTH(Premissas!$C$19)-MONTH(Premissas!$C$18))*(1+Premissas!$C$61)^((YEAR($A347)-YEAR(Premissas!$C$19))*12+MONTH($A347)-MONTH(Premissas!$C$19))</f>
        <v>1920975.72708068</v>
      </c>
      <c r="AA347" s="16" t="n">
        <f aca="false">IF($A347&gt;=Premissas!$C$25,Z347*(1-Premissas!$C$53)-N347-Premissas!$C$54*MAX(0,Z347*(1-Premissas!$C$53)-(Premissas!$C$14*(1+Premissas!$C$57)^((YEAR(Premissas!$C$25)-YEAR(Premissas!$C$18))*12+MONTH(Premissas!$C$25)-MONTH(Premissas!$C$18))*(1+Premissas!$C$34))),"")</f>
        <v>1616061.81544913</v>
      </c>
      <c r="AB347" s="16" t="n">
        <f aca="false">IF($A347&gt;=Premissas!$C$25,Y347+AA347,"")</f>
        <v>1323487.93965177</v>
      </c>
      <c r="AC347" s="20" t="n">
        <f aca="false">IF(AND($A347&gt;=Premissas!$C$27,W347&gt;=M347),$A347,"")</f>
        <v>56796</v>
      </c>
      <c r="AD347" s="20" t="str">
        <f aca="false">IF(AND($A347&gt;=Premissas!$C$27,Y347&gt;=0),$A347,"")</f>
        <v/>
      </c>
      <c r="AE347" s="20" t="n">
        <f aca="false">IF(AND($A347&gt;=Premissas!$C$25,N(AB347)&gt;=0),$A347,"")</f>
        <v>56796</v>
      </c>
    </row>
    <row r="348" customFormat="false" ht="15" hidden="false" customHeight="false" outlineLevel="0" collapsed="false">
      <c r="A348" s="20" t="n">
        <f aca="false">DATE(YEAR(A347),MONTH(A347)+1,1)</f>
        <v>56827</v>
      </c>
      <c r="B348" s="5" t="str">
        <f aca="false">IF($A348&lt;Premissas!$C$25,"Obra",IF($A348=Premissas!$C$25,"Chaves",IF($A348&lt;Premissas!$C$27,"Mobiliando","Airbnb")))</f>
        <v>Airbnb</v>
      </c>
      <c r="C348" s="35" t="n">
        <f aca="false">(YEAR($A348)-YEAR(Premissas!$C$18))*12+MONTH($A348)-MONTH(Premissas!$C$18)</f>
        <v>347</v>
      </c>
      <c r="D348" s="16" t="n">
        <f aca="false">($A348=Premissas!$C$19)*Premissas!$C$8+(($A348=EDATE(Premissas!$C$19,1))+($A348=EDATE(Premissas!$C$19,2)))*Premissas!$C$9+AND($A348&gt;=Premissas!$C$20,$A348&lt;EDATE(Premissas!$C$20,Premissas!$C$21))*Premissas!$C$10+(($A348=Premissas!$C$22)+($A348=Premissas!$C$23)+($A348=Premissas!$C$24))*Premissas!$C$11+($A348=Premissas!$C$25)*Premissas!$C$12</f>
        <v>0</v>
      </c>
      <c r="E348" s="36" t="n">
        <f aca="false">(1+Premissas!$C$57)^C348</f>
        <v>4.70309362530535</v>
      </c>
      <c r="F348" s="16" t="n">
        <f aca="false">D348*E348</f>
        <v>0</v>
      </c>
      <c r="G348" s="16" t="n">
        <f aca="false">($A348=Premissas!$C$25)*Premissas!$C$34*Premissas!$C$14*(1+Premissas!$C$57)^C348</f>
        <v>0</v>
      </c>
      <c r="H348" s="16" t="n">
        <f aca="false">IF(AND($A348&gt;Premissas!$C$25,$A348&lt;Premissas!$C$27),Premissas!$C$35/MAX(1,Premissas!$C$26),0)</f>
        <v>0</v>
      </c>
      <c r="I348" s="35" t="n">
        <f aca="false">IF(AND($A348&gt;Premissas!$C$25,((YEAR($A348)-YEAR(Premissas!$C$25))*12+MONTH($A348)-MONTH(Premissas!$C$25))&lt;=Premissas!$C$32),((YEAR($A348)-YEAR(Premissas!$C$25))*12+MONTH($A348)-MONTH(Premissas!$C$25)),0)</f>
        <v>0</v>
      </c>
      <c r="J348" s="16" t="n">
        <f aca="false">IF(I348&gt;0,N347*(1+Premissas!$C$59),0)</f>
        <v>0</v>
      </c>
      <c r="K348" s="16" t="n">
        <f aca="false">J348*Premissas!$C$58</f>
        <v>0</v>
      </c>
      <c r="L348" s="16" t="n">
        <f aca="false">IF(I348&gt;0,J348/(Premissas!$C$32-I348+1),0)</f>
        <v>0</v>
      </c>
      <c r="M348" s="16" t="n">
        <f aca="false">K348+L348</f>
        <v>0</v>
      </c>
      <c r="N348" s="16" t="n">
        <f aca="false">IF($A348=Premissas!$C$25,Premissas!$C$13*E348,IF(I348&gt;0,J348-L348,0))</f>
        <v>0</v>
      </c>
      <c r="O348" s="37" t="n">
        <f aca="false">IF($A348&gt;=Premissas!$C$27,Premissas!$C$39*IF(((YEAR($A348)-YEAR(Premissas!$C$27))*12+MONTH($A348)-MONTH(Premissas!$C$27))&lt;Premissas!$C$41,Premissas!$C$42,1),0)</f>
        <v>0.62</v>
      </c>
      <c r="P348" s="16" t="n">
        <f aca="false">O348*Premissas!$C$38*Premissas!$C$40*(1+Premissas!$C$60)^((YEAR($A348)-YEAR(Premissas!$C$19))*12+MONTH($A348)-MONTH(Premissas!$C$19))</f>
        <v>13125.3349518305</v>
      </c>
      <c r="Q348" s="16" t="n">
        <f aca="false">P348*Premissas!$C$43</f>
        <v>2100.05359229288</v>
      </c>
      <c r="R348" s="16" t="n">
        <f aca="false">P348*Premissas!$C$44</f>
        <v>2625.0669903661</v>
      </c>
      <c r="S348" s="16" t="n">
        <f aca="false">IF($A348&gt;=Premissas!$C$25,Premissas!$C$45*(1+Premissas!$C$60)^((YEAR($A348)-YEAR(Premissas!$C$19))*12+MONTH($A348)-MONTH(Premissas!$C$19)),0)</f>
        <v>2301.07555256496</v>
      </c>
      <c r="T348" s="16" t="n">
        <f aca="false">IF($A348&gt;=Premissas!$C$27,Premissas!$C$46*(1+Premissas!$C$60)^((YEAR($A348)-YEAR(Premissas!$C$19))*12+MONTH($A348)-MONTH(Premissas!$C$19)),0)</f>
        <v>920.430221025982</v>
      </c>
      <c r="U348" s="16" t="n">
        <f aca="false">IF($A348&gt;=Premissas!$C$27,Premissas!$C$47*(1+Premissas!$C$60)^((YEAR($A348)-YEAR(Premissas!$C$19))*12+MONTH($A348)-MONTH(Premissas!$C$19)),0)</f>
        <v>460.215110512991</v>
      </c>
      <c r="V348" s="16" t="n">
        <f aca="false">IF($A348&gt;=Premissas!$C$27,MAX(0,P348-Q348-R348-S348)*Premissas!$C$49,0)</f>
        <v>1677.26317456681</v>
      </c>
      <c r="W348" s="16" t="n">
        <f aca="false">P348-Q348-R348-S348-T348-U348-V348</f>
        <v>3041.23031050079</v>
      </c>
      <c r="X348" s="16" t="n">
        <f aca="false">W348-F348-G348-H348-M348</f>
        <v>3041.23031050079</v>
      </c>
      <c r="Y348" s="16" t="n">
        <f aca="false">Y347+X348</f>
        <v>-289532.645486859</v>
      </c>
      <c r="Z348" s="16" t="n">
        <f aca="false">Premissas!$C$14*(1+Premissas!$C$57)^((YEAR(Premissas!$C$19)-YEAR(Premissas!$C$18))*12+MONTH(Premissas!$C$19)-MONTH(Premissas!$C$18))*(1+Premissas!$C$61)^((YEAR($A348)-YEAR(Premissas!$C$19))*12+MONTH($A348)-MONTH(Premissas!$C$19))</f>
        <v>1928802.01997819</v>
      </c>
      <c r="AA348" s="16" t="n">
        <f aca="false">IF($A348&gt;=Premissas!$C$25,Z348*(1-Premissas!$C$53)-N348-Premissas!$C$54*MAX(0,Z348*(1-Premissas!$C$53)-(Premissas!$C$14*(1+Premissas!$C$57)^((YEAR(Premissas!$C$25)-YEAR(Premissas!$C$18))*12+MONTH(Premissas!$C$25)-MONTH(Premissas!$C$18))*(1+Premissas!$C$34))),"")</f>
        <v>1622315.02347424</v>
      </c>
      <c r="AB348" s="16" t="n">
        <f aca="false">IF($A348&gt;=Premissas!$C$25,Y348+AA348,"")</f>
        <v>1332782.37798738</v>
      </c>
      <c r="AC348" s="20" t="n">
        <f aca="false">IF(AND($A348&gt;=Premissas!$C$27,W348&gt;=M348),$A348,"")</f>
        <v>56827</v>
      </c>
      <c r="AD348" s="20" t="str">
        <f aca="false">IF(AND($A348&gt;=Premissas!$C$27,Y348&gt;=0),$A348,"")</f>
        <v/>
      </c>
      <c r="AE348" s="20" t="n">
        <f aca="false">IF(AND($A348&gt;=Premissas!$C$25,N(AB348)&gt;=0),$A348,"")</f>
        <v>56827</v>
      </c>
    </row>
    <row r="349" customFormat="false" ht="15" hidden="false" customHeight="false" outlineLevel="0" collapsed="false">
      <c r="A349" s="20" t="n">
        <f aca="false">DATE(YEAR(A348),MONTH(A348)+1,1)</f>
        <v>56858</v>
      </c>
      <c r="B349" s="5" t="str">
        <f aca="false">IF($A349&lt;Premissas!$C$25,"Obra",IF($A349=Premissas!$C$25,"Chaves",IF($A349&lt;Premissas!$C$27,"Mobiliando","Airbnb")))</f>
        <v>Airbnb</v>
      </c>
      <c r="C349" s="35" t="n">
        <f aca="false">(YEAR($A349)-YEAR(Premissas!$C$18))*12+MONTH($A349)-MONTH(Premissas!$C$18)</f>
        <v>348</v>
      </c>
      <c r="D349" s="16" t="n">
        <f aca="false">($A349=Premissas!$C$19)*Premissas!$C$8+(($A349=EDATE(Premissas!$C$19,1))+($A349=EDATE(Premissas!$C$19,2)))*Premissas!$C$9+AND($A349&gt;=Premissas!$C$20,$A349&lt;EDATE(Premissas!$C$20,Premissas!$C$21))*Premissas!$C$10+(($A349=Premissas!$C$22)+($A349=Premissas!$C$23)+($A349=Premissas!$C$24))*Premissas!$C$11+($A349=Premissas!$C$25)*Premissas!$C$12</f>
        <v>0</v>
      </c>
      <c r="E349" s="36" t="n">
        <f aca="false">(1+Premissas!$C$57)^C349</f>
        <v>4.72412444397638</v>
      </c>
      <c r="F349" s="16" t="n">
        <f aca="false">D349*E349</f>
        <v>0</v>
      </c>
      <c r="G349" s="16" t="n">
        <f aca="false">($A349=Premissas!$C$25)*Premissas!$C$34*Premissas!$C$14*(1+Premissas!$C$57)^C349</f>
        <v>0</v>
      </c>
      <c r="H349" s="16" t="n">
        <f aca="false">IF(AND($A349&gt;Premissas!$C$25,$A349&lt;Premissas!$C$27),Premissas!$C$35/MAX(1,Premissas!$C$26),0)</f>
        <v>0</v>
      </c>
      <c r="I349" s="35" t="n">
        <f aca="false">IF(AND($A349&gt;Premissas!$C$25,((YEAR($A349)-YEAR(Premissas!$C$25))*12+MONTH($A349)-MONTH(Premissas!$C$25))&lt;=Premissas!$C$32),((YEAR($A349)-YEAR(Premissas!$C$25))*12+MONTH($A349)-MONTH(Premissas!$C$25)),0)</f>
        <v>0</v>
      </c>
      <c r="J349" s="16" t="n">
        <f aca="false">IF(I349&gt;0,N348*(1+Premissas!$C$59),0)</f>
        <v>0</v>
      </c>
      <c r="K349" s="16" t="n">
        <f aca="false">J349*Premissas!$C$58</f>
        <v>0</v>
      </c>
      <c r="L349" s="16" t="n">
        <f aca="false">IF(I349&gt;0,J349/(Premissas!$C$32-I349+1),0)</f>
        <v>0</v>
      </c>
      <c r="M349" s="16" t="n">
        <f aca="false">K349+L349</f>
        <v>0</v>
      </c>
      <c r="N349" s="16" t="n">
        <f aca="false">IF($A349=Premissas!$C$25,Premissas!$C$13*E349,IF(I349&gt;0,J349-L349,0))</f>
        <v>0</v>
      </c>
      <c r="O349" s="37" t="n">
        <f aca="false">IF($A349&gt;=Premissas!$C$27,Premissas!$C$39*IF(((YEAR($A349)-YEAR(Premissas!$C$27))*12+MONTH($A349)-MONTH(Premissas!$C$27))&lt;Premissas!$C$41,Premissas!$C$42,1),0)</f>
        <v>0.62</v>
      </c>
      <c r="P349" s="16" t="n">
        <f aca="false">O349*Premissas!$C$38*Premissas!$C$40*(1+Premissas!$C$60)^((YEAR($A349)-YEAR(Premissas!$C$19))*12+MONTH($A349)-MONTH(Premissas!$C$19))</f>
        <v>13168.303883017</v>
      </c>
      <c r="Q349" s="16" t="n">
        <f aca="false">P349*Premissas!$C$43</f>
        <v>2106.92862128272</v>
      </c>
      <c r="R349" s="16" t="n">
        <f aca="false">P349*Premissas!$C$44</f>
        <v>2633.6607766034</v>
      </c>
      <c r="S349" s="16" t="n">
        <f aca="false">IF($A349&gt;=Premissas!$C$25,Premissas!$C$45*(1+Premissas!$C$60)^((YEAR($A349)-YEAR(Premissas!$C$19))*12+MONTH($A349)-MONTH(Premissas!$C$19)),0)</f>
        <v>2308.60867514323</v>
      </c>
      <c r="T349" s="16" t="n">
        <f aca="false">IF($A349&gt;=Premissas!$C$27,Premissas!$C$46*(1+Premissas!$C$60)^((YEAR($A349)-YEAR(Premissas!$C$19))*12+MONTH($A349)-MONTH(Premissas!$C$19)),0)</f>
        <v>923.443470057293</v>
      </c>
      <c r="U349" s="16" t="n">
        <f aca="false">IF($A349&gt;=Premissas!$C$27,Premissas!$C$47*(1+Premissas!$C$60)^((YEAR($A349)-YEAR(Premissas!$C$19))*12+MONTH($A349)-MONTH(Premissas!$C$19)),0)</f>
        <v>461.721735028647</v>
      </c>
      <c r="V349" s="16" t="n">
        <f aca="false">IF($A349&gt;=Premissas!$C$27,MAX(0,P349-Q349-R349-S349)*Premissas!$C$49,0)</f>
        <v>1682.7540977466</v>
      </c>
      <c r="W349" s="16" t="n">
        <f aca="false">P349-Q349-R349-S349-T349-U349-V349</f>
        <v>3051.1865071551</v>
      </c>
      <c r="X349" s="16" t="n">
        <f aca="false">W349-F349-G349-H349-M349</f>
        <v>3051.1865071551</v>
      </c>
      <c r="Y349" s="16" t="n">
        <f aca="false">Y348+X349</f>
        <v>-286481.458979704</v>
      </c>
      <c r="Z349" s="16" t="n">
        <f aca="false">Premissas!$C$14*(1+Premissas!$C$57)^((YEAR(Premissas!$C$19)-YEAR(Premissas!$C$18))*12+MONTH(Premissas!$C$19)-MONTH(Premissas!$C$18))*(1+Premissas!$C$61)^((YEAR($A349)-YEAR(Premissas!$C$19))*12+MONTH($A349)-MONTH(Premissas!$C$19))</f>
        <v>1936660.19816173</v>
      </c>
      <c r="AA349" s="16" t="n">
        <f aca="false">IF($A349&gt;=Premissas!$C$25,Z349*(1-Premissas!$C$53)-N349-Premissas!$C$54*MAX(0,Z349*(1-Premissas!$C$53)-(Premissas!$C$14*(1+Premissas!$C$57)^((YEAR(Premissas!$C$25)-YEAR(Premissas!$C$18))*12+MONTH(Premissas!$C$25)-MONTH(Premissas!$C$18))*(1+Premissas!$C$34))),"")</f>
        <v>1628593.70784289</v>
      </c>
      <c r="AB349" s="16" t="n">
        <f aca="false">IF($A349&gt;=Premissas!$C$25,Y349+AA349,"")</f>
        <v>1342112.24886318</v>
      </c>
      <c r="AC349" s="20" t="n">
        <f aca="false">IF(AND($A349&gt;=Premissas!$C$27,W349&gt;=M349),$A349,"")</f>
        <v>56858</v>
      </c>
      <c r="AD349" s="20" t="str">
        <f aca="false">IF(AND($A349&gt;=Premissas!$C$27,Y349&gt;=0),$A349,"")</f>
        <v/>
      </c>
      <c r="AE349" s="20" t="n">
        <f aca="false">IF(AND($A349&gt;=Premissas!$C$25,N(AB349)&gt;=0),$A349,"")</f>
        <v>56858</v>
      </c>
    </row>
    <row r="350" customFormat="false" ht="15" hidden="false" customHeight="false" outlineLevel="0" collapsed="false">
      <c r="A350" s="20" t="n">
        <f aca="false">DATE(YEAR(A349),MONTH(A349)+1,1)</f>
        <v>56888</v>
      </c>
      <c r="B350" s="5" t="str">
        <f aca="false">IF($A350&lt;Premissas!$C$25,"Obra",IF($A350=Premissas!$C$25,"Chaves",IF($A350&lt;Premissas!$C$27,"Mobiliando","Airbnb")))</f>
        <v>Airbnb</v>
      </c>
      <c r="C350" s="35" t="n">
        <f aca="false">(YEAR($A350)-YEAR(Premissas!$C$18))*12+MONTH($A350)-MONTH(Premissas!$C$18)</f>
        <v>349</v>
      </c>
      <c r="D350" s="16" t="n">
        <f aca="false">($A350=Premissas!$C$19)*Premissas!$C$8+(($A350=EDATE(Premissas!$C$19,1))+($A350=EDATE(Premissas!$C$19,2)))*Premissas!$C$9+AND($A350&gt;=Premissas!$C$20,$A350&lt;EDATE(Premissas!$C$20,Premissas!$C$21))*Premissas!$C$10+(($A350=Premissas!$C$22)+($A350=Premissas!$C$23)+($A350=Premissas!$C$24))*Premissas!$C$11+($A350=Premissas!$C$25)*Premissas!$C$12</f>
        <v>0</v>
      </c>
      <c r="E350" s="36" t="n">
        <f aca="false">(1+Premissas!$C$57)^C350</f>
        <v>4.74524930613649</v>
      </c>
      <c r="F350" s="16" t="n">
        <f aca="false">D350*E350</f>
        <v>0</v>
      </c>
      <c r="G350" s="16" t="n">
        <f aca="false">($A350=Premissas!$C$25)*Premissas!$C$34*Premissas!$C$14*(1+Premissas!$C$57)^C350</f>
        <v>0</v>
      </c>
      <c r="H350" s="16" t="n">
        <f aca="false">IF(AND($A350&gt;Premissas!$C$25,$A350&lt;Premissas!$C$27),Premissas!$C$35/MAX(1,Premissas!$C$26),0)</f>
        <v>0</v>
      </c>
      <c r="I350" s="35" t="n">
        <f aca="false">IF(AND($A350&gt;Premissas!$C$25,((YEAR($A350)-YEAR(Premissas!$C$25))*12+MONTH($A350)-MONTH(Premissas!$C$25))&lt;=Premissas!$C$32),((YEAR($A350)-YEAR(Premissas!$C$25))*12+MONTH($A350)-MONTH(Premissas!$C$25)),0)</f>
        <v>0</v>
      </c>
      <c r="J350" s="16" t="n">
        <f aca="false">IF(I350&gt;0,N349*(1+Premissas!$C$59),0)</f>
        <v>0</v>
      </c>
      <c r="K350" s="16" t="n">
        <f aca="false">J350*Premissas!$C$58</f>
        <v>0</v>
      </c>
      <c r="L350" s="16" t="n">
        <f aca="false">IF(I350&gt;0,J350/(Premissas!$C$32-I350+1),0)</f>
        <v>0</v>
      </c>
      <c r="M350" s="16" t="n">
        <f aca="false">K350+L350</f>
        <v>0</v>
      </c>
      <c r="N350" s="16" t="n">
        <f aca="false">IF($A350=Premissas!$C$25,Premissas!$C$13*E350,IF(I350&gt;0,J350-L350,0))</f>
        <v>0</v>
      </c>
      <c r="O350" s="37" t="n">
        <f aca="false">IF($A350&gt;=Premissas!$C$27,Premissas!$C$39*IF(((YEAR($A350)-YEAR(Premissas!$C$27))*12+MONTH($A350)-MONTH(Premissas!$C$27))&lt;Premissas!$C$41,Premissas!$C$42,1),0)</f>
        <v>0.62</v>
      </c>
      <c r="P350" s="16" t="n">
        <f aca="false">O350*Premissas!$C$38*Premissas!$C$40*(1+Premissas!$C$60)^((YEAR($A350)-YEAR(Premissas!$C$19))*12+MONTH($A350)-MONTH(Premissas!$C$19))</f>
        <v>13211.4134833029</v>
      </c>
      <c r="Q350" s="16" t="n">
        <f aca="false">P350*Premissas!$C$43</f>
        <v>2113.82615732847</v>
      </c>
      <c r="R350" s="16" t="n">
        <f aca="false">P350*Premissas!$C$44</f>
        <v>2642.28269666058</v>
      </c>
      <c r="S350" s="16" t="n">
        <f aca="false">IF($A350&gt;=Premissas!$C$25,Premissas!$C$45*(1+Premissas!$C$60)^((YEAR($A350)-YEAR(Premissas!$C$19))*12+MONTH($A350)-MONTH(Premissas!$C$19)),0)</f>
        <v>2316.16645920458</v>
      </c>
      <c r="T350" s="16" t="n">
        <f aca="false">IF($A350&gt;=Premissas!$C$27,Premissas!$C$46*(1+Premissas!$C$60)^((YEAR($A350)-YEAR(Premissas!$C$19))*12+MONTH($A350)-MONTH(Premissas!$C$19)),0)</f>
        <v>926.466583681832</v>
      </c>
      <c r="U350" s="16" t="n">
        <f aca="false">IF($A350&gt;=Premissas!$C$27,Premissas!$C$47*(1+Premissas!$C$60)^((YEAR($A350)-YEAR(Premissas!$C$19))*12+MONTH($A350)-MONTH(Premissas!$C$19)),0)</f>
        <v>463.233291840916</v>
      </c>
      <c r="V350" s="16" t="n">
        <f aca="false">IF($A350&gt;=Premissas!$C$27,MAX(0,P350-Q350-R350-S350)*Premissas!$C$49,0)</f>
        <v>1688.26299678005</v>
      </c>
      <c r="W350" s="16" t="n">
        <f aca="false">P350-Q350-R350-S350-T350-U350-V350</f>
        <v>3061.17529780649</v>
      </c>
      <c r="X350" s="16" t="n">
        <f aca="false">W350-F350-G350-H350-M350</f>
        <v>3061.17529780649</v>
      </c>
      <c r="Y350" s="16" t="n">
        <f aca="false">Y349+X350</f>
        <v>-283420.283681897</v>
      </c>
      <c r="Z350" s="16" t="n">
        <f aca="false">Premissas!$C$14*(1+Premissas!$C$57)^((YEAR(Premissas!$C$19)-YEAR(Premissas!$C$18))*12+MONTH(Premissas!$C$19)-MONTH(Premissas!$C$18))*(1+Premissas!$C$61)^((YEAR($A350)-YEAR(Premissas!$C$19))*12+MONTH($A350)-MONTH(Premissas!$C$19))</f>
        <v>1944550.3915359</v>
      </c>
      <c r="AA350" s="16" t="n">
        <f aca="false">IF($A350&gt;=Premissas!$C$25,Z350*(1-Premissas!$C$53)-N350-Premissas!$C$54*MAX(0,Z350*(1-Premissas!$C$53)-(Premissas!$C$14*(1+Premissas!$C$57)^((YEAR(Premissas!$C$25)-YEAR(Premissas!$C$18))*12+MONTH(Premissas!$C$25)-MONTH(Premissas!$C$18))*(1+Premissas!$C$34))),"")</f>
        <v>1634897.97234885</v>
      </c>
      <c r="AB350" s="16" t="n">
        <f aca="false">IF($A350&gt;=Premissas!$C$25,Y350+AA350,"")</f>
        <v>1351477.68866696</v>
      </c>
      <c r="AC350" s="20" t="n">
        <f aca="false">IF(AND($A350&gt;=Premissas!$C$27,W350&gt;=M350),$A350,"")</f>
        <v>56888</v>
      </c>
      <c r="AD350" s="20" t="str">
        <f aca="false">IF(AND($A350&gt;=Premissas!$C$27,Y350&gt;=0),$A350,"")</f>
        <v/>
      </c>
      <c r="AE350" s="20" t="n">
        <f aca="false">IF(AND($A350&gt;=Premissas!$C$25,N(AB350)&gt;=0),$A350,"")</f>
        <v>56888</v>
      </c>
    </row>
    <row r="351" customFormat="false" ht="15" hidden="false" customHeight="false" outlineLevel="0" collapsed="false">
      <c r="A351" s="20" t="n">
        <f aca="false">DATE(YEAR(A350),MONTH(A350)+1,1)</f>
        <v>56919</v>
      </c>
      <c r="B351" s="5" t="str">
        <f aca="false">IF($A351&lt;Premissas!$C$25,"Obra",IF($A351=Premissas!$C$25,"Chaves",IF($A351&lt;Premissas!$C$27,"Mobiliando","Airbnb")))</f>
        <v>Airbnb</v>
      </c>
      <c r="C351" s="35" t="n">
        <f aca="false">(YEAR($A351)-YEAR(Premissas!$C$18))*12+MONTH($A351)-MONTH(Premissas!$C$18)</f>
        <v>350</v>
      </c>
      <c r="D351" s="16" t="n">
        <f aca="false">($A351=Premissas!$C$19)*Premissas!$C$8+(($A351=EDATE(Premissas!$C$19,1))+($A351=EDATE(Premissas!$C$19,2)))*Premissas!$C$9+AND($A351&gt;=Premissas!$C$20,$A351&lt;EDATE(Premissas!$C$20,Premissas!$C$21))*Premissas!$C$10+(($A351=Premissas!$C$22)+($A351=Premissas!$C$23)+($A351=Premissas!$C$24))*Premissas!$C$11+($A351=Premissas!$C$25)*Premissas!$C$12</f>
        <v>0</v>
      </c>
      <c r="E351" s="36" t="n">
        <f aca="false">(1+Premissas!$C$57)^C351</f>
        <v>4.76646863231984</v>
      </c>
      <c r="F351" s="16" t="n">
        <f aca="false">D351*E351</f>
        <v>0</v>
      </c>
      <c r="G351" s="16" t="n">
        <f aca="false">($A351=Premissas!$C$25)*Premissas!$C$34*Premissas!$C$14*(1+Premissas!$C$57)^C351</f>
        <v>0</v>
      </c>
      <c r="H351" s="16" t="n">
        <f aca="false">IF(AND($A351&gt;Premissas!$C$25,$A351&lt;Premissas!$C$27),Premissas!$C$35/MAX(1,Premissas!$C$26),0)</f>
        <v>0</v>
      </c>
      <c r="I351" s="35" t="n">
        <f aca="false">IF(AND($A351&gt;Premissas!$C$25,((YEAR($A351)-YEAR(Premissas!$C$25))*12+MONTH($A351)-MONTH(Premissas!$C$25))&lt;=Premissas!$C$32),((YEAR($A351)-YEAR(Premissas!$C$25))*12+MONTH($A351)-MONTH(Premissas!$C$25)),0)</f>
        <v>0</v>
      </c>
      <c r="J351" s="16" t="n">
        <f aca="false">IF(I351&gt;0,N350*(1+Premissas!$C$59),0)</f>
        <v>0</v>
      </c>
      <c r="K351" s="16" t="n">
        <f aca="false">J351*Premissas!$C$58</f>
        <v>0</v>
      </c>
      <c r="L351" s="16" t="n">
        <f aca="false">IF(I351&gt;0,J351/(Premissas!$C$32-I351+1),0)</f>
        <v>0</v>
      </c>
      <c r="M351" s="16" t="n">
        <f aca="false">K351+L351</f>
        <v>0</v>
      </c>
      <c r="N351" s="16" t="n">
        <f aca="false">IF($A351=Premissas!$C$25,Premissas!$C$13*E351,IF(I351&gt;0,J351-L351,0))</f>
        <v>0</v>
      </c>
      <c r="O351" s="37" t="n">
        <f aca="false">IF($A351&gt;=Premissas!$C$27,Premissas!$C$39*IF(((YEAR($A351)-YEAR(Premissas!$C$27))*12+MONTH($A351)-MONTH(Premissas!$C$27))&lt;Premissas!$C$41,Premissas!$C$42,1),0)</f>
        <v>0.62</v>
      </c>
      <c r="P351" s="16" t="n">
        <f aca="false">O351*Premissas!$C$38*Premissas!$C$40*(1+Premissas!$C$60)^((YEAR($A351)-YEAR(Premissas!$C$19))*12+MONTH($A351)-MONTH(Premissas!$C$19))</f>
        <v>13254.6642132023</v>
      </c>
      <c r="Q351" s="16" t="n">
        <f aca="false">P351*Premissas!$C$43</f>
        <v>2120.74627411237</v>
      </c>
      <c r="R351" s="16" t="n">
        <f aca="false">P351*Premissas!$C$44</f>
        <v>2650.93284264046</v>
      </c>
      <c r="S351" s="16" t="n">
        <f aca="false">IF($A351&gt;=Premissas!$C$25,Premissas!$C$45*(1+Premissas!$C$60)^((YEAR($A351)-YEAR(Premissas!$C$19))*12+MONTH($A351)-MONTH(Premissas!$C$19)),0)</f>
        <v>2323.74898548427</v>
      </c>
      <c r="T351" s="16" t="n">
        <f aca="false">IF($A351&gt;=Premissas!$C$27,Premissas!$C$46*(1+Premissas!$C$60)^((YEAR($A351)-YEAR(Premissas!$C$19))*12+MONTH($A351)-MONTH(Premissas!$C$19)),0)</f>
        <v>929.499594193709</v>
      </c>
      <c r="U351" s="16" t="n">
        <f aca="false">IF($A351&gt;=Premissas!$C$27,Premissas!$C$47*(1+Premissas!$C$60)^((YEAR($A351)-YEAR(Premissas!$C$19))*12+MONTH($A351)-MONTH(Premissas!$C$19)),0)</f>
        <v>464.749797096854</v>
      </c>
      <c r="V351" s="16" t="n">
        <f aca="false">IF($A351&gt;=Premissas!$C$27,MAX(0,P351-Q351-R351-S351)*Premissas!$C$49,0)</f>
        <v>1693.78993051543</v>
      </c>
      <c r="W351" s="16" t="n">
        <f aca="false">P351-Q351-R351-S351-T351-U351-V351</f>
        <v>3071.1967891592</v>
      </c>
      <c r="X351" s="16" t="n">
        <f aca="false">W351-F351-G351-H351-M351</f>
        <v>3071.1967891592</v>
      </c>
      <c r="Y351" s="16" t="n">
        <f aca="false">Y350+X351</f>
        <v>-280349.086892738</v>
      </c>
      <c r="Z351" s="16" t="n">
        <f aca="false">Premissas!$C$14*(1+Premissas!$C$57)^((YEAR(Premissas!$C$19)-YEAR(Premissas!$C$18))*12+MONTH(Premissas!$C$19)-MONTH(Premissas!$C$18))*(1+Premissas!$C$61)^((YEAR($A351)-YEAR(Premissas!$C$19))*12+MONTH($A351)-MONTH(Premissas!$C$19))</f>
        <v>1952472.73053456</v>
      </c>
      <c r="AA351" s="16" t="n">
        <f aca="false">IF($A351&gt;=Premissas!$C$25,Z351*(1-Premissas!$C$53)-N351-Premissas!$C$54*MAX(0,Z351*(1-Premissas!$C$53)-(Premissas!$C$14*(1+Premissas!$C$57)^((YEAR(Premissas!$C$25)-YEAR(Premissas!$C$18))*12+MONTH(Premissas!$C$25)-MONTH(Premissas!$C$18))*(1+Premissas!$C$34))),"")</f>
        <v>1641227.92120878</v>
      </c>
      <c r="AB351" s="16" t="n">
        <f aca="false">IF($A351&gt;=Premissas!$C$25,Y351+AA351,"")</f>
        <v>1360878.83431604</v>
      </c>
      <c r="AC351" s="20" t="n">
        <f aca="false">IF(AND($A351&gt;=Premissas!$C$27,W351&gt;=M351),$A351,"")</f>
        <v>56919</v>
      </c>
      <c r="AD351" s="20" t="str">
        <f aca="false">IF(AND($A351&gt;=Premissas!$C$27,Y351&gt;=0),$A351,"")</f>
        <v/>
      </c>
      <c r="AE351" s="20" t="n">
        <f aca="false">IF(AND($A351&gt;=Premissas!$C$25,N(AB351)&gt;=0),$A351,"")</f>
        <v>56919</v>
      </c>
    </row>
    <row r="352" customFormat="false" ht="15" hidden="false" customHeight="false" outlineLevel="0" collapsed="false">
      <c r="A352" s="20" t="n">
        <f aca="false">DATE(YEAR(A351),MONTH(A351)+1,1)</f>
        <v>56949</v>
      </c>
      <c r="B352" s="5" t="str">
        <f aca="false">IF($A352&lt;Premissas!$C$25,"Obra",IF($A352=Premissas!$C$25,"Chaves",IF($A352&lt;Premissas!$C$27,"Mobiliando","Airbnb")))</f>
        <v>Airbnb</v>
      </c>
      <c r="C352" s="35" t="n">
        <f aca="false">(YEAR($A352)-YEAR(Premissas!$C$18))*12+MONTH($A352)-MONTH(Premissas!$C$18)</f>
        <v>351</v>
      </c>
      <c r="D352" s="16" t="n">
        <f aca="false">($A352=Premissas!$C$19)*Premissas!$C$8+(($A352=EDATE(Premissas!$C$19,1))+($A352=EDATE(Premissas!$C$19,2)))*Premissas!$C$9+AND($A352&gt;=Premissas!$C$20,$A352&lt;EDATE(Premissas!$C$20,Premissas!$C$21))*Premissas!$C$10+(($A352=Premissas!$C$22)+($A352=Premissas!$C$23)+($A352=Premissas!$C$24))*Premissas!$C$11+($A352=Premissas!$C$25)*Premissas!$C$12</f>
        <v>0</v>
      </c>
      <c r="E352" s="36" t="n">
        <f aca="false">(1+Premissas!$C$57)^C352</f>
        <v>4.7877828449411</v>
      </c>
      <c r="F352" s="16" t="n">
        <f aca="false">D352*E352</f>
        <v>0</v>
      </c>
      <c r="G352" s="16" t="n">
        <f aca="false">($A352=Premissas!$C$25)*Premissas!$C$34*Premissas!$C$14*(1+Premissas!$C$57)^C352</f>
        <v>0</v>
      </c>
      <c r="H352" s="16" t="n">
        <f aca="false">IF(AND($A352&gt;Premissas!$C$25,$A352&lt;Premissas!$C$27),Premissas!$C$35/MAX(1,Premissas!$C$26),0)</f>
        <v>0</v>
      </c>
      <c r="I352" s="35" t="n">
        <f aca="false">IF(AND($A352&gt;Premissas!$C$25,((YEAR($A352)-YEAR(Premissas!$C$25))*12+MONTH($A352)-MONTH(Premissas!$C$25))&lt;=Premissas!$C$32),((YEAR($A352)-YEAR(Premissas!$C$25))*12+MONTH($A352)-MONTH(Premissas!$C$25)),0)</f>
        <v>0</v>
      </c>
      <c r="J352" s="16" t="n">
        <f aca="false">IF(I352&gt;0,N351*(1+Premissas!$C$59),0)</f>
        <v>0</v>
      </c>
      <c r="K352" s="16" t="n">
        <f aca="false">J352*Premissas!$C$58</f>
        <v>0</v>
      </c>
      <c r="L352" s="16" t="n">
        <f aca="false">IF(I352&gt;0,J352/(Premissas!$C$32-I352+1),0)</f>
        <v>0</v>
      </c>
      <c r="M352" s="16" t="n">
        <f aca="false">K352+L352</f>
        <v>0</v>
      </c>
      <c r="N352" s="16" t="n">
        <f aca="false">IF($A352=Premissas!$C$25,Premissas!$C$13*E352,IF(I352&gt;0,J352-L352,0))</f>
        <v>0</v>
      </c>
      <c r="O352" s="37" t="n">
        <f aca="false">IF($A352&gt;=Premissas!$C$27,Premissas!$C$39*IF(((YEAR($A352)-YEAR(Premissas!$C$27))*12+MONTH($A352)-MONTH(Premissas!$C$27))&lt;Premissas!$C$41,Premissas!$C$42,1),0)</f>
        <v>0.62</v>
      </c>
      <c r="P352" s="16" t="n">
        <f aca="false">O352*Premissas!$C$38*Premissas!$C$40*(1+Premissas!$C$60)^((YEAR($A352)-YEAR(Premissas!$C$19))*12+MONTH($A352)-MONTH(Premissas!$C$19))</f>
        <v>13298.0565347367</v>
      </c>
      <c r="Q352" s="16" t="n">
        <f aca="false">P352*Premissas!$C$43</f>
        <v>2127.68904555788</v>
      </c>
      <c r="R352" s="16" t="n">
        <f aca="false">P352*Premissas!$C$44</f>
        <v>2659.61130694735</v>
      </c>
      <c r="S352" s="16" t="n">
        <f aca="false">IF($A352&gt;=Premissas!$C$25,Premissas!$C$45*(1+Premissas!$C$60)^((YEAR($A352)-YEAR(Premissas!$C$19))*12+MONTH($A352)-MONTH(Premissas!$C$19)),0)</f>
        <v>2331.3563349819</v>
      </c>
      <c r="T352" s="16" t="n">
        <f aca="false">IF($A352&gt;=Premissas!$C$27,Premissas!$C$46*(1+Premissas!$C$60)^((YEAR($A352)-YEAR(Premissas!$C$19))*12+MONTH($A352)-MONTH(Premissas!$C$19)),0)</f>
        <v>932.542533992758</v>
      </c>
      <c r="U352" s="16" t="n">
        <f aca="false">IF($A352&gt;=Premissas!$C$27,Premissas!$C$47*(1+Premissas!$C$60)^((YEAR($A352)-YEAR(Premissas!$C$19))*12+MONTH($A352)-MONTH(Premissas!$C$19)),0)</f>
        <v>466.271266996379</v>
      </c>
      <c r="V352" s="16" t="n">
        <f aca="false">IF($A352&gt;=Premissas!$C$27,MAX(0,P352-Q352-R352-S352)*Premissas!$C$49,0)</f>
        <v>1699.33495799364</v>
      </c>
      <c r="W352" s="16" t="n">
        <f aca="false">P352-Q352-R352-S352-T352-U352-V352</f>
        <v>3081.25108826683</v>
      </c>
      <c r="X352" s="16" t="n">
        <f aca="false">W352-F352-G352-H352-M352</f>
        <v>3081.25108826683</v>
      </c>
      <c r="Y352" s="16" t="n">
        <f aca="false">Y351+X352</f>
        <v>-277267.835804471</v>
      </c>
      <c r="Z352" s="16" t="n">
        <f aca="false">Premissas!$C$14*(1+Premissas!$C$57)^((YEAR(Premissas!$C$19)-YEAR(Premissas!$C$18))*12+MONTH(Premissas!$C$19)-MONTH(Premissas!$C$18))*(1+Premissas!$C$61)^((YEAR($A352)-YEAR(Premissas!$C$19))*12+MONTH($A352)-MONTH(Premissas!$C$19))</f>
        <v>1960427.34612296</v>
      </c>
      <c r="AA352" s="16" t="n">
        <f aca="false">IF($A352&gt;=Premissas!$C$25,Z352*(1-Premissas!$C$53)-N352-Premissas!$C$54*MAX(0,Z352*(1-Premissas!$C$53)-(Premissas!$C$14*(1+Premissas!$C$57)^((YEAR(Premissas!$C$25)-YEAR(Premissas!$C$18))*12+MONTH(Premissas!$C$25)-MONTH(Premissas!$C$18))*(1+Premissas!$C$34))),"")</f>
        <v>1647583.65906391</v>
      </c>
      <c r="AB352" s="16" t="n">
        <f aca="false">IF($A352&gt;=Premissas!$C$25,Y352+AA352,"")</f>
        <v>1370315.82325944</v>
      </c>
      <c r="AC352" s="20" t="n">
        <f aca="false">IF(AND($A352&gt;=Premissas!$C$27,W352&gt;=M352),$A352,"")</f>
        <v>56949</v>
      </c>
      <c r="AD352" s="20" t="str">
        <f aca="false">IF(AND($A352&gt;=Premissas!$C$27,Y352&gt;=0),$A352,"")</f>
        <v/>
      </c>
      <c r="AE352" s="20" t="n">
        <f aca="false">IF(AND($A352&gt;=Premissas!$C$25,N(AB352)&gt;=0),$A352,"")</f>
        <v>56949</v>
      </c>
    </row>
    <row r="353" customFormat="false" ht="15" hidden="false" customHeight="false" outlineLevel="0" collapsed="false">
      <c r="A353" s="29" t="n">
        <f aca="false">DATE(YEAR(A352),MONTH(A352)+1,1)</f>
        <v>56980</v>
      </c>
      <c r="B353" s="30" t="str">
        <f aca="false">IF($A353&lt;Premissas!$C$25,"Obra",IF($A353=Premissas!$C$25,"Chaves",IF($A353&lt;Premissas!$C$27,"Mobiliando","Airbnb")))</f>
        <v>Airbnb</v>
      </c>
      <c r="C353" s="31" t="n">
        <f aca="false">(YEAR($A353)-YEAR(Premissas!$C$18))*12+MONTH($A353)-MONTH(Premissas!$C$18)</f>
        <v>352</v>
      </c>
      <c r="D353" s="32" t="n">
        <f aca="false">($A353=Premissas!$C$19)*Premissas!$C$8+(($A353=EDATE(Premissas!$C$19,1))+($A353=EDATE(Premissas!$C$19,2)))*Premissas!$C$9+AND($A353&gt;=Premissas!$C$20,$A353&lt;EDATE(Premissas!$C$20,Premissas!$C$21))*Premissas!$C$10+(($A353=Premissas!$C$22)+($A353=Premissas!$C$23)+($A353=Premissas!$C$24))*Premissas!$C$11+($A353=Premissas!$C$25)*Premissas!$C$12</f>
        <v>0</v>
      </c>
      <c r="E353" s="33" t="n">
        <f aca="false">(1+Premissas!$C$57)^C353</f>
        <v>4.80919236830386</v>
      </c>
      <c r="F353" s="32" t="n">
        <f aca="false">D353*E353</f>
        <v>0</v>
      </c>
      <c r="G353" s="32" t="n">
        <f aca="false">($A353=Premissas!$C$25)*Premissas!$C$34*Premissas!$C$14*(1+Premissas!$C$57)^C353</f>
        <v>0</v>
      </c>
      <c r="H353" s="32" t="n">
        <f aca="false">IF(AND($A353&gt;Premissas!$C$25,$A353&lt;Premissas!$C$27),Premissas!$C$35/MAX(1,Premissas!$C$26),0)</f>
        <v>0</v>
      </c>
      <c r="I353" s="31" t="n">
        <f aca="false">IF(AND($A353&gt;Premissas!$C$25,((YEAR($A353)-YEAR(Premissas!$C$25))*12+MONTH($A353)-MONTH(Premissas!$C$25))&lt;=Premissas!$C$32),((YEAR($A353)-YEAR(Premissas!$C$25))*12+MONTH($A353)-MONTH(Premissas!$C$25)),0)</f>
        <v>0</v>
      </c>
      <c r="J353" s="32" t="n">
        <f aca="false">IF(I353&gt;0,N352*(1+Premissas!$C$59),0)</f>
        <v>0</v>
      </c>
      <c r="K353" s="32" t="n">
        <f aca="false">J353*Premissas!$C$58</f>
        <v>0</v>
      </c>
      <c r="L353" s="32" t="n">
        <f aca="false">IF(I353&gt;0,J353/(Premissas!$C$32-I353+1),0)</f>
        <v>0</v>
      </c>
      <c r="M353" s="32" t="n">
        <f aca="false">K353+L353</f>
        <v>0</v>
      </c>
      <c r="N353" s="32" t="n">
        <f aca="false">IF($A353=Premissas!$C$25,Premissas!$C$13*E353,IF(I353&gt;0,J353-L353,0))</f>
        <v>0</v>
      </c>
      <c r="O353" s="34" t="n">
        <f aca="false">IF($A353&gt;=Premissas!$C$27,Premissas!$C$39*IF(((YEAR($A353)-YEAR(Premissas!$C$27))*12+MONTH($A353)-MONTH(Premissas!$C$27))&lt;Premissas!$C$41,Premissas!$C$42,1),0)</f>
        <v>0.62</v>
      </c>
      <c r="P353" s="32" t="n">
        <f aca="false">O353*Premissas!$C$38*Premissas!$C$40*(1+Premissas!$C$60)^((YEAR($A353)-YEAR(Premissas!$C$19))*12+MONTH($A353)-MONTH(Premissas!$C$19))</f>
        <v>13341.5909114404</v>
      </c>
      <c r="Q353" s="32" t="n">
        <f aca="false">P353*Premissas!$C$43</f>
        <v>2134.65454583047</v>
      </c>
      <c r="R353" s="32" t="n">
        <f aca="false">P353*Premissas!$C$44</f>
        <v>2668.31818228809</v>
      </c>
      <c r="S353" s="32" t="n">
        <f aca="false">IF($A353&gt;=Premissas!$C$25,Premissas!$C$45*(1+Premissas!$C$60)^((YEAR($A353)-YEAR(Premissas!$C$19))*12+MONTH($A353)-MONTH(Premissas!$C$19)),0)</f>
        <v>2338.98858896221</v>
      </c>
      <c r="T353" s="32" t="n">
        <f aca="false">IF($A353&gt;=Premissas!$C$27,Premissas!$C$46*(1+Premissas!$C$60)^((YEAR($A353)-YEAR(Premissas!$C$19))*12+MONTH($A353)-MONTH(Premissas!$C$19)),0)</f>
        <v>935.595435584883</v>
      </c>
      <c r="U353" s="32" t="n">
        <f aca="false">IF($A353&gt;=Premissas!$C$27,Premissas!$C$47*(1+Premissas!$C$60)^((YEAR($A353)-YEAR(Premissas!$C$19))*12+MONTH($A353)-MONTH(Premissas!$C$19)),0)</f>
        <v>467.797717792442</v>
      </c>
      <c r="V353" s="32" t="n">
        <f aca="false">IF($A353&gt;=Premissas!$C$27,MAX(0,P353-Q353-R353-S353)*Premissas!$C$49,0)</f>
        <v>1704.89813844891</v>
      </c>
      <c r="W353" s="32" t="n">
        <f aca="false">P353-Q353-R353-S353-T353-U353-V353</f>
        <v>3091.33830253344</v>
      </c>
      <c r="X353" s="32" t="n">
        <f aca="false">W353-F353-G353-H353-M353</f>
        <v>3091.33830253344</v>
      </c>
      <c r="Y353" s="32" t="n">
        <f aca="false">Y352+X353</f>
        <v>-274176.497501938</v>
      </c>
      <c r="Z353" s="32" t="n">
        <f aca="false">Premissas!$C$14*(1+Premissas!$C$57)^((YEAR(Premissas!$C$19)-YEAR(Premissas!$C$18))*12+MONTH(Premissas!$C$19)-MONTH(Premissas!$C$18))*(1+Premissas!$C$61)^((YEAR($A353)-YEAR(Premissas!$C$19))*12+MONTH($A353)-MONTH(Premissas!$C$19))</f>
        <v>1968414.36979991</v>
      </c>
      <c r="AA353" s="32" t="n">
        <f aca="false">IF($A353&gt;=Premissas!$C$25,Z353*(1-Premissas!$C$53)-N353-Premissas!$C$54*MAX(0,Z353*(1-Premissas!$C$53)-(Premissas!$C$14*(1+Premissas!$C$57)^((YEAR(Premissas!$C$25)-YEAR(Premissas!$C$18))*12+MONTH(Premissas!$C$25)-MONTH(Premissas!$C$18))*(1+Premissas!$C$34))),"")</f>
        <v>1653965.2909818</v>
      </c>
      <c r="AB353" s="32" t="n">
        <f aca="false">IF($A353&gt;=Premissas!$C$25,Y353+AA353,"")</f>
        <v>1379788.79347986</v>
      </c>
      <c r="AC353" s="29" t="n">
        <f aca="false">IF(AND($A353&gt;=Premissas!$C$27,W353&gt;=M353),$A353,"")</f>
        <v>56980</v>
      </c>
      <c r="AD353" s="29" t="str">
        <f aca="false">IF(AND($A353&gt;=Premissas!$C$27,Y353&gt;=0),$A353,"")</f>
        <v/>
      </c>
      <c r="AE353" s="29" t="n">
        <f aca="false">IF(AND($A353&gt;=Premissas!$C$25,N(AB353)&gt;=0),$A353,"")</f>
        <v>56980</v>
      </c>
    </row>
    <row r="354" customFormat="false" ht="15" hidden="false" customHeight="false" outlineLevel="0" collapsed="false">
      <c r="A354" s="20" t="n">
        <f aca="false">DATE(YEAR(A353),MONTH(A353)+1,1)</f>
        <v>57011</v>
      </c>
      <c r="B354" s="5" t="str">
        <f aca="false">IF($A354&lt;Premissas!$C$25,"Obra",IF($A354=Premissas!$C$25,"Chaves",IF($A354&lt;Premissas!$C$27,"Mobiliando","Airbnb")))</f>
        <v>Airbnb</v>
      </c>
      <c r="C354" s="35" t="n">
        <f aca="false">(YEAR($A354)-YEAR(Premissas!$C$18))*12+MONTH($A354)-MONTH(Premissas!$C$18)</f>
        <v>353</v>
      </c>
      <c r="D354" s="16" t="n">
        <f aca="false">($A354=Premissas!$C$19)*Premissas!$C$8+(($A354=EDATE(Premissas!$C$19,1))+($A354=EDATE(Premissas!$C$19,2)))*Premissas!$C$9+AND($A354&gt;=Premissas!$C$20,$A354&lt;EDATE(Premissas!$C$20,Premissas!$C$21))*Premissas!$C$10+(($A354=Premissas!$C$22)+($A354=Premissas!$C$23)+($A354=Premissas!$C$24))*Premissas!$C$11+($A354=Premissas!$C$25)*Premissas!$C$12</f>
        <v>0</v>
      </c>
      <c r="E354" s="36" t="n">
        <f aca="false">(1+Premissas!$C$57)^C354</f>
        <v>4.83069762860906</v>
      </c>
      <c r="F354" s="16" t="n">
        <f aca="false">D354*E354</f>
        <v>0</v>
      </c>
      <c r="G354" s="16" t="n">
        <f aca="false">($A354=Premissas!$C$25)*Premissas!$C$34*Premissas!$C$14*(1+Premissas!$C$57)^C354</f>
        <v>0</v>
      </c>
      <c r="H354" s="16" t="n">
        <f aca="false">IF(AND($A354&gt;Premissas!$C$25,$A354&lt;Premissas!$C$27),Premissas!$C$35/MAX(1,Premissas!$C$26),0)</f>
        <v>0</v>
      </c>
      <c r="I354" s="35" t="n">
        <f aca="false">IF(AND($A354&gt;Premissas!$C$25,((YEAR($A354)-YEAR(Premissas!$C$25))*12+MONTH($A354)-MONTH(Premissas!$C$25))&lt;=Premissas!$C$32),((YEAR($A354)-YEAR(Premissas!$C$25))*12+MONTH($A354)-MONTH(Premissas!$C$25)),0)</f>
        <v>0</v>
      </c>
      <c r="J354" s="16" t="n">
        <f aca="false">IF(I354&gt;0,N353*(1+Premissas!$C$59),0)</f>
        <v>0</v>
      </c>
      <c r="K354" s="16" t="n">
        <f aca="false">J354*Premissas!$C$58</f>
        <v>0</v>
      </c>
      <c r="L354" s="16" t="n">
        <f aca="false">IF(I354&gt;0,J354/(Premissas!$C$32-I354+1),0)</f>
        <v>0</v>
      </c>
      <c r="M354" s="16" t="n">
        <f aca="false">K354+L354</f>
        <v>0</v>
      </c>
      <c r="N354" s="16" t="n">
        <f aca="false">IF($A354=Premissas!$C$25,Premissas!$C$13*E354,IF(I354&gt;0,J354-L354,0))</f>
        <v>0</v>
      </c>
      <c r="O354" s="37" t="n">
        <f aca="false">IF($A354&gt;=Premissas!$C$27,Premissas!$C$39*IF(((YEAR($A354)-YEAR(Premissas!$C$27))*12+MONTH($A354)-MONTH(Premissas!$C$27))&lt;Premissas!$C$41,Premissas!$C$42,1),0)</f>
        <v>0.62</v>
      </c>
      <c r="P354" s="16" t="n">
        <f aca="false">O354*Premissas!$C$38*Premissas!$C$40*(1+Premissas!$C$60)^((YEAR($A354)-YEAR(Premissas!$C$19))*12+MONTH($A354)-MONTH(Premissas!$C$19))</f>
        <v>13385.267808365</v>
      </c>
      <c r="Q354" s="16" t="n">
        <f aca="false">P354*Premissas!$C$43</f>
        <v>2141.64284933841</v>
      </c>
      <c r="R354" s="16" t="n">
        <f aca="false">P354*Premissas!$C$44</f>
        <v>2677.05356167301</v>
      </c>
      <c r="S354" s="16" t="n">
        <f aca="false">IF($A354&gt;=Premissas!$C$25,Premissas!$C$45*(1+Premissas!$C$60)^((YEAR($A354)-YEAR(Premissas!$C$19))*12+MONTH($A354)-MONTH(Premissas!$C$19)),0)</f>
        <v>2346.645828956</v>
      </c>
      <c r="T354" s="16" t="n">
        <f aca="false">IF($A354&gt;=Premissas!$C$27,Premissas!$C$46*(1+Premissas!$C$60)^((YEAR($A354)-YEAR(Premissas!$C$19))*12+MONTH($A354)-MONTH(Premissas!$C$19)),0)</f>
        <v>938.658331582401</v>
      </c>
      <c r="U354" s="16" t="n">
        <f aca="false">IF($A354&gt;=Premissas!$C$27,Premissas!$C$47*(1+Premissas!$C$60)^((YEAR($A354)-YEAR(Premissas!$C$19))*12+MONTH($A354)-MONTH(Premissas!$C$19)),0)</f>
        <v>469.329165791201</v>
      </c>
      <c r="V354" s="16" t="n">
        <f aca="false">IF($A354&gt;=Premissas!$C$27,MAX(0,P354-Q354-R354-S354)*Premissas!$C$49,0)</f>
        <v>1710.47953130935</v>
      </c>
      <c r="W354" s="16" t="n">
        <f aca="false">P354-Q354-R354-S354-T354-U354-V354</f>
        <v>3101.45853971467</v>
      </c>
      <c r="X354" s="16" t="n">
        <f aca="false">W354-F354-G354-H354-M354</f>
        <v>3101.45853971467</v>
      </c>
      <c r="Y354" s="16" t="n">
        <f aca="false">Y353+X354</f>
        <v>-271075.038962223</v>
      </c>
      <c r="Z354" s="16" t="n">
        <f aca="false">Premissas!$C$14*(1+Premissas!$C$57)^((YEAR(Premissas!$C$19)-YEAR(Premissas!$C$18))*12+MONTH(Premissas!$C$19)-MONTH(Premissas!$C$18))*(1+Premissas!$C$61)^((YEAR($A354)-YEAR(Premissas!$C$19))*12+MONTH($A354)-MONTH(Premissas!$C$19))</f>
        <v>1976433.93359999</v>
      </c>
      <c r="AA354" s="16" t="n">
        <f aca="false">IF($A354&gt;=Premissas!$C$25,Z354*(1-Premissas!$C$53)-N354-Premissas!$C$54*MAX(0,Z354*(1-Premissas!$C$53)-(Premissas!$C$14*(1+Premissas!$C$57)^((YEAR(Premissas!$C$25)-YEAR(Premissas!$C$18))*12+MONTH(Premissas!$C$25)-MONTH(Premissas!$C$18))*(1+Premissas!$C$34))),"")</f>
        <v>1660372.92245806</v>
      </c>
      <c r="AB354" s="16" t="n">
        <f aca="false">IF($A354&gt;=Premissas!$C$25,Y354+AA354,"")</f>
        <v>1389297.88349583</v>
      </c>
      <c r="AC354" s="20" t="n">
        <f aca="false">IF(AND($A354&gt;=Premissas!$C$27,W354&gt;=M354),$A354,"")</f>
        <v>57011</v>
      </c>
      <c r="AD354" s="20" t="str">
        <f aca="false">IF(AND($A354&gt;=Premissas!$C$27,Y354&gt;=0),$A354,"")</f>
        <v/>
      </c>
      <c r="AE354" s="20" t="n">
        <f aca="false">IF(AND($A354&gt;=Premissas!$C$25,N(AB354)&gt;=0),$A354,"")</f>
        <v>57011</v>
      </c>
    </row>
    <row r="355" customFormat="false" ht="15" hidden="false" customHeight="false" outlineLevel="0" collapsed="false">
      <c r="A355" s="20" t="n">
        <f aca="false">DATE(YEAR(A354),MONTH(A354)+1,1)</f>
        <v>57040</v>
      </c>
      <c r="B355" s="5" t="str">
        <f aca="false">IF($A355&lt;Premissas!$C$25,"Obra",IF($A355=Premissas!$C$25,"Chaves",IF($A355&lt;Premissas!$C$27,"Mobiliando","Airbnb")))</f>
        <v>Airbnb</v>
      </c>
      <c r="C355" s="35" t="n">
        <f aca="false">(YEAR($A355)-YEAR(Premissas!$C$18))*12+MONTH($A355)-MONTH(Premissas!$C$18)</f>
        <v>354</v>
      </c>
      <c r="D355" s="16" t="n">
        <f aca="false">($A355=Premissas!$C$19)*Premissas!$C$8+(($A355=EDATE(Premissas!$C$19,1))+($A355=EDATE(Premissas!$C$19,2)))*Premissas!$C$9+AND($A355&gt;=Premissas!$C$20,$A355&lt;EDATE(Premissas!$C$20,Premissas!$C$21))*Premissas!$C$10+(($A355=Premissas!$C$22)+($A355=Premissas!$C$23)+($A355=Premissas!$C$24))*Premissas!$C$11+($A355=Premissas!$C$25)*Premissas!$C$12</f>
        <v>0</v>
      </c>
      <c r="E355" s="36" t="n">
        <f aca="false">(1+Premissas!$C$57)^C355</f>
        <v>4.85229905396347</v>
      </c>
      <c r="F355" s="16" t="n">
        <f aca="false">D355*E355</f>
        <v>0</v>
      </c>
      <c r="G355" s="16" t="n">
        <f aca="false">($A355=Premissas!$C$25)*Premissas!$C$34*Premissas!$C$14*(1+Premissas!$C$57)^C355</f>
        <v>0</v>
      </c>
      <c r="H355" s="16" t="n">
        <f aca="false">IF(AND($A355&gt;Premissas!$C$25,$A355&lt;Premissas!$C$27),Premissas!$C$35/MAX(1,Premissas!$C$26),0)</f>
        <v>0</v>
      </c>
      <c r="I355" s="35" t="n">
        <f aca="false">IF(AND($A355&gt;Premissas!$C$25,((YEAR($A355)-YEAR(Premissas!$C$25))*12+MONTH($A355)-MONTH(Premissas!$C$25))&lt;=Premissas!$C$32),((YEAR($A355)-YEAR(Premissas!$C$25))*12+MONTH($A355)-MONTH(Premissas!$C$25)),0)</f>
        <v>0</v>
      </c>
      <c r="J355" s="16" t="n">
        <f aca="false">IF(I355&gt;0,N354*(1+Premissas!$C$59),0)</f>
        <v>0</v>
      </c>
      <c r="K355" s="16" t="n">
        <f aca="false">J355*Premissas!$C$58</f>
        <v>0</v>
      </c>
      <c r="L355" s="16" t="n">
        <f aca="false">IF(I355&gt;0,J355/(Premissas!$C$32-I355+1),0)</f>
        <v>0</v>
      </c>
      <c r="M355" s="16" t="n">
        <f aca="false">K355+L355</f>
        <v>0</v>
      </c>
      <c r="N355" s="16" t="n">
        <f aca="false">IF($A355=Premissas!$C$25,Premissas!$C$13*E355,IF(I355&gt;0,J355-L355,0))</f>
        <v>0</v>
      </c>
      <c r="O355" s="37" t="n">
        <f aca="false">IF($A355&gt;=Premissas!$C$27,Premissas!$C$39*IF(((YEAR($A355)-YEAR(Premissas!$C$27))*12+MONTH($A355)-MONTH(Premissas!$C$27))&lt;Premissas!$C$41,Premissas!$C$42,1),0)</f>
        <v>0.62</v>
      </c>
      <c r="P355" s="16" t="n">
        <f aca="false">O355*Premissas!$C$38*Premissas!$C$40*(1+Premissas!$C$60)^((YEAR($A355)-YEAR(Premissas!$C$19))*12+MONTH($A355)-MONTH(Premissas!$C$19))</f>
        <v>13429.0876920847</v>
      </c>
      <c r="Q355" s="16" t="n">
        <f aca="false">P355*Premissas!$C$43</f>
        <v>2148.65403073355</v>
      </c>
      <c r="R355" s="16" t="n">
        <f aca="false">P355*Premissas!$C$44</f>
        <v>2685.81753841693</v>
      </c>
      <c r="S355" s="16" t="n">
        <f aca="false">IF($A355&gt;=Premissas!$C$25,Premissas!$C$45*(1+Premissas!$C$60)^((YEAR($A355)-YEAR(Premissas!$C$19))*12+MONTH($A355)-MONTH(Premissas!$C$19)),0)</f>
        <v>2354.32813676099</v>
      </c>
      <c r="T355" s="16" t="n">
        <f aca="false">IF($A355&gt;=Premissas!$C$27,Premissas!$C$46*(1+Premissas!$C$60)^((YEAR($A355)-YEAR(Premissas!$C$19))*12+MONTH($A355)-MONTH(Premissas!$C$19)),0)</f>
        <v>941.731254704395</v>
      </c>
      <c r="U355" s="16" t="n">
        <f aca="false">IF($A355&gt;=Premissas!$C$27,Premissas!$C$47*(1+Premissas!$C$60)^((YEAR($A355)-YEAR(Premissas!$C$19))*12+MONTH($A355)-MONTH(Premissas!$C$19)),0)</f>
        <v>470.865627352197</v>
      </c>
      <c r="V355" s="16" t="n">
        <f aca="false">IF($A355&gt;=Premissas!$C$27,MAX(0,P355-Q355-R355-S355)*Premissas!$C$49,0)</f>
        <v>1716.07919619763</v>
      </c>
      <c r="W355" s="16" t="n">
        <f aca="false">P355-Q355-R355-S355-T355-U355-V355</f>
        <v>3111.61190791898</v>
      </c>
      <c r="X355" s="16" t="n">
        <f aca="false">W355-F355-G355-H355-M355</f>
        <v>3111.61190791898</v>
      </c>
      <c r="Y355" s="16" t="n">
        <f aca="false">Y354+X355</f>
        <v>-267963.427054304</v>
      </c>
      <c r="Z355" s="16" t="n">
        <f aca="false">Premissas!$C$14*(1+Premissas!$C$57)^((YEAR(Premissas!$C$19)-YEAR(Premissas!$C$18))*12+MONTH(Premissas!$C$19)-MONTH(Premissas!$C$18))*(1+Premissas!$C$61)^((YEAR($A355)-YEAR(Premissas!$C$19))*12+MONTH($A355)-MONTH(Premissas!$C$19))</f>
        <v>1984486.17009568</v>
      </c>
      <c r="AA355" s="16" t="n">
        <f aca="false">IF($A355&gt;=Premissas!$C$25,Z355*(1-Premissas!$C$53)-N355-Premissas!$C$54*MAX(0,Z355*(1-Premissas!$C$53)-(Premissas!$C$14*(1+Premissas!$C$57)^((YEAR(Premissas!$C$25)-YEAR(Premissas!$C$18))*12+MONTH(Premissas!$C$25)-MONTH(Premissas!$C$18))*(1+Premissas!$C$34))),"")</f>
        <v>1666806.65941811</v>
      </c>
      <c r="AB355" s="16" t="n">
        <f aca="false">IF($A355&gt;=Premissas!$C$25,Y355+AA355,"")</f>
        <v>1398843.23236381</v>
      </c>
      <c r="AC355" s="20" t="n">
        <f aca="false">IF(AND($A355&gt;=Premissas!$C$27,W355&gt;=M355),$A355,"")</f>
        <v>57040</v>
      </c>
      <c r="AD355" s="20" t="str">
        <f aca="false">IF(AND($A355&gt;=Premissas!$C$27,Y355&gt;=0),$A355,"")</f>
        <v/>
      </c>
      <c r="AE355" s="20" t="n">
        <f aca="false">IF(AND($A355&gt;=Premissas!$C$25,N(AB355)&gt;=0),$A355,"")</f>
        <v>57040</v>
      </c>
    </row>
    <row r="356" customFormat="false" ht="15" hidden="false" customHeight="false" outlineLevel="0" collapsed="false">
      <c r="A356" s="20" t="n">
        <f aca="false">DATE(YEAR(A355),MONTH(A355)+1,1)</f>
        <v>57071</v>
      </c>
      <c r="B356" s="5" t="str">
        <f aca="false">IF($A356&lt;Premissas!$C$25,"Obra",IF($A356=Premissas!$C$25,"Chaves",IF($A356&lt;Premissas!$C$27,"Mobiliando","Airbnb")))</f>
        <v>Airbnb</v>
      </c>
      <c r="C356" s="35" t="n">
        <f aca="false">(YEAR($A356)-YEAR(Premissas!$C$18))*12+MONTH($A356)-MONTH(Premissas!$C$18)</f>
        <v>355</v>
      </c>
      <c r="D356" s="16" t="n">
        <f aca="false">($A356=Premissas!$C$19)*Premissas!$C$8+(($A356=EDATE(Premissas!$C$19,1))+($A356=EDATE(Premissas!$C$19,2)))*Premissas!$C$9+AND($A356&gt;=Premissas!$C$20,$A356&lt;EDATE(Premissas!$C$20,Premissas!$C$21))*Premissas!$C$10+(($A356=Premissas!$C$22)+($A356=Premissas!$C$23)+($A356=Premissas!$C$24))*Premissas!$C$11+($A356=Premissas!$C$25)*Premissas!$C$12</f>
        <v>0</v>
      </c>
      <c r="E356" s="36" t="n">
        <f aca="false">(1+Premissas!$C$57)^C356</f>
        <v>4.87399707438825</v>
      </c>
      <c r="F356" s="16" t="n">
        <f aca="false">D356*E356</f>
        <v>0</v>
      </c>
      <c r="G356" s="16" t="n">
        <f aca="false">($A356=Premissas!$C$25)*Premissas!$C$34*Premissas!$C$14*(1+Premissas!$C$57)^C356</f>
        <v>0</v>
      </c>
      <c r="H356" s="16" t="n">
        <f aca="false">IF(AND($A356&gt;Premissas!$C$25,$A356&lt;Premissas!$C$27),Premissas!$C$35/MAX(1,Premissas!$C$26),0)</f>
        <v>0</v>
      </c>
      <c r="I356" s="35" t="n">
        <f aca="false">IF(AND($A356&gt;Premissas!$C$25,((YEAR($A356)-YEAR(Premissas!$C$25))*12+MONTH($A356)-MONTH(Premissas!$C$25))&lt;=Premissas!$C$32),((YEAR($A356)-YEAR(Premissas!$C$25))*12+MONTH($A356)-MONTH(Premissas!$C$25)),0)</f>
        <v>0</v>
      </c>
      <c r="J356" s="16" t="n">
        <f aca="false">IF(I356&gt;0,N355*(1+Premissas!$C$59),0)</f>
        <v>0</v>
      </c>
      <c r="K356" s="16" t="n">
        <f aca="false">J356*Premissas!$C$58</f>
        <v>0</v>
      </c>
      <c r="L356" s="16" t="n">
        <f aca="false">IF(I356&gt;0,J356/(Premissas!$C$32-I356+1),0)</f>
        <v>0</v>
      </c>
      <c r="M356" s="16" t="n">
        <f aca="false">K356+L356</f>
        <v>0</v>
      </c>
      <c r="N356" s="16" t="n">
        <f aca="false">IF($A356=Premissas!$C$25,Premissas!$C$13*E356,IF(I356&gt;0,J356-L356,0))</f>
        <v>0</v>
      </c>
      <c r="O356" s="37" t="n">
        <f aca="false">IF($A356&gt;=Premissas!$C$27,Premissas!$C$39*IF(((YEAR($A356)-YEAR(Premissas!$C$27))*12+MONTH($A356)-MONTH(Premissas!$C$27))&lt;Premissas!$C$41,Premissas!$C$42,1),0)</f>
        <v>0.62</v>
      </c>
      <c r="P356" s="16" t="n">
        <f aca="false">O356*Premissas!$C$38*Premissas!$C$40*(1+Premissas!$C$60)^((YEAR($A356)-YEAR(Premissas!$C$19))*12+MONTH($A356)-MONTH(Premissas!$C$19))</f>
        <v>13473.0510307009</v>
      </c>
      <c r="Q356" s="16" t="n">
        <f aca="false">P356*Premissas!$C$43</f>
        <v>2155.68816491214</v>
      </c>
      <c r="R356" s="16" t="n">
        <f aca="false">P356*Premissas!$C$44</f>
        <v>2694.61020614018</v>
      </c>
      <c r="S356" s="16" t="n">
        <f aca="false">IF($A356&gt;=Premissas!$C$25,Premissas!$C$45*(1+Premissas!$C$60)^((YEAR($A356)-YEAR(Premissas!$C$19))*12+MONTH($A356)-MONTH(Premissas!$C$19)),0)</f>
        <v>2362.03559444265</v>
      </c>
      <c r="T356" s="16" t="n">
        <f aca="false">IF($A356&gt;=Premissas!$C$27,Premissas!$C$46*(1+Premissas!$C$60)^((YEAR($A356)-YEAR(Premissas!$C$19))*12+MONTH($A356)-MONTH(Premissas!$C$19)),0)</f>
        <v>944.814237777061</v>
      </c>
      <c r="U356" s="16" t="n">
        <f aca="false">IF($A356&gt;=Premissas!$C$27,Premissas!$C$47*(1+Premissas!$C$60)^((YEAR($A356)-YEAR(Premissas!$C$19))*12+MONTH($A356)-MONTH(Premissas!$C$19)),0)</f>
        <v>472.40711888853</v>
      </c>
      <c r="V356" s="16" t="n">
        <f aca="false">IF($A356&gt;=Premissas!$C$27,MAX(0,P356-Q356-R356-S356)*Premissas!$C$49,0)</f>
        <v>1721.69719293163</v>
      </c>
      <c r="W356" s="16" t="n">
        <f aca="false">P356-Q356-R356-S356-T356-U356-V356</f>
        <v>3121.7985156087</v>
      </c>
      <c r="X356" s="16" t="n">
        <f aca="false">W356-F356-G356-H356-M356</f>
        <v>3121.7985156087</v>
      </c>
      <c r="Y356" s="16" t="n">
        <f aca="false">Y355+X356</f>
        <v>-264841.628538695</v>
      </c>
      <c r="Z356" s="16" t="n">
        <f aca="false">Premissas!$C$14*(1+Premissas!$C$57)^((YEAR(Premissas!$C$19)-YEAR(Premissas!$C$18))*12+MONTH(Premissas!$C$19)-MONTH(Premissas!$C$18))*(1+Premissas!$C$61)^((YEAR($A356)-YEAR(Premissas!$C$19))*12+MONTH($A356)-MONTH(Premissas!$C$19))</f>
        <v>1992571.21239959</v>
      </c>
      <c r="AA356" s="16" t="n">
        <f aca="false">IF($A356&gt;=Premissas!$C$25,Z356*(1-Premissas!$C$53)-N356-Premissas!$C$54*MAX(0,Z356*(1-Premissas!$C$53)-(Premissas!$C$14*(1+Premissas!$C$57)^((YEAR(Premissas!$C$25)-YEAR(Premissas!$C$18))*12+MONTH(Premissas!$C$25)-MONTH(Premissas!$C$18))*(1+Premissas!$C$34))),"")</f>
        <v>1673266.60821894</v>
      </c>
      <c r="AB356" s="16" t="n">
        <f aca="false">IF($A356&gt;=Premissas!$C$25,Y356+AA356,"")</f>
        <v>1408424.97968024</v>
      </c>
      <c r="AC356" s="20" t="n">
        <f aca="false">IF(AND($A356&gt;=Premissas!$C$27,W356&gt;=M356),$A356,"")</f>
        <v>57071</v>
      </c>
      <c r="AD356" s="20" t="str">
        <f aca="false">IF(AND($A356&gt;=Premissas!$C$27,Y356&gt;=0),$A356,"")</f>
        <v/>
      </c>
      <c r="AE356" s="20" t="n">
        <f aca="false">IF(AND($A356&gt;=Premissas!$C$25,N(AB356)&gt;=0),$A356,"")</f>
        <v>57071</v>
      </c>
    </row>
    <row r="357" customFormat="false" ht="15" hidden="false" customHeight="false" outlineLevel="0" collapsed="false">
      <c r="A357" s="20" t="n">
        <f aca="false">DATE(YEAR(A356),MONTH(A356)+1,1)</f>
        <v>57101</v>
      </c>
      <c r="B357" s="5" t="str">
        <f aca="false">IF($A357&lt;Premissas!$C$25,"Obra",IF($A357=Premissas!$C$25,"Chaves",IF($A357&lt;Premissas!$C$27,"Mobiliando","Airbnb")))</f>
        <v>Airbnb</v>
      </c>
      <c r="C357" s="35" t="n">
        <f aca="false">(YEAR($A357)-YEAR(Premissas!$C$18))*12+MONTH($A357)-MONTH(Premissas!$C$18)</f>
        <v>356</v>
      </c>
      <c r="D357" s="16" t="n">
        <f aca="false">($A357=Premissas!$C$19)*Premissas!$C$8+(($A357=EDATE(Premissas!$C$19,1))+($A357=EDATE(Premissas!$C$19,2)))*Premissas!$C$9+AND($A357&gt;=Premissas!$C$20,$A357&lt;EDATE(Premissas!$C$20,Premissas!$C$21))*Premissas!$C$10+(($A357=Premissas!$C$22)+($A357=Premissas!$C$23)+($A357=Premissas!$C$24))*Premissas!$C$11+($A357=Premissas!$C$25)*Premissas!$C$12</f>
        <v>0</v>
      </c>
      <c r="E357" s="36" t="n">
        <f aca="false">(1+Premissas!$C$57)^C357</f>
        <v>4.89579212182746</v>
      </c>
      <c r="F357" s="16" t="n">
        <f aca="false">D357*E357</f>
        <v>0</v>
      </c>
      <c r="G357" s="16" t="n">
        <f aca="false">($A357=Premissas!$C$25)*Premissas!$C$34*Premissas!$C$14*(1+Premissas!$C$57)^C357</f>
        <v>0</v>
      </c>
      <c r="H357" s="16" t="n">
        <f aca="false">IF(AND($A357&gt;Premissas!$C$25,$A357&lt;Premissas!$C$27),Premissas!$C$35/MAX(1,Premissas!$C$26),0)</f>
        <v>0</v>
      </c>
      <c r="I357" s="35" t="n">
        <f aca="false">IF(AND($A357&gt;Premissas!$C$25,((YEAR($A357)-YEAR(Premissas!$C$25))*12+MONTH($A357)-MONTH(Premissas!$C$25))&lt;=Premissas!$C$32),((YEAR($A357)-YEAR(Premissas!$C$25))*12+MONTH($A357)-MONTH(Premissas!$C$25)),0)</f>
        <v>0</v>
      </c>
      <c r="J357" s="16" t="n">
        <f aca="false">IF(I357&gt;0,N356*(1+Premissas!$C$59),0)</f>
        <v>0</v>
      </c>
      <c r="K357" s="16" t="n">
        <f aca="false">J357*Premissas!$C$58</f>
        <v>0</v>
      </c>
      <c r="L357" s="16" t="n">
        <f aca="false">IF(I357&gt;0,J357/(Premissas!$C$32-I357+1),0)</f>
        <v>0</v>
      </c>
      <c r="M357" s="16" t="n">
        <f aca="false">K357+L357</f>
        <v>0</v>
      </c>
      <c r="N357" s="16" t="n">
        <f aca="false">IF($A357=Premissas!$C$25,Premissas!$C$13*E357,IF(I357&gt;0,J357-L357,0))</f>
        <v>0</v>
      </c>
      <c r="O357" s="37" t="n">
        <f aca="false">IF($A357&gt;=Premissas!$C$27,Premissas!$C$39*IF(((YEAR($A357)-YEAR(Premissas!$C$27))*12+MONTH($A357)-MONTH(Premissas!$C$27))&lt;Premissas!$C$41,Premissas!$C$42,1),0)</f>
        <v>0.62</v>
      </c>
      <c r="P357" s="16" t="n">
        <f aca="false">O357*Premissas!$C$38*Premissas!$C$40*(1+Premissas!$C$60)^((YEAR($A357)-YEAR(Premissas!$C$19))*12+MONTH($A357)-MONTH(Premissas!$C$19))</f>
        <v>13517.1582938477</v>
      </c>
      <c r="Q357" s="16" t="n">
        <f aca="false">P357*Premissas!$C$43</f>
        <v>2162.74532701563</v>
      </c>
      <c r="R357" s="16" t="n">
        <f aca="false">P357*Premissas!$C$44</f>
        <v>2703.43165876954</v>
      </c>
      <c r="S357" s="16" t="n">
        <f aca="false">IF($A357&gt;=Premissas!$C$25,Premissas!$C$45*(1+Premissas!$C$60)^((YEAR($A357)-YEAR(Premissas!$C$19))*12+MONTH($A357)-MONTH(Premissas!$C$19)),0)</f>
        <v>2369.76828433515</v>
      </c>
      <c r="T357" s="16" t="n">
        <f aca="false">IF($A357&gt;=Premissas!$C$27,Premissas!$C$46*(1+Premissas!$C$60)^((YEAR($A357)-YEAR(Premissas!$C$19))*12+MONTH($A357)-MONTH(Premissas!$C$19)),0)</f>
        <v>947.90731373406</v>
      </c>
      <c r="U357" s="16" t="n">
        <f aca="false">IF($A357&gt;=Premissas!$C$27,Premissas!$C$47*(1+Premissas!$C$60)^((YEAR($A357)-YEAR(Premissas!$C$19))*12+MONTH($A357)-MONTH(Premissas!$C$19)),0)</f>
        <v>473.95365686703</v>
      </c>
      <c r="V357" s="16" t="n">
        <f aca="false">IF($A357&gt;=Premissas!$C$27,MAX(0,P357-Q357-R357-S357)*Premissas!$C$49,0)</f>
        <v>1727.33358152503</v>
      </c>
      <c r="W357" s="16" t="n">
        <f aca="false">P357-Q357-R357-S357-T357-U357-V357</f>
        <v>3132.01847160125</v>
      </c>
      <c r="X357" s="16" t="n">
        <f aca="false">W357-F357-G357-H357-M357</f>
        <v>3132.01847160125</v>
      </c>
      <c r="Y357" s="16" t="n">
        <f aca="false">Y356+X357</f>
        <v>-261709.610067094</v>
      </c>
      <c r="Z357" s="16" t="n">
        <f aca="false">Premissas!$C$14*(1+Premissas!$C$57)^((YEAR(Premissas!$C$19)-YEAR(Premissas!$C$18))*12+MONTH(Premissas!$C$19)-MONTH(Premissas!$C$18))*(1+Premissas!$C$61)^((YEAR($A357)-YEAR(Premissas!$C$19))*12+MONTH($A357)-MONTH(Premissas!$C$19))</f>
        <v>2000689.19416664</v>
      </c>
      <c r="AA357" s="16" t="n">
        <f aca="false">IF($A357&gt;=Premissas!$C$25,Z357*(1-Premissas!$C$53)-N357-Premissas!$C$54*MAX(0,Z357*(1-Premissas!$C$53)-(Premissas!$C$14*(1+Premissas!$C$57)^((YEAR(Premissas!$C$25)-YEAR(Premissas!$C$18))*12+MONTH(Premissas!$C$25)-MONTH(Premissas!$C$18))*(1+Premissas!$C$34))),"")</f>
        <v>1679752.87565081</v>
      </c>
      <c r="AB357" s="16" t="n">
        <f aca="false">IF($A357&gt;=Premissas!$C$25,Y357+AA357,"")</f>
        <v>1418043.26558372</v>
      </c>
      <c r="AC357" s="20" t="n">
        <f aca="false">IF(AND($A357&gt;=Premissas!$C$27,W357&gt;=M357),$A357,"")</f>
        <v>57101</v>
      </c>
      <c r="AD357" s="20" t="str">
        <f aca="false">IF(AND($A357&gt;=Premissas!$C$27,Y357&gt;=0),$A357,"")</f>
        <v/>
      </c>
      <c r="AE357" s="20" t="n">
        <f aca="false">IF(AND($A357&gt;=Premissas!$C$25,N(AB357)&gt;=0),$A357,"")</f>
        <v>57101</v>
      </c>
    </row>
    <row r="358" customFormat="false" ht="15" hidden="false" customHeight="false" outlineLevel="0" collapsed="false">
      <c r="A358" s="20" t="n">
        <f aca="false">DATE(YEAR(A357),MONTH(A357)+1,1)</f>
        <v>57132</v>
      </c>
      <c r="B358" s="5" t="str">
        <f aca="false">IF($A358&lt;Premissas!$C$25,"Obra",IF($A358=Premissas!$C$25,"Chaves",IF($A358&lt;Premissas!$C$27,"Mobiliando","Airbnb")))</f>
        <v>Airbnb</v>
      </c>
      <c r="C358" s="35" t="n">
        <f aca="false">(YEAR($A358)-YEAR(Premissas!$C$18))*12+MONTH($A358)-MONTH(Premissas!$C$18)</f>
        <v>357</v>
      </c>
      <c r="D358" s="16" t="n">
        <f aca="false">($A358=Premissas!$C$19)*Premissas!$C$8+(($A358=EDATE(Premissas!$C$19,1))+($A358=EDATE(Premissas!$C$19,2)))*Premissas!$C$9+AND($A358&gt;=Premissas!$C$20,$A358&lt;EDATE(Premissas!$C$20,Premissas!$C$21))*Premissas!$C$10+(($A358=Premissas!$C$22)+($A358=Premissas!$C$23)+($A358=Premissas!$C$24))*Premissas!$C$11+($A358=Premissas!$C$25)*Premissas!$C$12</f>
        <v>0</v>
      </c>
      <c r="E358" s="36" t="n">
        <f aca="false">(1+Premissas!$C$57)^C358</f>
        <v>4.9176846301567</v>
      </c>
      <c r="F358" s="16" t="n">
        <f aca="false">D358*E358</f>
        <v>0</v>
      </c>
      <c r="G358" s="16" t="n">
        <f aca="false">($A358=Premissas!$C$25)*Premissas!$C$34*Premissas!$C$14*(1+Premissas!$C$57)^C358</f>
        <v>0</v>
      </c>
      <c r="H358" s="16" t="n">
        <f aca="false">IF(AND($A358&gt;Premissas!$C$25,$A358&lt;Premissas!$C$27),Premissas!$C$35/MAX(1,Premissas!$C$26),0)</f>
        <v>0</v>
      </c>
      <c r="I358" s="35" t="n">
        <f aca="false">IF(AND($A358&gt;Premissas!$C$25,((YEAR($A358)-YEAR(Premissas!$C$25))*12+MONTH($A358)-MONTH(Premissas!$C$25))&lt;=Premissas!$C$32),((YEAR($A358)-YEAR(Premissas!$C$25))*12+MONTH($A358)-MONTH(Premissas!$C$25)),0)</f>
        <v>0</v>
      </c>
      <c r="J358" s="16" t="n">
        <f aca="false">IF(I358&gt;0,N357*(1+Premissas!$C$59),0)</f>
        <v>0</v>
      </c>
      <c r="K358" s="16" t="n">
        <f aca="false">J358*Premissas!$C$58</f>
        <v>0</v>
      </c>
      <c r="L358" s="16" t="n">
        <f aca="false">IF(I358&gt;0,J358/(Premissas!$C$32-I358+1),0)</f>
        <v>0</v>
      </c>
      <c r="M358" s="16" t="n">
        <f aca="false">K358+L358</f>
        <v>0</v>
      </c>
      <c r="N358" s="16" t="n">
        <f aca="false">IF($A358=Premissas!$C$25,Premissas!$C$13*E358,IF(I358&gt;0,J358-L358,0))</f>
        <v>0</v>
      </c>
      <c r="O358" s="37" t="n">
        <f aca="false">IF($A358&gt;=Premissas!$C$27,Premissas!$C$39*IF(((YEAR($A358)-YEAR(Premissas!$C$27))*12+MONTH($A358)-MONTH(Premissas!$C$27))&lt;Premissas!$C$41,Premissas!$C$42,1),0)</f>
        <v>0.62</v>
      </c>
      <c r="P358" s="16" t="n">
        <f aca="false">O358*Premissas!$C$38*Premissas!$C$40*(1+Premissas!$C$60)^((YEAR($A358)-YEAR(Premissas!$C$19))*12+MONTH($A358)-MONTH(Premissas!$C$19))</f>
        <v>13561.4099526965</v>
      </c>
      <c r="Q358" s="16" t="n">
        <f aca="false">P358*Premissas!$C$43</f>
        <v>2169.82559243145</v>
      </c>
      <c r="R358" s="16" t="n">
        <f aca="false">P358*Premissas!$C$44</f>
        <v>2712.28199053931</v>
      </c>
      <c r="S358" s="16" t="n">
        <f aca="false">IF($A358&gt;=Premissas!$C$25,Premissas!$C$45*(1+Premissas!$C$60)^((YEAR($A358)-YEAR(Premissas!$C$19))*12+MONTH($A358)-MONTH(Premissas!$C$19)),0)</f>
        <v>2377.52628904217</v>
      </c>
      <c r="T358" s="16" t="n">
        <f aca="false">IF($A358&gt;=Premissas!$C$27,Premissas!$C$46*(1+Premissas!$C$60)^((YEAR($A358)-YEAR(Premissas!$C$19))*12+MONTH($A358)-MONTH(Premissas!$C$19)),0)</f>
        <v>951.010515616868</v>
      </c>
      <c r="U358" s="16" t="n">
        <f aca="false">IF($A358&gt;=Premissas!$C$27,Premissas!$C$47*(1+Premissas!$C$60)^((YEAR($A358)-YEAR(Premissas!$C$19))*12+MONTH($A358)-MONTH(Premissas!$C$19)),0)</f>
        <v>475.505257808434</v>
      </c>
      <c r="V358" s="16" t="n">
        <f aca="false">IF($A358&gt;=Premissas!$C$27,MAX(0,P358-Q358-R358-S358)*Premissas!$C$49,0)</f>
        <v>1732.98842218799</v>
      </c>
      <c r="W358" s="16" t="n">
        <f aca="false">P358-Q358-R358-S358-T358-U358-V358</f>
        <v>3142.27188507032</v>
      </c>
      <c r="X358" s="16" t="n">
        <f aca="false">W358-F358-G358-H358-M358</f>
        <v>3142.27188507032</v>
      </c>
      <c r="Y358" s="16" t="n">
        <f aca="false">Y357+X358</f>
        <v>-258567.338182024</v>
      </c>
      <c r="Z358" s="16" t="n">
        <f aca="false">Premissas!$C$14*(1+Premissas!$C$57)^((YEAR(Premissas!$C$19)-YEAR(Premissas!$C$18))*12+MONTH(Premissas!$C$19)-MONTH(Premissas!$C$18))*(1+Premissas!$C$61)^((YEAR($A358)-YEAR(Premissas!$C$19))*12+MONTH($A358)-MONTH(Premissas!$C$19))</f>
        <v>2008840.24959628</v>
      </c>
      <c r="AA358" s="16" t="n">
        <f aca="false">IF($A358&gt;=Premissas!$C$25,Z358*(1-Premissas!$C$53)-N358-Premissas!$C$54*MAX(0,Z358*(1-Premissas!$C$53)-(Premissas!$C$14*(1+Premissas!$C$57)^((YEAR(Premissas!$C$25)-YEAR(Premissas!$C$18))*12+MONTH(Premissas!$C$25)-MONTH(Premissas!$C$18))*(1+Premissas!$C$34))),"")</f>
        <v>1686265.56893909</v>
      </c>
      <c r="AB358" s="16" t="n">
        <f aca="false">IF($A358&gt;=Premissas!$C$25,Y358+AA358,"")</f>
        <v>1427698.23075707</v>
      </c>
      <c r="AC358" s="20" t="n">
        <f aca="false">IF(AND($A358&gt;=Premissas!$C$27,W358&gt;=M358),$A358,"")</f>
        <v>57132</v>
      </c>
      <c r="AD358" s="20" t="str">
        <f aca="false">IF(AND($A358&gt;=Premissas!$C$27,Y358&gt;=0),$A358,"")</f>
        <v/>
      </c>
      <c r="AE358" s="20" t="n">
        <f aca="false">IF(AND($A358&gt;=Premissas!$C$25,N(AB358)&gt;=0),$A358,"")</f>
        <v>57132</v>
      </c>
    </row>
    <row r="359" customFormat="false" ht="15" hidden="false" customHeight="false" outlineLevel="0" collapsed="false">
      <c r="A359" s="20" t="n">
        <f aca="false">DATE(YEAR(A358),MONTH(A358)+1,1)</f>
        <v>57162</v>
      </c>
      <c r="B359" s="5" t="str">
        <f aca="false">IF($A359&lt;Premissas!$C$25,"Obra",IF($A359=Premissas!$C$25,"Chaves",IF($A359&lt;Premissas!$C$27,"Mobiliando","Airbnb")))</f>
        <v>Airbnb</v>
      </c>
      <c r="C359" s="35" t="n">
        <f aca="false">(YEAR($A359)-YEAR(Premissas!$C$18))*12+MONTH($A359)-MONTH(Premissas!$C$18)</f>
        <v>358</v>
      </c>
      <c r="D359" s="16" t="n">
        <f aca="false">($A359=Premissas!$C$19)*Premissas!$C$8+(($A359=EDATE(Premissas!$C$19,1))+($A359=EDATE(Premissas!$C$19,2)))*Premissas!$C$9+AND($A359&gt;=Premissas!$C$20,$A359&lt;EDATE(Premissas!$C$20,Premissas!$C$21))*Premissas!$C$10+(($A359=Premissas!$C$22)+($A359=Premissas!$C$23)+($A359=Premissas!$C$24))*Premissas!$C$11+($A359=Premissas!$C$25)*Premissas!$C$12</f>
        <v>0</v>
      </c>
      <c r="E359" s="36" t="n">
        <f aca="false">(1+Premissas!$C$57)^C359</f>
        <v>4.93967503519173</v>
      </c>
      <c r="F359" s="16" t="n">
        <f aca="false">D359*E359</f>
        <v>0</v>
      </c>
      <c r="G359" s="16" t="n">
        <f aca="false">($A359=Premissas!$C$25)*Premissas!$C$34*Premissas!$C$14*(1+Premissas!$C$57)^C359</f>
        <v>0</v>
      </c>
      <c r="H359" s="16" t="n">
        <f aca="false">IF(AND($A359&gt;Premissas!$C$25,$A359&lt;Premissas!$C$27),Premissas!$C$35/MAX(1,Premissas!$C$26),0)</f>
        <v>0</v>
      </c>
      <c r="I359" s="35" t="n">
        <f aca="false">IF(AND($A359&gt;Premissas!$C$25,((YEAR($A359)-YEAR(Premissas!$C$25))*12+MONTH($A359)-MONTH(Premissas!$C$25))&lt;=Premissas!$C$32),((YEAR($A359)-YEAR(Premissas!$C$25))*12+MONTH($A359)-MONTH(Premissas!$C$25)),0)</f>
        <v>0</v>
      </c>
      <c r="J359" s="16" t="n">
        <f aca="false">IF(I359&gt;0,N358*(1+Premissas!$C$59),0)</f>
        <v>0</v>
      </c>
      <c r="K359" s="16" t="n">
        <f aca="false">J359*Premissas!$C$58</f>
        <v>0</v>
      </c>
      <c r="L359" s="16" t="n">
        <f aca="false">IF(I359&gt;0,J359/(Premissas!$C$32-I359+1),0)</f>
        <v>0</v>
      </c>
      <c r="M359" s="16" t="n">
        <f aca="false">K359+L359</f>
        <v>0</v>
      </c>
      <c r="N359" s="16" t="n">
        <f aca="false">IF($A359=Premissas!$C$25,Premissas!$C$13*E359,IF(I359&gt;0,J359-L359,0))</f>
        <v>0</v>
      </c>
      <c r="O359" s="37" t="n">
        <f aca="false">IF($A359&gt;=Premissas!$C$27,Premissas!$C$39*IF(((YEAR($A359)-YEAR(Premissas!$C$27))*12+MONTH($A359)-MONTH(Premissas!$C$27))&lt;Premissas!$C$41,Premissas!$C$42,1),0)</f>
        <v>0.62</v>
      </c>
      <c r="P359" s="16" t="n">
        <f aca="false">O359*Premissas!$C$38*Premissas!$C$40*(1+Premissas!$C$60)^((YEAR($A359)-YEAR(Premissas!$C$19))*12+MONTH($A359)-MONTH(Premissas!$C$19))</f>
        <v>13605.8064799614</v>
      </c>
      <c r="Q359" s="16" t="n">
        <f aca="false">P359*Premissas!$C$43</f>
        <v>2176.92903679382</v>
      </c>
      <c r="R359" s="16" t="n">
        <f aca="false">P359*Premissas!$C$44</f>
        <v>2721.16129599228</v>
      </c>
      <c r="S359" s="16" t="n">
        <f aca="false">IF($A359&gt;=Premissas!$C$25,Premissas!$C$45*(1+Premissas!$C$60)^((YEAR($A359)-YEAR(Premissas!$C$19))*12+MONTH($A359)-MONTH(Premissas!$C$19)),0)</f>
        <v>2385.30969143783</v>
      </c>
      <c r="T359" s="16" t="n">
        <f aca="false">IF($A359&gt;=Premissas!$C$27,Premissas!$C$46*(1+Premissas!$C$60)^((YEAR($A359)-YEAR(Premissas!$C$19))*12+MONTH($A359)-MONTH(Premissas!$C$19)),0)</f>
        <v>954.123876575132</v>
      </c>
      <c r="U359" s="16" t="n">
        <f aca="false">IF($A359&gt;=Premissas!$C$27,Premissas!$C$47*(1+Premissas!$C$60)^((YEAR($A359)-YEAR(Premissas!$C$19))*12+MONTH($A359)-MONTH(Premissas!$C$19)),0)</f>
        <v>477.061938287566</v>
      </c>
      <c r="V359" s="16" t="n">
        <f aca="false">IF($A359&gt;=Premissas!$C$27,MAX(0,P359-Q359-R359-S359)*Premissas!$C$49,0)</f>
        <v>1738.6617753278</v>
      </c>
      <c r="W359" s="16" t="n">
        <f aca="false">P359-Q359-R359-S359-T359-U359-V359</f>
        <v>3152.55886554696</v>
      </c>
      <c r="X359" s="16" t="n">
        <f aca="false">W359-F359-G359-H359-M359</f>
        <v>3152.55886554696</v>
      </c>
      <c r="Y359" s="16" t="n">
        <f aca="false">Y358+X359</f>
        <v>-255414.779316477</v>
      </c>
      <c r="Z359" s="16" t="n">
        <f aca="false">Premissas!$C$14*(1+Premissas!$C$57)^((YEAR(Premissas!$C$19)-YEAR(Premissas!$C$18))*12+MONTH(Premissas!$C$19)-MONTH(Premissas!$C$18))*(1+Premissas!$C$61)^((YEAR($A359)-YEAR(Premissas!$C$19))*12+MONTH($A359)-MONTH(Premissas!$C$19))</f>
        <v>2017024.51343471</v>
      </c>
      <c r="AA359" s="16" t="n">
        <f aca="false">IF($A359&gt;=Premissas!$C$25,Z359*(1-Premissas!$C$53)-N359-Premissas!$C$54*MAX(0,Z359*(1-Premissas!$C$53)-(Premissas!$C$14*(1+Premissas!$C$57)^((YEAR(Premissas!$C$25)-YEAR(Premissas!$C$18))*12+MONTH(Premissas!$C$25)-MONTH(Premissas!$C$18))*(1+Premissas!$C$34))),"")</f>
        <v>1692804.795746</v>
      </c>
      <c r="AB359" s="16" t="n">
        <f aca="false">IF($A359&gt;=Premissas!$C$25,Y359+AA359,"")</f>
        <v>1437390.01642952</v>
      </c>
      <c r="AC359" s="20" t="n">
        <f aca="false">IF(AND($A359&gt;=Premissas!$C$27,W359&gt;=M359),$A359,"")</f>
        <v>57162</v>
      </c>
      <c r="AD359" s="20" t="str">
        <f aca="false">IF(AND($A359&gt;=Premissas!$C$27,Y359&gt;=0),$A359,"")</f>
        <v/>
      </c>
      <c r="AE359" s="20" t="n">
        <f aca="false">IF(AND($A359&gt;=Premissas!$C$25,N(AB359)&gt;=0),$A359,"")</f>
        <v>57162</v>
      </c>
    </row>
    <row r="360" customFormat="false" ht="15" hidden="false" customHeight="false" outlineLevel="0" collapsed="false">
      <c r="A360" s="20" t="n">
        <f aca="false">DATE(YEAR(A359),MONTH(A359)+1,1)</f>
        <v>57193</v>
      </c>
      <c r="B360" s="5" t="str">
        <f aca="false">IF($A360&lt;Premissas!$C$25,"Obra",IF($A360=Premissas!$C$25,"Chaves",IF($A360&lt;Premissas!$C$27,"Mobiliando","Airbnb")))</f>
        <v>Airbnb</v>
      </c>
      <c r="C360" s="35" t="n">
        <f aca="false">(YEAR($A360)-YEAR(Premissas!$C$18))*12+MONTH($A360)-MONTH(Premissas!$C$18)</f>
        <v>359</v>
      </c>
      <c r="D360" s="16" t="n">
        <f aca="false">($A360=Premissas!$C$19)*Premissas!$C$8+(($A360=EDATE(Premissas!$C$19,1))+($A360=EDATE(Premissas!$C$19,2)))*Premissas!$C$9+AND($A360&gt;=Premissas!$C$20,$A360&lt;EDATE(Premissas!$C$20,Premissas!$C$21))*Premissas!$C$10+(($A360=Premissas!$C$22)+($A360=Premissas!$C$23)+($A360=Premissas!$C$24))*Premissas!$C$11+($A360=Premissas!$C$25)*Premissas!$C$12</f>
        <v>0</v>
      </c>
      <c r="E360" s="36" t="n">
        <f aca="false">(1+Premissas!$C$57)^C360</f>
        <v>4.96176377469715</v>
      </c>
      <c r="F360" s="16" t="n">
        <f aca="false">D360*E360</f>
        <v>0</v>
      </c>
      <c r="G360" s="16" t="n">
        <f aca="false">($A360=Premissas!$C$25)*Premissas!$C$34*Premissas!$C$14*(1+Premissas!$C$57)^C360</f>
        <v>0</v>
      </c>
      <c r="H360" s="16" t="n">
        <f aca="false">IF(AND($A360&gt;Premissas!$C$25,$A360&lt;Premissas!$C$27),Premissas!$C$35/MAX(1,Premissas!$C$26),0)</f>
        <v>0</v>
      </c>
      <c r="I360" s="35" t="n">
        <f aca="false">IF(AND($A360&gt;Premissas!$C$25,((YEAR($A360)-YEAR(Premissas!$C$25))*12+MONTH($A360)-MONTH(Premissas!$C$25))&lt;=Premissas!$C$32),((YEAR($A360)-YEAR(Premissas!$C$25))*12+MONTH($A360)-MONTH(Premissas!$C$25)),0)</f>
        <v>0</v>
      </c>
      <c r="J360" s="16" t="n">
        <f aca="false">IF(I360&gt;0,N359*(1+Premissas!$C$59),0)</f>
        <v>0</v>
      </c>
      <c r="K360" s="16" t="n">
        <f aca="false">J360*Premissas!$C$58</f>
        <v>0</v>
      </c>
      <c r="L360" s="16" t="n">
        <f aca="false">IF(I360&gt;0,J360/(Premissas!$C$32-I360+1),0)</f>
        <v>0</v>
      </c>
      <c r="M360" s="16" t="n">
        <f aca="false">K360+L360</f>
        <v>0</v>
      </c>
      <c r="N360" s="16" t="n">
        <f aca="false">IF($A360=Premissas!$C$25,Premissas!$C$13*E360,IF(I360&gt;0,J360-L360,0))</f>
        <v>0</v>
      </c>
      <c r="O360" s="37" t="n">
        <f aca="false">IF($A360&gt;=Premissas!$C$27,Premissas!$C$39*IF(((YEAR($A360)-YEAR(Premissas!$C$27))*12+MONTH($A360)-MONTH(Premissas!$C$27))&lt;Premissas!$C$41,Premissas!$C$42,1),0)</f>
        <v>0.62</v>
      </c>
      <c r="P360" s="16" t="n">
        <f aca="false">O360*Premissas!$C$38*Premissas!$C$40*(1+Premissas!$C$60)^((YEAR($A360)-YEAR(Premissas!$C$19))*12+MONTH($A360)-MONTH(Premissas!$C$19))</f>
        <v>13650.3483499037</v>
      </c>
      <c r="Q360" s="16" t="n">
        <f aca="false">P360*Premissas!$C$43</f>
        <v>2184.0557359846</v>
      </c>
      <c r="R360" s="16" t="n">
        <f aca="false">P360*Premissas!$C$44</f>
        <v>2730.06966998075</v>
      </c>
      <c r="S360" s="16" t="n">
        <f aca="false">IF($A360&gt;=Premissas!$C$25,Premissas!$C$45*(1+Premissas!$C$60)^((YEAR($A360)-YEAR(Premissas!$C$19))*12+MONTH($A360)-MONTH(Premissas!$C$19)),0)</f>
        <v>2393.11857466756</v>
      </c>
      <c r="T360" s="16" t="n">
        <f aca="false">IF($A360&gt;=Premissas!$C$27,Premissas!$C$46*(1+Premissas!$C$60)^((YEAR($A360)-YEAR(Premissas!$C$19))*12+MONTH($A360)-MONTH(Premissas!$C$19)),0)</f>
        <v>957.247429867022</v>
      </c>
      <c r="U360" s="16" t="n">
        <f aca="false">IF($A360&gt;=Premissas!$C$27,Premissas!$C$47*(1+Premissas!$C$60)^((YEAR($A360)-YEAR(Premissas!$C$19))*12+MONTH($A360)-MONTH(Premissas!$C$19)),0)</f>
        <v>478.623714933511</v>
      </c>
      <c r="V360" s="16" t="n">
        <f aca="false">IF($A360&gt;=Premissas!$C$27,MAX(0,P360-Q360-R360-S360)*Premissas!$C$49,0)</f>
        <v>1744.35370154948</v>
      </c>
      <c r="W360" s="16" t="n">
        <f aca="false">P360-Q360-R360-S360-T360-U360-V360</f>
        <v>3162.87952292082</v>
      </c>
      <c r="X360" s="16" t="n">
        <f aca="false">W360-F360-G360-H360-M360</f>
        <v>3162.87952292082</v>
      </c>
      <c r="Y360" s="16" t="n">
        <f aca="false">Y359+X360</f>
        <v>-252251.899793556</v>
      </c>
      <c r="Z360" s="16" t="n">
        <f aca="false">Premissas!$C$14*(1+Premissas!$C$57)^((YEAR(Premissas!$C$19)-YEAR(Premissas!$C$18))*12+MONTH(Premissas!$C$19)-MONTH(Premissas!$C$18))*(1+Premissas!$C$61)^((YEAR($A360)-YEAR(Premissas!$C$19))*12+MONTH($A360)-MONTH(Premissas!$C$19))</f>
        <v>2025242.1209771</v>
      </c>
      <c r="AA360" s="16" t="n">
        <f aca="false">IF($A360&gt;=Premissas!$C$25,Z360*(1-Premissas!$C$53)-N360-Premissas!$C$54*MAX(0,Z360*(1-Premissas!$C$53)-(Premissas!$C$14*(1+Premissas!$C$57)^((YEAR(Premissas!$C$25)-YEAR(Premissas!$C$18))*12+MONTH(Premissas!$C$25)-MONTH(Premissas!$C$18))*(1+Premissas!$C$34))),"")</f>
        <v>1699370.66417237</v>
      </c>
      <c r="AB360" s="16" t="n">
        <f aca="false">IF($A360&gt;=Premissas!$C$25,Y360+AA360,"")</f>
        <v>1447118.76437881</v>
      </c>
      <c r="AC360" s="20" t="n">
        <f aca="false">IF(AND($A360&gt;=Premissas!$C$27,W360&gt;=M360),$A360,"")</f>
        <v>57193</v>
      </c>
      <c r="AD360" s="20" t="str">
        <f aca="false">IF(AND($A360&gt;=Premissas!$C$27,Y360&gt;=0),$A360,"")</f>
        <v/>
      </c>
      <c r="AE360" s="20" t="n">
        <f aca="false">IF(AND($A360&gt;=Premissas!$C$25,N(AB360)&gt;=0),$A360,"")</f>
        <v>57193</v>
      </c>
    </row>
    <row r="361" customFormat="false" ht="15" hidden="false" customHeight="false" outlineLevel="0" collapsed="false">
      <c r="A361" s="20" t="n">
        <f aca="false">DATE(YEAR(A360),MONTH(A360)+1,1)</f>
        <v>57224</v>
      </c>
      <c r="B361" s="5" t="str">
        <f aca="false">IF($A361&lt;Premissas!$C$25,"Obra",IF($A361=Premissas!$C$25,"Chaves",IF($A361&lt;Premissas!$C$27,"Mobiliando","Airbnb")))</f>
        <v>Airbnb</v>
      </c>
      <c r="C361" s="35" t="n">
        <f aca="false">(YEAR($A361)-YEAR(Premissas!$C$18))*12+MONTH($A361)-MONTH(Premissas!$C$18)</f>
        <v>360</v>
      </c>
      <c r="D361" s="16" t="n">
        <f aca="false">($A361=Premissas!$C$19)*Premissas!$C$8+(($A361=EDATE(Premissas!$C$19,1))+($A361=EDATE(Premissas!$C$19,2)))*Premissas!$C$9+AND($A361&gt;=Premissas!$C$20,$A361&lt;EDATE(Premissas!$C$20,Premissas!$C$21))*Premissas!$C$10+(($A361=Premissas!$C$22)+($A361=Premissas!$C$23)+($A361=Premissas!$C$24))*Premissas!$C$11+($A361=Premissas!$C$25)*Premissas!$C$12</f>
        <v>0</v>
      </c>
      <c r="E361" s="36" t="n">
        <f aca="false">(1+Premissas!$C$57)^C361</f>
        <v>4.98395128839508</v>
      </c>
      <c r="F361" s="16" t="n">
        <f aca="false">D361*E361</f>
        <v>0</v>
      </c>
      <c r="G361" s="16" t="n">
        <f aca="false">($A361=Premissas!$C$25)*Premissas!$C$34*Premissas!$C$14*(1+Premissas!$C$57)^C361</f>
        <v>0</v>
      </c>
      <c r="H361" s="16" t="n">
        <f aca="false">IF(AND($A361&gt;Premissas!$C$25,$A361&lt;Premissas!$C$27),Premissas!$C$35/MAX(1,Premissas!$C$26),0)</f>
        <v>0</v>
      </c>
      <c r="I361" s="35" t="n">
        <f aca="false">IF(AND($A361&gt;Premissas!$C$25,((YEAR($A361)-YEAR(Premissas!$C$25))*12+MONTH($A361)-MONTH(Premissas!$C$25))&lt;=Premissas!$C$32),((YEAR($A361)-YEAR(Premissas!$C$25))*12+MONTH($A361)-MONTH(Premissas!$C$25)),0)</f>
        <v>0</v>
      </c>
      <c r="J361" s="16" t="n">
        <f aca="false">IF(I361&gt;0,N360*(1+Premissas!$C$59),0)</f>
        <v>0</v>
      </c>
      <c r="K361" s="16" t="n">
        <f aca="false">J361*Premissas!$C$58</f>
        <v>0</v>
      </c>
      <c r="L361" s="16" t="n">
        <f aca="false">IF(I361&gt;0,J361/(Premissas!$C$32-I361+1),0)</f>
        <v>0</v>
      </c>
      <c r="M361" s="16" t="n">
        <f aca="false">K361+L361</f>
        <v>0</v>
      </c>
      <c r="N361" s="16" t="n">
        <f aca="false">IF($A361=Premissas!$C$25,Premissas!$C$13*E361,IF(I361&gt;0,J361-L361,0))</f>
        <v>0</v>
      </c>
      <c r="O361" s="37" t="n">
        <f aca="false">IF($A361&gt;=Premissas!$C$27,Premissas!$C$39*IF(((YEAR($A361)-YEAR(Premissas!$C$27))*12+MONTH($A361)-MONTH(Premissas!$C$27))&lt;Premissas!$C$41,Premissas!$C$42,1),0)</f>
        <v>0.62</v>
      </c>
      <c r="P361" s="16" t="n">
        <f aca="false">O361*Premissas!$C$38*Premissas!$C$40*(1+Premissas!$C$60)^((YEAR($A361)-YEAR(Premissas!$C$19))*12+MONTH($A361)-MONTH(Premissas!$C$19))</f>
        <v>13695.0360383377</v>
      </c>
      <c r="Q361" s="16" t="n">
        <f aca="false">P361*Premissas!$C$43</f>
        <v>2191.20576613403</v>
      </c>
      <c r="R361" s="16" t="n">
        <f aca="false">P361*Premissas!$C$44</f>
        <v>2739.00720766754</v>
      </c>
      <c r="S361" s="16" t="n">
        <f aca="false">IF($A361&gt;=Premissas!$C$25,Premissas!$C$45*(1+Premissas!$C$60)^((YEAR($A361)-YEAR(Premissas!$C$19))*12+MONTH($A361)-MONTH(Premissas!$C$19)),0)</f>
        <v>2400.95302214896</v>
      </c>
      <c r="T361" s="16" t="n">
        <f aca="false">IF($A361&gt;=Premissas!$C$27,Premissas!$C$46*(1+Premissas!$C$60)^((YEAR($A361)-YEAR(Premissas!$C$19))*12+MONTH($A361)-MONTH(Premissas!$C$19)),0)</f>
        <v>960.381208859586</v>
      </c>
      <c r="U361" s="16" t="n">
        <f aca="false">IF($A361&gt;=Premissas!$C$27,Premissas!$C$47*(1+Premissas!$C$60)^((YEAR($A361)-YEAR(Premissas!$C$19))*12+MONTH($A361)-MONTH(Premissas!$C$19)),0)</f>
        <v>480.190604429793</v>
      </c>
      <c r="V361" s="16" t="n">
        <f aca="false">IF($A361&gt;=Premissas!$C$27,MAX(0,P361-Q361-R361-S361)*Premissas!$C$49,0)</f>
        <v>1750.06426165647</v>
      </c>
      <c r="W361" s="16" t="n">
        <f aca="false">P361-Q361-R361-S361-T361-U361-V361</f>
        <v>3173.23396744131</v>
      </c>
      <c r="X361" s="16" t="n">
        <f aca="false">W361-F361-G361-H361-M361</f>
        <v>3173.23396744131</v>
      </c>
      <c r="Y361" s="16" t="n">
        <f aca="false">Y360+X361</f>
        <v>-249078.665826115</v>
      </c>
      <c r="Z361" s="16" t="n">
        <f aca="false">Premissas!$C$14*(1+Premissas!$C$57)^((YEAR(Premissas!$C$19)-YEAR(Premissas!$C$18))*12+MONTH(Premissas!$C$19)-MONTH(Premissas!$C$18))*(1+Premissas!$C$61)^((YEAR($A361)-YEAR(Premissas!$C$19))*12+MONTH($A361)-MONTH(Premissas!$C$19))</f>
        <v>2033493.20806982</v>
      </c>
      <c r="AA361" s="16" t="n">
        <f aca="false">IF($A361&gt;=Premissas!$C$25,Z361*(1-Premissas!$C$53)-N361-Premissas!$C$54*MAX(0,Z361*(1-Premissas!$C$53)-(Premissas!$C$14*(1+Premissas!$C$57)^((YEAR(Premissas!$C$25)-YEAR(Premissas!$C$18))*12+MONTH(Premissas!$C$25)-MONTH(Premissas!$C$18))*(1+Premissas!$C$34))),"")</f>
        <v>1705963.28275945</v>
      </c>
      <c r="AB361" s="16" t="n">
        <f aca="false">IF($A361&gt;=Premissas!$C$25,Y361+AA361,"")</f>
        <v>1456884.61693333</v>
      </c>
      <c r="AC361" s="20" t="n">
        <f aca="false">IF(AND($A361&gt;=Premissas!$C$27,W361&gt;=M361),$A361,"")</f>
        <v>57224</v>
      </c>
      <c r="AD361" s="20" t="str">
        <f aca="false">IF(AND($A361&gt;=Premissas!$C$27,Y361&gt;=0),$A361,"")</f>
        <v/>
      </c>
      <c r="AE361" s="20" t="n">
        <f aca="false">IF(AND($A361&gt;=Premissas!$C$25,N(AB361)&gt;=0),$A361,"")</f>
        <v>57224</v>
      </c>
    </row>
    <row r="362" customFormat="false" ht="15" hidden="false" customHeight="false" outlineLevel="0" collapsed="false">
      <c r="A362" s="20" t="n">
        <f aca="false">DATE(YEAR(A361),MONTH(A361)+1,1)</f>
        <v>57254</v>
      </c>
      <c r="B362" s="5" t="str">
        <f aca="false">IF($A362&lt;Premissas!$C$25,"Obra",IF($A362=Premissas!$C$25,"Chaves",IF($A362&lt;Premissas!$C$27,"Mobiliando","Airbnb")))</f>
        <v>Airbnb</v>
      </c>
      <c r="C362" s="35" t="n">
        <f aca="false">(YEAR($A362)-YEAR(Premissas!$C$18))*12+MONTH($A362)-MONTH(Premissas!$C$18)</f>
        <v>361</v>
      </c>
      <c r="D362" s="16" t="n">
        <f aca="false">($A362=Premissas!$C$19)*Premissas!$C$8+(($A362=EDATE(Premissas!$C$19,1))+($A362=EDATE(Premissas!$C$19,2)))*Premissas!$C$9+AND($A362&gt;=Premissas!$C$20,$A362&lt;EDATE(Premissas!$C$20,Premissas!$C$21))*Premissas!$C$10+(($A362=Premissas!$C$22)+($A362=Premissas!$C$23)+($A362=Premissas!$C$24))*Premissas!$C$11+($A362=Premissas!$C$25)*Premissas!$C$12</f>
        <v>0</v>
      </c>
      <c r="E362" s="36" t="n">
        <f aca="false">(1+Premissas!$C$57)^C362</f>
        <v>5.00623801797399</v>
      </c>
      <c r="F362" s="16" t="n">
        <f aca="false">D362*E362</f>
        <v>0</v>
      </c>
      <c r="G362" s="16" t="n">
        <f aca="false">($A362=Premissas!$C$25)*Premissas!$C$34*Premissas!$C$14*(1+Premissas!$C$57)^C362</f>
        <v>0</v>
      </c>
      <c r="H362" s="16" t="n">
        <f aca="false">IF(AND($A362&gt;Premissas!$C$25,$A362&lt;Premissas!$C$27),Premissas!$C$35/MAX(1,Premissas!$C$26),0)</f>
        <v>0</v>
      </c>
      <c r="I362" s="35" t="n">
        <f aca="false">IF(AND($A362&gt;Premissas!$C$25,((YEAR($A362)-YEAR(Premissas!$C$25))*12+MONTH($A362)-MONTH(Premissas!$C$25))&lt;=Premissas!$C$32),((YEAR($A362)-YEAR(Premissas!$C$25))*12+MONTH($A362)-MONTH(Premissas!$C$25)),0)</f>
        <v>0</v>
      </c>
      <c r="J362" s="16" t="n">
        <f aca="false">IF(I362&gt;0,N361*(1+Premissas!$C$59),0)</f>
        <v>0</v>
      </c>
      <c r="K362" s="16" t="n">
        <f aca="false">J362*Premissas!$C$58</f>
        <v>0</v>
      </c>
      <c r="L362" s="16" t="n">
        <f aca="false">IF(I362&gt;0,J362/(Premissas!$C$32-I362+1),0)</f>
        <v>0</v>
      </c>
      <c r="M362" s="16" t="n">
        <f aca="false">K362+L362</f>
        <v>0</v>
      </c>
      <c r="N362" s="16" t="n">
        <f aca="false">IF($A362=Premissas!$C$25,Premissas!$C$13*E362,IF(I362&gt;0,J362-L362,0))</f>
        <v>0</v>
      </c>
      <c r="O362" s="37" t="n">
        <f aca="false">IF($A362&gt;=Premissas!$C$27,Premissas!$C$39*IF(((YEAR($A362)-YEAR(Premissas!$C$27))*12+MONTH($A362)-MONTH(Premissas!$C$27))&lt;Premissas!$C$41,Premissas!$C$42,1),0)</f>
        <v>0.62</v>
      </c>
      <c r="P362" s="16" t="n">
        <f aca="false">O362*Premissas!$C$38*Premissas!$C$40*(1+Premissas!$C$60)^((YEAR($A362)-YEAR(Premissas!$C$19))*12+MONTH($A362)-MONTH(Premissas!$C$19))</f>
        <v>13739.870022635</v>
      </c>
      <c r="Q362" s="16" t="n">
        <f aca="false">P362*Premissas!$C$43</f>
        <v>2198.37920362161</v>
      </c>
      <c r="R362" s="16" t="n">
        <f aca="false">P362*Premissas!$C$44</f>
        <v>2747.97400452701</v>
      </c>
      <c r="S362" s="16" t="n">
        <f aca="false">IF($A362&gt;=Premissas!$C$25,Premissas!$C$45*(1+Premissas!$C$60)^((YEAR($A362)-YEAR(Premissas!$C$19))*12+MONTH($A362)-MONTH(Premissas!$C$19)),0)</f>
        <v>2408.81311757276</v>
      </c>
      <c r="T362" s="16" t="n">
        <f aca="false">IF($A362&gt;=Premissas!$C$27,Premissas!$C$46*(1+Premissas!$C$60)^((YEAR($A362)-YEAR(Premissas!$C$19))*12+MONTH($A362)-MONTH(Premissas!$C$19)),0)</f>
        <v>963.525247029106</v>
      </c>
      <c r="U362" s="16" t="n">
        <f aca="false">IF($A362&gt;=Premissas!$C$27,Premissas!$C$47*(1+Premissas!$C$60)^((YEAR($A362)-YEAR(Premissas!$C$19))*12+MONTH($A362)-MONTH(Premissas!$C$19)),0)</f>
        <v>481.762623514553</v>
      </c>
      <c r="V362" s="16" t="n">
        <f aca="false">IF($A362&gt;=Premissas!$C$27,MAX(0,P362-Q362-R362-S362)*Premissas!$C$49,0)</f>
        <v>1755.79351665126</v>
      </c>
      <c r="W362" s="16" t="n">
        <f aca="false">P362-Q362-R362-S362-T362-U362-V362</f>
        <v>3183.62230971875</v>
      </c>
      <c r="X362" s="16" t="n">
        <f aca="false">W362-F362-G362-H362-M362</f>
        <v>3183.62230971875</v>
      </c>
      <c r="Y362" s="16" t="n">
        <f aca="false">Y361+X362</f>
        <v>-245895.043516396</v>
      </c>
      <c r="Z362" s="16" t="n">
        <f aca="false">Premissas!$C$14*(1+Premissas!$C$57)^((YEAR(Premissas!$C$19)-YEAR(Premissas!$C$18))*12+MONTH(Premissas!$C$19)-MONTH(Premissas!$C$18))*(1+Premissas!$C$61)^((YEAR($A362)-YEAR(Premissas!$C$19))*12+MONTH($A362)-MONTH(Premissas!$C$19))</f>
        <v>2041777.9111127</v>
      </c>
      <c r="AA362" s="16" t="n">
        <f aca="false">IF($A362&gt;=Premissas!$C$25,Z362*(1-Premissas!$C$53)-N362-Premissas!$C$54*MAX(0,Z362*(1-Premissas!$C$53)-(Premissas!$C$14*(1+Premissas!$C$57)^((YEAR(Premissas!$C$25)-YEAR(Premissas!$C$18))*12+MONTH(Premissas!$C$25)-MONTH(Premissas!$C$18))*(1+Premissas!$C$34))),"")</f>
        <v>1712582.76049071</v>
      </c>
      <c r="AB362" s="16" t="n">
        <f aca="false">IF($A362&gt;=Premissas!$C$25,Y362+AA362,"")</f>
        <v>1466687.71697432</v>
      </c>
      <c r="AC362" s="20" t="n">
        <f aca="false">IF(AND($A362&gt;=Premissas!$C$27,W362&gt;=M362),$A362,"")</f>
        <v>57254</v>
      </c>
      <c r="AD362" s="20" t="str">
        <f aca="false">IF(AND($A362&gt;=Premissas!$C$27,Y362&gt;=0),$A362,"")</f>
        <v/>
      </c>
      <c r="AE362" s="20" t="n">
        <f aca="false">IF(AND($A362&gt;=Premissas!$C$25,N(AB362)&gt;=0),$A362,"")</f>
        <v>57254</v>
      </c>
    </row>
    <row r="363" customFormat="false" ht="15" hidden="false" customHeight="false" outlineLevel="0" collapsed="false">
      <c r="A363" s="20" t="n">
        <f aca="false">DATE(YEAR(A362),MONTH(A362)+1,1)</f>
        <v>57285</v>
      </c>
      <c r="B363" s="5" t="str">
        <f aca="false">IF($A363&lt;Premissas!$C$25,"Obra",IF($A363=Premissas!$C$25,"Chaves",IF($A363&lt;Premissas!$C$27,"Mobiliando","Airbnb")))</f>
        <v>Airbnb</v>
      </c>
      <c r="C363" s="35" t="n">
        <f aca="false">(YEAR($A363)-YEAR(Premissas!$C$18))*12+MONTH($A363)-MONTH(Premissas!$C$18)</f>
        <v>362</v>
      </c>
      <c r="D363" s="16" t="n">
        <f aca="false">($A363=Premissas!$C$19)*Premissas!$C$8+(($A363=EDATE(Premissas!$C$19,1))+($A363=EDATE(Premissas!$C$19,2)))*Premissas!$C$9+AND($A363&gt;=Premissas!$C$20,$A363&lt;EDATE(Premissas!$C$20,Premissas!$C$21))*Premissas!$C$10+(($A363=Premissas!$C$22)+($A363=Premissas!$C$23)+($A363=Premissas!$C$24))*Premissas!$C$11+($A363=Premissas!$C$25)*Premissas!$C$12</f>
        <v>0</v>
      </c>
      <c r="E363" s="36" t="n">
        <f aca="false">(1+Premissas!$C$57)^C363</f>
        <v>5.02862440709743</v>
      </c>
      <c r="F363" s="16" t="n">
        <f aca="false">D363*E363</f>
        <v>0</v>
      </c>
      <c r="G363" s="16" t="n">
        <f aca="false">($A363=Premissas!$C$25)*Premissas!$C$34*Premissas!$C$14*(1+Premissas!$C$57)^C363</f>
        <v>0</v>
      </c>
      <c r="H363" s="16" t="n">
        <f aca="false">IF(AND($A363&gt;Premissas!$C$25,$A363&lt;Premissas!$C$27),Premissas!$C$35/MAX(1,Premissas!$C$26),0)</f>
        <v>0</v>
      </c>
      <c r="I363" s="35" t="n">
        <f aca="false">IF(AND($A363&gt;Premissas!$C$25,((YEAR($A363)-YEAR(Premissas!$C$25))*12+MONTH($A363)-MONTH(Premissas!$C$25))&lt;=Premissas!$C$32),((YEAR($A363)-YEAR(Premissas!$C$25))*12+MONTH($A363)-MONTH(Premissas!$C$25)),0)</f>
        <v>0</v>
      </c>
      <c r="J363" s="16" t="n">
        <f aca="false">IF(I363&gt;0,N362*(1+Premissas!$C$59),0)</f>
        <v>0</v>
      </c>
      <c r="K363" s="16" t="n">
        <f aca="false">J363*Premissas!$C$58</f>
        <v>0</v>
      </c>
      <c r="L363" s="16" t="n">
        <f aca="false">IF(I363&gt;0,J363/(Premissas!$C$32-I363+1),0)</f>
        <v>0</v>
      </c>
      <c r="M363" s="16" t="n">
        <f aca="false">K363+L363</f>
        <v>0</v>
      </c>
      <c r="N363" s="16" t="n">
        <f aca="false">IF($A363=Premissas!$C$25,Premissas!$C$13*E363,IF(I363&gt;0,J363-L363,0))</f>
        <v>0</v>
      </c>
      <c r="O363" s="37" t="n">
        <f aca="false">IF($A363&gt;=Premissas!$C$27,Premissas!$C$39*IF(((YEAR($A363)-YEAR(Premissas!$C$27))*12+MONTH($A363)-MONTH(Premissas!$C$27))&lt;Premissas!$C$41,Premissas!$C$42,1),0)</f>
        <v>0.62</v>
      </c>
      <c r="P363" s="16" t="n">
        <f aca="false">O363*Premissas!$C$38*Premissas!$C$40*(1+Premissas!$C$60)^((YEAR($A363)-YEAR(Premissas!$C$19))*12+MONTH($A363)-MONTH(Premissas!$C$19))</f>
        <v>13784.8507817304</v>
      </c>
      <c r="Q363" s="16" t="n">
        <f aca="false">P363*Premissas!$C$43</f>
        <v>2205.57612507686</v>
      </c>
      <c r="R363" s="16" t="n">
        <f aca="false">P363*Premissas!$C$44</f>
        <v>2756.97015634608</v>
      </c>
      <c r="S363" s="16" t="n">
        <f aca="false">IF($A363&gt;=Premissas!$C$25,Premissas!$C$45*(1+Premissas!$C$60)^((YEAR($A363)-YEAR(Premissas!$C$19))*12+MONTH($A363)-MONTH(Premissas!$C$19)),0)</f>
        <v>2416.69894490364</v>
      </c>
      <c r="T363" s="16" t="n">
        <f aca="false">IF($A363&gt;=Premissas!$C$27,Premissas!$C$46*(1+Premissas!$C$60)^((YEAR($A363)-YEAR(Premissas!$C$19))*12+MONTH($A363)-MONTH(Premissas!$C$19)),0)</f>
        <v>966.679577961458</v>
      </c>
      <c r="U363" s="16" t="n">
        <f aca="false">IF($A363&gt;=Premissas!$C$27,Premissas!$C$47*(1+Premissas!$C$60)^((YEAR($A363)-YEAR(Premissas!$C$19))*12+MONTH($A363)-MONTH(Premissas!$C$19)),0)</f>
        <v>483.339788980729</v>
      </c>
      <c r="V363" s="16" t="n">
        <f aca="false">IF($A363&gt;=Premissas!$C$27,MAX(0,P363-Q363-R363-S363)*Premissas!$C$49,0)</f>
        <v>1761.54152773605</v>
      </c>
      <c r="W363" s="16" t="n">
        <f aca="false">P363-Q363-R363-S363-T363-U363-V363</f>
        <v>3194.04466072557</v>
      </c>
      <c r="X363" s="16" t="n">
        <f aca="false">W363-F363-G363-H363-M363</f>
        <v>3194.04466072557</v>
      </c>
      <c r="Y363" s="16" t="n">
        <f aca="false">Y362+X363</f>
        <v>-242700.99885567</v>
      </c>
      <c r="Z363" s="16" t="n">
        <f aca="false">Premissas!$C$14*(1+Premissas!$C$57)^((YEAR(Premissas!$C$19)-YEAR(Premissas!$C$18))*12+MONTH(Premissas!$C$19)-MONTH(Premissas!$C$18))*(1+Premissas!$C$61)^((YEAR($A363)-YEAR(Premissas!$C$19))*12+MONTH($A363)-MONTH(Premissas!$C$19))</f>
        <v>2050096.36706129</v>
      </c>
      <c r="AA363" s="16" t="n">
        <f aca="false">IF($A363&gt;=Premissas!$C$25,Z363*(1-Premissas!$C$53)-N363-Premissas!$C$54*MAX(0,Z363*(1-Premissas!$C$53)-(Premissas!$C$14*(1+Premissas!$C$57)^((YEAR(Premissas!$C$25)-YEAR(Premissas!$C$18))*12+MONTH(Premissas!$C$25)-MONTH(Premissas!$C$18))*(1+Premissas!$C$34))),"")</f>
        <v>1719229.20679364</v>
      </c>
      <c r="AB363" s="16" t="n">
        <f aca="false">IF($A363&gt;=Premissas!$C$25,Y363+AA363,"")</f>
        <v>1476528.20793797</v>
      </c>
      <c r="AC363" s="20" t="n">
        <f aca="false">IF(AND($A363&gt;=Premissas!$C$27,W363&gt;=M363),$A363,"")</f>
        <v>57285</v>
      </c>
      <c r="AD363" s="20" t="str">
        <f aca="false">IF(AND($A363&gt;=Premissas!$C$27,Y363&gt;=0),$A363,"")</f>
        <v/>
      </c>
      <c r="AE363" s="20" t="n">
        <f aca="false">IF(AND($A363&gt;=Premissas!$C$25,N(AB363)&gt;=0),$A363,"")</f>
        <v>57285</v>
      </c>
    </row>
    <row r="364" customFormat="false" ht="15" hidden="false" customHeight="false" outlineLevel="0" collapsed="false">
      <c r="A364" s="20" t="n">
        <f aca="false">DATE(YEAR(A363),MONTH(A363)+1,1)</f>
        <v>57315</v>
      </c>
      <c r="B364" s="5" t="str">
        <f aca="false">IF($A364&lt;Premissas!$C$25,"Obra",IF($A364=Premissas!$C$25,"Chaves",IF($A364&lt;Premissas!$C$27,"Mobiliando","Airbnb")))</f>
        <v>Airbnb</v>
      </c>
      <c r="C364" s="35" t="n">
        <f aca="false">(YEAR($A364)-YEAR(Premissas!$C$18))*12+MONTH($A364)-MONTH(Premissas!$C$18)</f>
        <v>363</v>
      </c>
      <c r="D364" s="16" t="n">
        <f aca="false">($A364=Premissas!$C$19)*Premissas!$C$8+(($A364=EDATE(Premissas!$C$19,1))+($A364=EDATE(Premissas!$C$19,2)))*Premissas!$C$9+AND($A364&gt;=Premissas!$C$20,$A364&lt;EDATE(Premissas!$C$20,Premissas!$C$21))*Premissas!$C$10+(($A364=Premissas!$C$22)+($A364=Premissas!$C$23)+($A364=Premissas!$C$24))*Premissas!$C$11+($A364=Premissas!$C$25)*Premissas!$C$12</f>
        <v>0</v>
      </c>
      <c r="E364" s="36" t="n">
        <f aca="false">(1+Premissas!$C$57)^C364</f>
        <v>5.05111090141286</v>
      </c>
      <c r="F364" s="16" t="n">
        <f aca="false">D364*E364</f>
        <v>0</v>
      </c>
      <c r="G364" s="16" t="n">
        <f aca="false">($A364=Premissas!$C$25)*Premissas!$C$34*Premissas!$C$14*(1+Premissas!$C$57)^C364</f>
        <v>0</v>
      </c>
      <c r="H364" s="16" t="n">
        <f aca="false">IF(AND($A364&gt;Premissas!$C$25,$A364&lt;Premissas!$C$27),Premissas!$C$35/MAX(1,Premissas!$C$26),0)</f>
        <v>0</v>
      </c>
      <c r="I364" s="35" t="n">
        <f aca="false">IF(AND($A364&gt;Premissas!$C$25,((YEAR($A364)-YEAR(Premissas!$C$25))*12+MONTH($A364)-MONTH(Premissas!$C$25))&lt;=Premissas!$C$32),((YEAR($A364)-YEAR(Premissas!$C$25))*12+MONTH($A364)-MONTH(Premissas!$C$25)),0)</f>
        <v>0</v>
      </c>
      <c r="J364" s="16" t="n">
        <f aca="false">IF(I364&gt;0,N363*(1+Premissas!$C$59),0)</f>
        <v>0</v>
      </c>
      <c r="K364" s="16" t="n">
        <f aca="false">J364*Premissas!$C$58</f>
        <v>0</v>
      </c>
      <c r="L364" s="16" t="n">
        <f aca="false">IF(I364&gt;0,J364/(Premissas!$C$32-I364+1),0)</f>
        <v>0</v>
      </c>
      <c r="M364" s="16" t="n">
        <f aca="false">K364+L364</f>
        <v>0</v>
      </c>
      <c r="N364" s="16" t="n">
        <f aca="false">IF($A364=Premissas!$C$25,Premissas!$C$13*E364,IF(I364&gt;0,J364-L364,0))</f>
        <v>0</v>
      </c>
      <c r="O364" s="37" t="n">
        <f aca="false">IF($A364&gt;=Premissas!$C$27,Premissas!$C$39*IF(((YEAR($A364)-YEAR(Premissas!$C$27))*12+MONTH($A364)-MONTH(Premissas!$C$27))&lt;Premissas!$C$41,Premissas!$C$42,1),0)</f>
        <v>0.62</v>
      </c>
      <c r="P364" s="16" t="n">
        <f aca="false">O364*Premissas!$C$38*Premissas!$C$40*(1+Premissas!$C$60)^((YEAR($A364)-YEAR(Premissas!$C$19))*12+MONTH($A364)-MONTH(Premissas!$C$19))</f>
        <v>13829.9787961262</v>
      </c>
      <c r="Q364" s="16" t="n">
        <f aca="false">P364*Premissas!$C$43</f>
        <v>2212.79660738019</v>
      </c>
      <c r="R364" s="16" t="n">
        <f aca="false">P364*Premissas!$C$44</f>
        <v>2765.99575922524</v>
      </c>
      <c r="S364" s="16" t="n">
        <f aca="false">IF($A364&gt;=Premissas!$C$25,Premissas!$C$45*(1+Premissas!$C$60)^((YEAR($A364)-YEAR(Premissas!$C$19))*12+MONTH($A364)-MONTH(Premissas!$C$19)),0)</f>
        <v>2424.61058838117</v>
      </c>
      <c r="T364" s="16" t="n">
        <f aca="false">IF($A364&gt;=Premissas!$C$27,Premissas!$C$46*(1+Premissas!$C$60)^((YEAR($A364)-YEAR(Premissas!$C$19))*12+MONTH($A364)-MONTH(Premissas!$C$19)),0)</f>
        <v>969.84423535247</v>
      </c>
      <c r="U364" s="16" t="n">
        <f aca="false">IF($A364&gt;=Premissas!$C$27,Premissas!$C$47*(1+Premissas!$C$60)^((YEAR($A364)-YEAR(Premissas!$C$19))*12+MONTH($A364)-MONTH(Premissas!$C$19)),0)</f>
        <v>484.922117676235</v>
      </c>
      <c r="V364" s="16" t="n">
        <f aca="false">IF($A364&gt;=Premissas!$C$27,MAX(0,P364-Q364-R364-S364)*Premissas!$C$49,0)</f>
        <v>1767.30835631339</v>
      </c>
      <c r="W364" s="16" t="n">
        <f aca="false">P364-Q364-R364-S364-T364-U364-V364</f>
        <v>3204.50113179751</v>
      </c>
      <c r="X364" s="16" t="n">
        <f aca="false">W364-F364-G364-H364-M364</f>
        <v>3204.50113179751</v>
      </c>
      <c r="Y364" s="16" t="n">
        <f aca="false">Y363+X364</f>
        <v>-239496.497723873</v>
      </c>
      <c r="Z364" s="16" t="n">
        <f aca="false">Premissas!$C$14*(1+Premissas!$C$57)^((YEAR(Premissas!$C$19)-YEAR(Premissas!$C$18))*12+MONTH(Premissas!$C$19)-MONTH(Premissas!$C$18))*(1+Premissas!$C$61)^((YEAR($A364)-YEAR(Premissas!$C$19))*12+MONTH($A364)-MONTH(Premissas!$C$19))</f>
        <v>2058448.71342911</v>
      </c>
      <c r="AA364" s="16" t="n">
        <f aca="false">IF($A364&gt;=Premissas!$C$25,Z364*(1-Premissas!$C$53)-N364-Premissas!$C$54*MAX(0,Z364*(1-Premissas!$C$53)-(Premissas!$C$14*(1+Premissas!$C$57)^((YEAR(Premissas!$C$25)-YEAR(Premissas!$C$18))*12+MONTH(Premissas!$C$25)-MONTH(Premissas!$C$18))*(1+Premissas!$C$34))),"")</f>
        <v>1725902.73154152</v>
      </c>
      <c r="AB364" s="16" t="n">
        <f aca="false">IF($A364&gt;=Premissas!$C$25,Y364+AA364,"")</f>
        <v>1486406.23381765</v>
      </c>
      <c r="AC364" s="20" t="n">
        <f aca="false">IF(AND($A364&gt;=Premissas!$C$27,W364&gt;=M364),$A364,"")</f>
        <v>57315</v>
      </c>
      <c r="AD364" s="20" t="str">
        <f aca="false">IF(AND($A364&gt;=Premissas!$C$27,Y364&gt;=0),$A364,"")</f>
        <v/>
      </c>
      <c r="AE364" s="20" t="n">
        <f aca="false">IF(AND($A364&gt;=Premissas!$C$25,N(AB364)&gt;=0),$A364,"")</f>
        <v>57315</v>
      </c>
    </row>
    <row r="365" customFormat="false" ht="15" hidden="false" customHeight="false" outlineLevel="0" collapsed="false">
      <c r="A365" s="29" t="n">
        <f aca="false">DATE(YEAR(A364),MONTH(A364)+1,1)</f>
        <v>57346</v>
      </c>
      <c r="B365" s="30" t="str">
        <f aca="false">IF($A365&lt;Premissas!$C$25,"Obra",IF($A365=Premissas!$C$25,"Chaves",IF($A365&lt;Premissas!$C$27,"Mobiliando","Airbnb")))</f>
        <v>Airbnb</v>
      </c>
      <c r="C365" s="31" t="n">
        <f aca="false">(YEAR($A365)-YEAR(Premissas!$C$18))*12+MONTH($A365)-MONTH(Premissas!$C$18)</f>
        <v>364</v>
      </c>
      <c r="D365" s="32" t="n">
        <f aca="false">($A365=Premissas!$C$19)*Premissas!$C$8+(($A365=EDATE(Premissas!$C$19,1))+($A365=EDATE(Premissas!$C$19,2)))*Premissas!$C$9+AND($A365&gt;=Premissas!$C$20,$A365&lt;EDATE(Premissas!$C$20,Premissas!$C$21))*Premissas!$C$10+(($A365=Premissas!$C$22)+($A365=Premissas!$C$23)+($A365=Premissas!$C$24))*Premissas!$C$11+($A365=Premissas!$C$25)*Premissas!$C$12</f>
        <v>0</v>
      </c>
      <c r="E365" s="33" t="n">
        <f aca="false">(1+Premissas!$C$57)^C365</f>
        <v>5.07369794856057</v>
      </c>
      <c r="F365" s="32" t="n">
        <f aca="false">D365*E365</f>
        <v>0</v>
      </c>
      <c r="G365" s="32" t="n">
        <f aca="false">($A365=Premissas!$C$25)*Premissas!$C$34*Premissas!$C$14*(1+Premissas!$C$57)^C365</f>
        <v>0</v>
      </c>
      <c r="H365" s="32" t="n">
        <f aca="false">IF(AND($A365&gt;Premissas!$C$25,$A365&lt;Premissas!$C$27),Premissas!$C$35/MAX(1,Premissas!$C$26),0)</f>
        <v>0</v>
      </c>
      <c r="I365" s="31" t="n">
        <f aca="false">IF(AND($A365&gt;Premissas!$C$25,((YEAR($A365)-YEAR(Premissas!$C$25))*12+MONTH($A365)-MONTH(Premissas!$C$25))&lt;=Premissas!$C$32),((YEAR($A365)-YEAR(Premissas!$C$25))*12+MONTH($A365)-MONTH(Premissas!$C$25)),0)</f>
        <v>0</v>
      </c>
      <c r="J365" s="32" t="n">
        <f aca="false">IF(I365&gt;0,N364*(1+Premissas!$C$59),0)</f>
        <v>0</v>
      </c>
      <c r="K365" s="32" t="n">
        <f aca="false">J365*Premissas!$C$58</f>
        <v>0</v>
      </c>
      <c r="L365" s="32" t="n">
        <f aca="false">IF(I365&gt;0,J365/(Premissas!$C$32-I365+1),0)</f>
        <v>0</v>
      </c>
      <c r="M365" s="32" t="n">
        <f aca="false">K365+L365</f>
        <v>0</v>
      </c>
      <c r="N365" s="32" t="n">
        <f aca="false">IF($A365=Premissas!$C$25,Premissas!$C$13*E365,IF(I365&gt;0,J365-L365,0))</f>
        <v>0</v>
      </c>
      <c r="O365" s="34" t="n">
        <f aca="false">IF($A365&gt;=Premissas!$C$27,Premissas!$C$39*IF(((YEAR($A365)-YEAR(Premissas!$C$27))*12+MONTH($A365)-MONTH(Premissas!$C$27))&lt;Premissas!$C$41,Premissas!$C$42,1),0)</f>
        <v>0.62</v>
      </c>
      <c r="P365" s="32" t="n">
        <f aca="false">O365*Premissas!$C$38*Premissas!$C$40*(1+Premissas!$C$60)^((YEAR($A365)-YEAR(Premissas!$C$19))*12+MONTH($A365)-MONTH(Premissas!$C$19))</f>
        <v>13875.2545478981</v>
      </c>
      <c r="Q365" s="32" t="n">
        <f aca="false">P365*Premissas!$C$43</f>
        <v>2220.04072766369</v>
      </c>
      <c r="R365" s="32" t="n">
        <f aca="false">P365*Premissas!$C$44</f>
        <v>2775.05090957961</v>
      </c>
      <c r="S365" s="32" t="n">
        <f aca="false">IF($A365&gt;=Premissas!$C$25,Premissas!$C$45*(1+Premissas!$C$60)^((YEAR($A365)-YEAR(Premissas!$C$19))*12+MONTH($A365)-MONTH(Premissas!$C$19)),0)</f>
        <v>2432.5481325207</v>
      </c>
      <c r="T365" s="32" t="n">
        <f aca="false">IF($A365&gt;=Premissas!$C$27,Premissas!$C$46*(1+Premissas!$C$60)^((YEAR($A365)-YEAR(Premissas!$C$19))*12+MONTH($A365)-MONTH(Premissas!$C$19)),0)</f>
        <v>973.019253008279</v>
      </c>
      <c r="U365" s="32" t="n">
        <f aca="false">IF($A365&gt;=Premissas!$C$27,Premissas!$C$47*(1+Premissas!$C$60)^((YEAR($A365)-YEAR(Premissas!$C$19))*12+MONTH($A365)-MONTH(Premissas!$C$19)),0)</f>
        <v>486.50962650414</v>
      </c>
      <c r="V365" s="32" t="n">
        <f aca="false">IF($A365&gt;=Premissas!$C$27,MAX(0,P365-Q365-R365-S365)*Premissas!$C$49,0)</f>
        <v>1773.09406398687</v>
      </c>
      <c r="W365" s="32" t="n">
        <f aca="false">P365-Q365-R365-S365-T365-U365-V365</f>
        <v>3214.99183463478</v>
      </c>
      <c r="X365" s="32" t="n">
        <f aca="false">W365-F365-G365-H365-M365</f>
        <v>3214.99183463478</v>
      </c>
      <c r="Y365" s="32" t="n">
        <f aca="false">Y364+X365</f>
        <v>-236281.505889238</v>
      </c>
      <c r="Z365" s="32" t="n">
        <f aca="false">Premissas!$C$14*(1+Premissas!$C$57)^((YEAR(Premissas!$C$19)-YEAR(Premissas!$C$18))*12+MONTH(Premissas!$C$19)-MONTH(Premissas!$C$18))*(1+Premissas!$C$61)^((YEAR($A365)-YEAR(Premissas!$C$19))*12+MONTH($A365)-MONTH(Premissas!$C$19))</f>
        <v>2066835.08828991</v>
      </c>
      <c r="AA365" s="32" t="n">
        <f aca="false">IF($A365&gt;=Premissas!$C$25,Z365*(1-Premissas!$C$53)-N365-Premissas!$C$54*MAX(0,Z365*(1-Premissas!$C$53)-(Premissas!$C$14*(1+Premissas!$C$57)^((YEAR(Premissas!$C$25)-YEAR(Premissas!$C$18))*12+MONTH(Premissas!$C$25)-MONTH(Premissas!$C$18))*(1+Premissas!$C$34))),"")</f>
        <v>1732603.4450553</v>
      </c>
      <c r="AB365" s="32" t="n">
        <f aca="false">IF($A365&gt;=Premissas!$C$25,Y365+AA365,"")</f>
        <v>1496321.93916607</v>
      </c>
      <c r="AC365" s="29" t="n">
        <f aca="false">IF(AND($A365&gt;=Premissas!$C$27,W365&gt;=M365),$A365,"")</f>
        <v>57346</v>
      </c>
      <c r="AD365" s="29" t="str">
        <f aca="false">IF(AND($A365&gt;=Premissas!$C$27,Y365&gt;=0),$A365,"")</f>
        <v/>
      </c>
      <c r="AE365" s="29" t="n">
        <f aca="false">IF(AND($A365&gt;=Premissas!$C$25,N(AB365)&gt;=0),$A365,"")</f>
        <v>57346</v>
      </c>
    </row>
    <row r="366" customFormat="false" ht="15" hidden="false" customHeight="false" outlineLevel="0" collapsed="false">
      <c r="A366" s="20" t="n">
        <f aca="false">DATE(YEAR(A365),MONTH(A365)+1,1)</f>
        <v>57377</v>
      </c>
      <c r="B366" s="5" t="str">
        <f aca="false">IF($A366&lt;Premissas!$C$25,"Obra",IF($A366=Premissas!$C$25,"Chaves",IF($A366&lt;Premissas!$C$27,"Mobiliando","Airbnb")))</f>
        <v>Airbnb</v>
      </c>
      <c r="C366" s="35" t="n">
        <f aca="false">(YEAR($A366)-YEAR(Premissas!$C$18))*12+MONTH($A366)-MONTH(Premissas!$C$18)</f>
        <v>365</v>
      </c>
      <c r="D366" s="16" t="n">
        <f aca="false">($A366=Premissas!$C$19)*Premissas!$C$8+(($A366=EDATE(Premissas!$C$19,1))+($A366=EDATE(Premissas!$C$19,2)))*Premissas!$C$9+AND($A366&gt;=Premissas!$C$20,$A366&lt;EDATE(Premissas!$C$20,Premissas!$C$21))*Premissas!$C$10+(($A366=Premissas!$C$22)+($A366=Premissas!$C$23)+($A366=Premissas!$C$24))*Premissas!$C$11+($A366=Premissas!$C$25)*Premissas!$C$12</f>
        <v>0</v>
      </c>
      <c r="E366" s="36" t="n">
        <f aca="false">(1+Premissas!$C$57)^C366</f>
        <v>5.09638599818256</v>
      </c>
      <c r="F366" s="16" t="n">
        <f aca="false">D366*E366</f>
        <v>0</v>
      </c>
      <c r="G366" s="16" t="n">
        <f aca="false">($A366=Premissas!$C$25)*Premissas!$C$34*Premissas!$C$14*(1+Premissas!$C$57)^C366</f>
        <v>0</v>
      </c>
      <c r="H366" s="16" t="n">
        <f aca="false">IF(AND($A366&gt;Premissas!$C$25,$A366&lt;Premissas!$C$27),Premissas!$C$35/MAX(1,Premissas!$C$26),0)</f>
        <v>0</v>
      </c>
      <c r="I366" s="35" t="n">
        <f aca="false">IF(AND($A366&gt;Premissas!$C$25,((YEAR($A366)-YEAR(Premissas!$C$25))*12+MONTH($A366)-MONTH(Premissas!$C$25))&lt;=Premissas!$C$32),((YEAR($A366)-YEAR(Premissas!$C$25))*12+MONTH($A366)-MONTH(Premissas!$C$25)),0)</f>
        <v>0</v>
      </c>
      <c r="J366" s="16" t="n">
        <f aca="false">IF(I366&gt;0,N365*(1+Premissas!$C$59),0)</f>
        <v>0</v>
      </c>
      <c r="K366" s="16" t="n">
        <f aca="false">J366*Premissas!$C$58</f>
        <v>0</v>
      </c>
      <c r="L366" s="16" t="n">
        <f aca="false">IF(I366&gt;0,J366/(Premissas!$C$32-I366+1),0)</f>
        <v>0</v>
      </c>
      <c r="M366" s="16" t="n">
        <f aca="false">K366+L366</f>
        <v>0</v>
      </c>
      <c r="N366" s="16" t="n">
        <f aca="false">IF($A366=Premissas!$C$25,Premissas!$C$13*E366,IF(I366&gt;0,J366-L366,0))</f>
        <v>0</v>
      </c>
      <c r="O366" s="37" t="n">
        <f aca="false">IF($A366&gt;=Premissas!$C$27,Premissas!$C$39*IF(((YEAR($A366)-YEAR(Premissas!$C$27))*12+MONTH($A366)-MONTH(Premissas!$C$27))&lt;Premissas!$C$41,Premissas!$C$42,1),0)</f>
        <v>0.62</v>
      </c>
      <c r="P366" s="16" t="n">
        <f aca="false">O366*Premissas!$C$38*Premissas!$C$40*(1+Premissas!$C$60)^((YEAR($A366)-YEAR(Premissas!$C$19))*12+MONTH($A366)-MONTH(Premissas!$C$19))</f>
        <v>13920.6785206997</v>
      </c>
      <c r="Q366" s="16" t="n">
        <f aca="false">P366*Premissas!$C$43</f>
        <v>2227.30856331194</v>
      </c>
      <c r="R366" s="16" t="n">
        <f aca="false">P366*Premissas!$C$44</f>
        <v>2784.13570413993</v>
      </c>
      <c r="S366" s="16" t="n">
        <f aca="false">IF($A366&gt;=Premissas!$C$25,Premissas!$C$45*(1+Premissas!$C$60)^((YEAR($A366)-YEAR(Premissas!$C$19))*12+MONTH($A366)-MONTH(Premissas!$C$19)),0)</f>
        <v>2440.51166211424</v>
      </c>
      <c r="T366" s="16" t="n">
        <f aca="false">IF($A366&gt;=Premissas!$C$27,Premissas!$C$46*(1+Premissas!$C$60)^((YEAR($A366)-YEAR(Premissas!$C$19))*12+MONTH($A366)-MONTH(Premissas!$C$19)),0)</f>
        <v>976.204664845698</v>
      </c>
      <c r="U366" s="16" t="n">
        <f aca="false">IF($A366&gt;=Premissas!$C$27,Premissas!$C$47*(1+Premissas!$C$60)^((YEAR($A366)-YEAR(Premissas!$C$19))*12+MONTH($A366)-MONTH(Premissas!$C$19)),0)</f>
        <v>488.102332422849</v>
      </c>
      <c r="V366" s="16" t="n">
        <f aca="false">IF($A366&gt;=Premissas!$C$27,MAX(0,P366-Q366-R366-S366)*Premissas!$C$49,0)</f>
        <v>1778.89871256172</v>
      </c>
      <c r="W366" s="16" t="n">
        <f aca="false">P366-Q366-R366-S366-T366-U366-V366</f>
        <v>3225.51688130326</v>
      </c>
      <c r="X366" s="16" t="n">
        <f aca="false">W366-F366-G366-H366-M366</f>
        <v>3225.51688130326</v>
      </c>
      <c r="Y366" s="16" t="n">
        <f aca="false">Y365+X366</f>
        <v>-233055.989007935</v>
      </c>
      <c r="Z366" s="16" t="n">
        <f aca="false">Premissas!$C$14*(1+Premissas!$C$57)^((YEAR(Premissas!$C$19)-YEAR(Premissas!$C$18))*12+MONTH(Premissas!$C$19)-MONTH(Premissas!$C$18))*(1+Premissas!$C$61)^((YEAR($A366)-YEAR(Premissas!$C$19))*12+MONTH($A366)-MONTH(Premissas!$C$19))</f>
        <v>2075255.63027999</v>
      </c>
      <c r="AA366" s="16" t="n">
        <f aca="false">IF($A366&gt;=Premissas!$C$25,Z366*(1-Premissas!$C$53)-N366-Premissas!$C$54*MAX(0,Z366*(1-Premissas!$C$53)-(Premissas!$C$14*(1+Premissas!$C$57)^((YEAR(Premissas!$C$25)-YEAR(Premissas!$C$18))*12+MONTH(Premissas!$C$25)-MONTH(Premissas!$C$18))*(1+Premissas!$C$34))),"")</f>
        <v>1739331.45810538</v>
      </c>
      <c r="AB366" s="16" t="n">
        <f aca="false">IF($A366&gt;=Premissas!$C$25,Y366+AA366,"")</f>
        <v>1506275.46909744</v>
      </c>
      <c r="AC366" s="20" t="n">
        <f aca="false">IF(AND($A366&gt;=Premissas!$C$27,W366&gt;=M366),$A366,"")</f>
        <v>57377</v>
      </c>
      <c r="AD366" s="20" t="str">
        <f aca="false">IF(AND($A366&gt;=Premissas!$C$27,Y366&gt;=0),$A366,"")</f>
        <v/>
      </c>
      <c r="AE366" s="20" t="n">
        <f aca="false">IF(AND($A366&gt;=Premissas!$C$25,N(AB366)&gt;=0),$A366,"")</f>
        <v>57377</v>
      </c>
    </row>
    <row r="367" customFormat="false" ht="15" hidden="false" customHeight="false" outlineLevel="0" collapsed="false">
      <c r="A367" s="20" t="n">
        <f aca="false">DATE(YEAR(A366),MONTH(A366)+1,1)</f>
        <v>57405</v>
      </c>
      <c r="B367" s="5" t="str">
        <f aca="false">IF($A367&lt;Premissas!$C$25,"Obra",IF($A367=Premissas!$C$25,"Chaves",IF($A367&lt;Premissas!$C$27,"Mobiliando","Airbnb")))</f>
        <v>Airbnb</v>
      </c>
      <c r="C367" s="35" t="n">
        <f aca="false">(YEAR($A367)-YEAR(Premissas!$C$18))*12+MONTH($A367)-MONTH(Premissas!$C$18)</f>
        <v>366</v>
      </c>
      <c r="D367" s="16" t="n">
        <f aca="false">($A367=Premissas!$C$19)*Premissas!$C$8+(($A367=EDATE(Premissas!$C$19,1))+($A367=EDATE(Premissas!$C$19,2)))*Premissas!$C$9+AND($A367&gt;=Premissas!$C$20,$A367&lt;EDATE(Premissas!$C$20,Premissas!$C$21))*Premissas!$C$10+(($A367=Premissas!$C$22)+($A367=Premissas!$C$23)+($A367=Premissas!$C$24))*Premissas!$C$11+($A367=Premissas!$C$25)*Premissas!$C$12</f>
        <v>0</v>
      </c>
      <c r="E367" s="36" t="n">
        <f aca="false">(1+Premissas!$C$57)^C367</f>
        <v>5.11917550193146</v>
      </c>
      <c r="F367" s="16" t="n">
        <f aca="false">D367*E367</f>
        <v>0</v>
      </c>
      <c r="G367" s="16" t="n">
        <f aca="false">($A367=Premissas!$C$25)*Premissas!$C$34*Premissas!$C$14*(1+Premissas!$C$57)^C367</f>
        <v>0</v>
      </c>
      <c r="H367" s="16" t="n">
        <f aca="false">IF(AND($A367&gt;Premissas!$C$25,$A367&lt;Premissas!$C$27),Premissas!$C$35/MAX(1,Premissas!$C$26),0)</f>
        <v>0</v>
      </c>
      <c r="I367" s="35" t="n">
        <f aca="false">IF(AND($A367&gt;Premissas!$C$25,((YEAR($A367)-YEAR(Premissas!$C$25))*12+MONTH($A367)-MONTH(Premissas!$C$25))&lt;=Premissas!$C$32),((YEAR($A367)-YEAR(Premissas!$C$25))*12+MONTH($A367)-MONTH(Premissas!$C$25)),0)</f>
        <v>0</v>
      </c>
      <c r="J367" s="16" t="n">
        <f aca="false">IF(I367&gt;0,N366*(1+Premissas!$C$59),0)</f>
        <v>0</v>
      </c>
      <c r="K367" s="16" t="n">
        <f aca="false">J367*Premissas!$C$58</f>
        <v>0</v>
      </c>
      <c r="L367" s="16" t="n">
        <f aca="false">IF(I367&gt;0,J367/(Premissas!$C$32-I367+1),0)</f>
        <v>0</v>
      </c>
      <c r="M367" s="16" t="n">
        <f aca="false">K367+L367</f>
        <v>0</v>
      </c>
      <c r="N367" s="16" t="n">
        <f aca="false">IF($A367=Premissas!$C$25,Premissas!$C$13*E367,IF(I367&gt;0,J367-L367,0))</f>
        <v>0</v>
      </c>
      <c r="O367" s="37" t="n">
        <f aca="false">IF($A367&gt;=Premissas!$C$27,Premissas!$C$39*IF(((YEAR($A367)-YEAR(Premissas!$C$27))*12+MONTH($A367)-MONTH(Premissas!$C$27))&lt;Premissas!$C$41,Premissas!$C$42,1),0)</f>
        <v>0.62</v>
      </c>
      <c r="P367" s="16" t="n">
        <f aca="false">O367*Premissas!$C$38*Premissas!$C$40*(1+Premissas!$C$60)^((YEAR($A367)-YEAR(Premissas!$C$19))*12+MONTH($A367)-MONTH(Premissas!$C$19))</f>
        <v>13966.2511997681</v>
      </c>
      <c r="Q367" s="16" t="n">
        <f aca="false">P367*Premissas!$C$43</f>
        <v>2234.60019196289</v>
      </c>
      <c r="R367" s="16" t="n">
        <f aca="false">P367*Premissas!$C$44</f>
        <v>2793.25023995361</v>
      </c>
      <c r="S367" s="16" t="n">
        <f aca="false">IF($A367&gt;=Premissas!$C$25,Premissas!$C$45*(1+Premissas!$C$60)^((YEAR($A367)-YEAR(Premissas!$C$19))*12+MONTH($A367)-MONTH(Premissas!$C$19)),0)</f>
        <v>2448.50126223143</v>
      </c>
      <c r="T367" s="16" t="n">
        <f aca="false">IF($A367&gt;=Premissas!$C$27,Premissas!$C$46*(1+Premissas!$C$60)^((YEAR($A367)-YEAR(Premissas!$C$19))*12+MONTH($A367)-MONTH(Premissas!$C$19)),0)</f>
        <v>979.400504892571</v>
      </c>
      <c r="U367" s="16" t="n">
        <f aca="false">IF($A367&gt;=Premissas!$C$27,Premissas!$C$47*(1+Premissas!$C$60)^((YEAR($A367)-YEAR(Premissas!$C$19))*12+MONTH($A367)-MONTH(Premissas!$C$19)),0)</f>
        <v>489.700252446286</v>
      </c>
      <c r="V367" s="16" t="n">
        <f aca="false">IF($A367&gt;=Premissas!$C$27,MAX(0,P367-Q367-R367-S367)*Premissas!$C$49,0)</f>
        <v>1784.72236404554</v>
      </c>
      <c r="W367" s="16" t="n">
        <f aca="false">P367-Q367-R367-S367-T367-U367-V367</f>
        <v>3236.07638423574</v>
      </c>
      <c r="X367" s="16" t="n">
        <f aca="false">W367-F367-G367-H367-M367</f>
        <v>3236.07638423574</v>
      </c>
      <c r="Y367" s="16" t="n">
        <f aca="false">Y366+X367</f>
        <v>-229819.912623699</v>
      </c>
      <c r="Z367" s="16" t="n">
        <f aca="false">Premissas!$C$14*(1+Premissas!$C$57)^((YEAR(Premissas!$C$19)-YEAR(Premissas!$C$18))*12+MONTH(Premissas!$C$19)-MONTH(Premissas!$C$18))*(1+Premissas!$C$61)^((YEAR($A367)-YEAR(Premissas!$C$19))*12+MONTH($A367)-MONTH(Premissas!$C$19))</f>
        <v>2083710.47860047</v>
      </c>
      <c r="AA367" s="16" t="n">
        <f aca="false">IF($A367&gt;=Premissas!$C$25,Z367*(1-Premissas!$C$53)-N367-Premissas!$C$54*MAX(0,Z367*(1-Premissas!$C$53)-(Premissas!$C$14*(1+Premissas!$C$57)^((YEAR(Premissas!$C$25)-YEAR(Premissas!$C$18))*12+MONTH(Premissas!$C$25)-MONTH(Premissas!$C$18))*(1+Premissas!$C$34))),"")</f>
        <v>1746086.88191344</v>
      </c>
      <c r="AB367" s="16" t="n">
        <f aca="false">IF($A367&gt;=Premissas!$C$25,Y367+AA367,"")</f>
        <v>1516266.96928974</v>
      </c>
      <c r="AC367" s="20" t="n">
        <f aca="false">IF(AND($A367&gt;=Premissas!$C$27,W367&gt;=M367),$A367,"")</f>
        <v>57405</v>
      </c>
      <c r="AD367" s="20" t="str">
        <f aca="false">IF(AND($A367&gt;=Premissas!$C$27,Y367&gt;=0),$A367,"")</f>
        <v/>
      </c>
      <c r="AE367" s="20" t="n">
        <f aca="false">IF(AND($A367&gt;=Premissas!$C$25,N(AB367)&gt;=0),$A367,"")</f>
        <v>57405</v>
      </c>
    </row>
    <row r="368" customFormat="false" ht="15" hidden="false" customHeight="false" outlineLevel="0" collapsed="false">
      <c r="A368" s="20" t="n">
        <f aca="false">DATE(YEAR(A367),MONTH(A367)+1,1)</f>
        <v>57436</v>
      </c>
      <c r="B368" s="5" t="str">
        <f aca="false">IF($A368&lt;Premissas!$C$25,"Obra",IF($A368=Premissas!$C$25,"Chaves",IF($A368&lt;Premissas!$C$27,"Mobiliando","Airbnb")))</f>
        <v>Airbnb</v>
      </c>
      <c r="C368" s="35" t="n">
        <f aca="false">(YEAR($A368)-YEAR(Premissas!$C$18))*12+MONTH($A368)-MONTH(Premissas!$C$18)</f>
        <v>367</v>
      </c>
      <c r="D368" s="16" t="n">
        <f aca="false">($A368=Premissas!$C$19)*Premissas!$C$8+(($A368=EDATE(Premissas!$C$19,1))+($A368=EDATE(Premissas!$C$19,2)))*Premissas!$C$9+AND($A368&gt;=Premissas!$C$20,$A368&lt;EDATE(Premissas!$C$20,Premissas!$C$21))*Premissas!$C$10+(($A368=Premissas!$C$22)+($A368=Premissas!$C$23)+($A368=Premissas!$C$24))*Premissas!$C$11+($A368=Premissas!$C$25)*Premissas!$C$12</f>
        <v>0</v>
      </c>
      <c r="E368" s="36" t="n">
        <f aca="false">(1+Premissas!$C$57)^C368</f>
        <v>5.1420669134796</v>
      </c>
      <c r="F368" s="16" t="n">
        <f aca="false">D368*E368</f>
        <v>0</v>
      </c>
      <c r="G368" s="16" t="n">
        <f aca="false">($A368=Premissas!$C$25)*Premissas!$C$34*Premissas!$C$14*(1+Premissas!$C$57)^C368</f>
        <v>0</v>
      </c>
      <c r="H368" s="16" t="n">
        <f aca="false">IF(AND($A368&gt;Premissas!$C$25,$A368&lt;Premissas!$C$27),Premissas!$C$35/MAX(1,Premissas!$C$26),0)</f>
        <v>0</v>
      </c>
      <c r="I368" s="35" t="n">
        <f aca="false">IF(AND($A368&gt;Premissas!$C$25,((YEAR($A368)-YEAR(Premissas!$C$25))*12+MONTH($A368)-MONTH(Premissas!$C$25))&lt;=Premissas!$C$32),((YEAR($A368)-YEAR(Premissas!$C$25))*12+MONTH($A368)-MONTH(Premissas!$C$25)),0)</f>
        <v>0</v>
      </c>
      <c r="J368" s="16" t="n">
        <f aca="false">IF(I368&gt;0,N367*(1+Premissas!$C$59),0)</f>
        <v>0</v>
      </c>
      <c r="K368" s="16" t="n">
        <f aca="false">J368*Premissas!$C$58</f>
        <v>0</v>
      </c>
      <c r="L368" s="16" t="n">
        <f aca="false">IF(I368&gt;0,J368/(Premissas!$C$32-I368+1),0)</f>
        <v>0</v>
      </c>
      <c r="M368" s="16" t="n">
        <f aca="false">K368+L368</f>
        <v>0</v>
      </c>
      <c r="N368" s="16" t="n">
        <f aca="false">IF($A368=Premissas!$C$25,Premissas!$C$13*E368,IF(I368&gt;0,J368-L368,0))</f>
        <v>0</v>
      </c>
      <c r="O368" s="37" t="n">
        <f aca="false">IF($A368&gt;=Premissas!$C$27,Premissas!$C$39*IF(((YEAR($A368)-YEAR(Premissas!$C$27))*12+MONTH($A368)-MONTH(Premissas!$C$27))&lt;Premissas!$C$41,Premissas!$C$42,1),0)</f>
        <v>0.62</v>
      </c>
      <c r="P368" s="16" t="n">
        <f aca="false">O368*Premissas!$C$38*Premissas!$C$40*(1+Premissas!$C$60)^((YEAR($A368)-YEAR(Premissas!$C$19))*12+MONTH($A368)-MONTH(Premissas!$C$19))</f>
        <v>14011.9730719289</v>
      </c>
      <c r="Q368" s="16" t="n">
        <f aca="false">P368*Premissas!$C$43</f>
        <v>2241.91569150863</v>
      </c>
      <c r="R368" s="16" t="n">
        <f aca="false">P368*Premissas!$C$44</f>
        <v>2802.39461438579</v>
      </c>
      <c r="S368" s="16" t="n">
        <f aca="false">IF($A368&gt;=Premissas!$C$25,Premissas!$C$45*(1+Premissas!$C$60)^((YEAR($A368)-YEAR(Premissas!$C$19))*12+MONTH($A368)-MONTH(Premissas!$C$19)),0)</f>
        <v>2456.51701822036</v>
      </c>
      <c r="T368" s="16" t="n">
        <f aca="false">IF($A368&gt;=Premissas!$C$27,Premissas!$C$46*(1+Premissas!$C$60)^((YEAR($A368)-YEAR(Premissas!$C$19))*12+MONTH($A368)-MONTH(Premissas!$C$19)),0)</f>
        <v>982.606807288144</v>
      </c>
      <c r="U368" s="16" t="n">
        <f aca="false">IF($A368&gt;=Premissas!$C$27,Premissas!$C$47*(1+Premissas!$C$60)^((YEAR($A368)-YEAR(Premissas!$C$19))*12+MONTH($A368)-MONTH(Premissas!$C$19)),0)</f>
        <v>491.303403644072</v>
      </c>
      <c r="V368" s="16" t="n">
        <f aca="false">IF($A368&gt;=Premissas!$C$27,MAX(0,P368-Q368-R368-S368)*Premissas!$C$49,0)</f>
        <v>1790.56508064889</v>
      </c>
      <c r="W368" s="16" t="n">
        <f aca="false">P368-Q368-R368-S368-T368-U368-V368</f>
        <v>3246.67045623305</v>
      </c>
      <c r="X368" s="16" t="n">
        <f aca="false">W368-F368-G368-H368-M368</f>
        <v>3246.67045623305</v>
      </c>
      <c r="Y368" s="16" t="n">
        <f aca="false">Y367+X368</f>
        <v>-226573.242167466</v>
      </c>
      <c r="Z368" s="16" t="n">
        <f aca="false">Premissas!$C$14*(1+Premissas!$C$57)^((YEAR(Premissas!$C$19)-YEAR(Premissas!$C$18))*12+MONTH(Premissas!$C$19)-MONTH(Premissas!$C$18))*(1+Premissas!$C$61)^((YEAR($A368)-YEAR(Premissas!$C$19))*12+MONTH($A368)-MONTH(Premissas!$C$19))</f>
        <v>2092199.77301957</v>
      </c>
      <c r="AA368" s="16" t="n">
        <f aca="false">IF($A368&gt;=Premissas!$C$25,Z368*(1-Premissas!$C$53)-N368-Premissas!$C$54*MAX(0,Z368*(1-Premissas!$C$53)-(Premissas!$C$14*(1+Premissas!$C$57)^((YEAR(Premissas!$C$25)-YEAR(Premissas!$C$18))*12+MONTH(Premissas!$C$25)-MONTH(Premissas!$C$18))*(1+Premissas!$C$34))),"")</f>
        <v>1752869.8281543</v>
      </c>
      <c r="AB368" s="16" t="n">
        <f aca="false">IF($A368&gt;=Premissas!$C$25,Y368+AA368,"")</f>
        <v>1526296.58598684</v>
      </c>
      <c r="AC368" s="20" t="n">
        <f aca="false">IF(AND($A368&gt;=Premissas!$C$27,W368&gt;=M368),$A368,"")</f>
        <v>57436</v>
      </c>
      <c r="AD368" s="20" t="str">
        <f aca="false">IF(AND($A368&gt;=Premissas!$C$27,Y368&gt;=0),$A368,"")</f>
        <v/>
      </c>
      <c r="AE368" s="20" t="n">
        <f aca="false">IF(AND($A368&gt;=Premissas!$C$25,N(AB368)&gt;=0),$A368,"")</f>
        <v>57436</v>
      </c>
    </row>
    <row r="369" customFormat="false" ht="15" hidden="false" customHeight="false" outlineLevel="0" collapsed="false">
      <c r="A369" s="20" t="n">
        <f aca="false">DATE(YEAR(A368),MONTH(A368)+1,1)</f>
        <v>57466</v>
      </c>
      <c r="B369" s="5" t="str">
        <f aca="false">IF($A369&lt;Premissas!$C$25,"Obra",IF($A369=Premissas!$C$25,"Chaves",IF($A369&lt;Premissas!$C$27,"Mobiliando","Airbnb")))</f>
        <v>Airbnb</v>
      </c>
      <c r="C369" s="35" t="n">
        <f aca="false">(YEAR($A369)-YEAR(Premissas!$C$18))*12+MONTH($A369)-MONTH(Premissas!$C$18)</f>
        <v>368</v>
      </c>
      <c r="D369" s="16" t="n">
        <f aca="false">($A369=Premissas!$C$19)*Premissas!$C$8+(($A369=EDATE(Premissas!$C$19,1))+($A369=EDATE(Premissas!$C$19,2)))*Premissas!$C$9+AND($A369&gt;=Premissas!$C$20,$A369&lt;EDATE(Premissas!$C$20,Premissas!$C$21))*Premissas!$C$10+(($A369=Premissas!$C$22)+($A369=Premissas!$C$23)+($A369=Premissas!$C$24))*Premissas!$C$11+($A369=Premissas!$C$25)*Premissas!$C$12</f>
        <v>0</v>
      </c>
      <c r="E369" s="36" t="n">
        <f aca="false">(1+Premissas!$C$57)^C369</f>
        <v>5.16506068852797</v>
      </c>
      <c r="F369" s="16" t="n">
        <f aca="false">D369*E369</f>
        <v>0</v>
      </c>
      <c r="G369" s="16" t="n">
        <f aca="false">($A369=Premissas!$C$25)*Premissas!$C$34*Premissas!$C$14*(1+Premissas!$C$57)^C369</f>
        <v>0</v>
      </c>
      <c r="H369" s="16" t="n">
        <f aca="false">IF(AND($A369&gt;Premissas!$C$25,$A369&lt;Premissas!$C$27),Premissas!$C$35/MAX(1,Premissas!$C$26),0)</f>
        <v>0</v>
      </c>
      <c r="I369" s="35" t="n">
        <f aca="false">IF(AND($A369&gt;Premissas!$C$25,((YEAR($A369)-YEAR(Premissas!$C$25))*12+MONTH($A369)-MONTH(Premissas!$C$25))&lt;=Premissas!$C$32),((YEAR($A369)-YEAR(Premissas!$C$25))*12+MONTH($A369)-MONTH(Premissas!$C$25)),0)</f>
        <v>0</v>
      </c>
      <c r="J369" s="16" t="n">
        <f aca="false">IF(I369&gt;0,N368*(1+Premissas!$C$59),0)</f>
        <v>0</v>
      </c>
      <c r="K369" s="16" t="n">
        <f aca="false">J369*Premissas!$C$58</f>
        <v>0</v>
      </c>
      <c r="L369" s="16" t="n">
        <f aca="false">IF(I369&gt;0,J369/(Premissas!$C$32-I369+1),0)</f>
        <v>0</v>
      </c>
      <c r="M369" s="16" t="n">
        <f aca="false">K369+L369</f>
        <v>0</v>
      </c>
      <c r="N369" s="16" t="n">
        <f aca="false">IF($A369=Premissas!$C$25,Premissas!$C$13*E369,IF(I369&gt;0,J369-L369,0))</f>
        <v>0</v>
      </c>
      <c r="O369" s="37" t="n">
        <f aca="false">IF($A369&gt;=Premissas!$C$27,Premissas!$C$39*IF(((YEAR($A369)-YEAR(Premissas!$C$27))*12+MONTH($A369)-MONTH(Premissas!$C$27))&lt;Premissas!$C$41,Premissas!$C$42,1),0)</f>
        <v>0.62</v>
      </c>
      <c r="P369" s="16" t="n">
        <f aca="false">O369*Premissas!$C$38*Premissas!$C$40*(1+Premissas!$C$60)^((YEAR($A369)-YEAR(Premissas!$C$19))*12+MONTH($A369)-MONTH(Premissas!$C$19))</f>
        <v>14057.8446256016</v>
      </c>
      <c r="Q369" s="16" t="n">
        <f aca="false">P369*Premissas!$C$43</f>
        <v>2249.25514009626</v>
      </c>
      <c r="R369" s="16" t="n">
        <f aca="false">P369*Premissas!$C$44</f>
        <v>2811.56892512032</v>
      </c>
      <c r="S369" s="16" t="n">
        <f aca="false">IF($A369&gt;=Premissas!$C$25,Premissas!$C$45*(1+Premissas!$C$60)^((YEAR($A369)-YEAR(Premissas!$C$19))*12+MONTH($A369)-MONTH(Premissas!$C$19)),0)</f>
        <v>2464.55901570856</v>
      </c>
      <c r="T369" s="16" t="n">
        <f aca="false">IF($A369&gt;=Premissas!$C$27,Premissas!$C$46*(1+Premissas!$C$60)^((YEAR($A369)-YEAR(Premissas!$C$19))*12+MONTH($A369)-MONTH(Premissas!$C$19)),0)</f>
        <v>985.823606283423</v>
      </c>
      <c r="U369" s="16" t="n">
        <f aca="false">IF($A369&gt;=Premissas!$C$27,Premissas!$C$47*(1+Premissas!$C$60)^((YEAR($A369)-YEAR(Premissas!$C$19))*12+MONTH($A369)-MONTH(Premissas!$C$19)),0)</f>
        <v>492.911803141711</v>
      </c>
      <c r="V369" s="16" t="n">
        <f aca="false">IF($A369&gt;=Premissas!$C$27,MAX(0,P369-Q369-R369-S369)*Premissas!$C$49,0)</f>
        <v>1796.42692478603</v>
      </c>
      <c r="W369" s="16" t="n">
        <f aca="false">P369-Q369-R369-S369-T369-U369-V369</f>
        <v>3257.29921046531</v>
      </c>
      <c r="X369" s="16" t="n">
        <f aca="false">W369-F369-G369-H369-M369</f>
        <v>3257.29921046531</v>
      </c>
      <c r="Y369" s="16" t="n">
        <f aca="false">Y368+X369</f>
        <v>-223315.942957001</v>
      </c>
      <c r="Z369" s="16" t="n">
        <f aca="false">Premissas!$C$14*(1+Premissas!$C$57)^((YEAR(Premissas!$C$19)-YEAR(Premissas!$C$18))*12+MONTH(Premissas!$C$19)-MONTH(Premissas!$C$18))*(1+Premissas!$C$61)^((YEAR($A369)-YEAR(Premissas!$C$19))*12+MONTH($A369)-MONTH(Premissas!$C$19))</f>
        <v>2100723.65387497</v>
      </c>
      <c r="AA369" s="16" t="n">
        <f aca="false">IF($A369&gt;=Premissas!$C$25,Z369*(1-Premissas!$C$53)-N369-Premissas!$C$54*MAX(0,Z369*(1-Premissas!$C$53)-(Premissas!$C$14*(1+Premissas!$C$57)^((YEAR(Premissas!$C$25)-YEAR(Premissas!$C$18))*12+MONTH(Premissas!$C$25)-MONTH(Premissas!$C$18))*(1+Premissas!$C$34))),"")</f>
        <v>1759680.40895777</v>
      </c>
      <c r="AB369" s="16" t="n">
        <f aca="false">IF($A369&gt;=Premissas!$C$25,Y369+AA369,"")</f>
        <v>1536364.46600077</v>
      </c>
      <c r="AC369" s="20" t="n">
        <f aca="false">IF(AND($A369&gt;=Premissas!$C$27,W369&gt;=M369),$A369,"")</f>
        <v>57466</v>
      </c>
      <c r="AD369" s="20" t="str">
        <f aca="false">IF(AND($A369&gt;=Premissas!$C$27,Y369&gt;=0),$A369,"")</f>
        <v/>
      </c>
      <c r="AE369" s="20" t="n">
        <f aca="false">IF(AND($A369&gt;=Premissas!$C$25,N(AB369)&gt;=0),$A369,"")</f>
        <v>57466</v>
      </c>
    </row>
    <row r="370" customFormat="false" ht="15" hidden="false" customHeight="false" outlineLevel="0" collapsed="false">
      <c r="A370" s="20" t="n">
        <f aca="false">DATE(YEAR(A369),MONTH(A369)+1,1)</f>
        <v>57497</v>
      </c>
      <c r="B370" s="5" t="str">
        <f aca="false">IF($A370&lt;Premissas!$C$25,"Obra",IF($A370=Premissas!$C$25,"Chaves",IF($A370&lt;Premissas!$C$27,"Mobiliando","Airbnb")))</f>
        <v>Airbnb</v>
      </c>
      <c r="C370" s="35" t="n">
        <f aca="false">(YEAR($A370)-YEAR(Premissas!$C$18))*12+MONTH($A370)-MONTH(Premissas!$C$18)</f>
        <v>369</v>
      </c>
      <c r="D370" s="16" t="n">
        <f aca="false">($A370=Premissas!$C$19)*Premissas!$C$8+(($A370=EDATE(Premissas!$C$19,1))+($A370=EDATE(Premissas!$C$19,2)))*Premissas!$C$9+AND($A370&gt;=Premissas!$C$20,$A370&lt;EDATE(Premissas!$C$20,Premissas!$C$21))*Premissas!$C$10+(($A370=Premissas!$C$22)+($A370=Premissas!$C$23)+($A370=Premissas!$C$24))*Premissas!$C$11+($A370=Premissas!$C$25)*Premissas!$C$12</f>
        <v>0</v>
      </c>
      <c r="E370" s="36" t="n">
        <f aca="false">(1+Premissas!$C$57)^C370</f>
        <v>5.18815728481532</v>
      </c>
      <c r="F370" s="16" t="n">
        <f aca="false">D370*E370</f>
        <v>0</v>
      </c>
      <c r="G370" s="16" t="n">
        <f aca="false">($A370=Premissas!$C$25)*Premissas!$C$34*Premissas!$C$14*(1+Premissas!$C$57)^C370</f>
        <v>0</v>
      </c>
      <c r="H370" s="16" t="n">
        <f aca="false">IF(AND($A370&gt;Premissas!$C$25,$A370&lt;Premissas!$C$27),Premissas!$C$35/MAX(1,Premissas!$C$26),0)</f>
        <v>0</v>
      </c>
      <c r="I370" s="35" t="n">
        <f aca="false">IF(AND($A370&gt;Premissas!$C$25,((YEAR($A370)-YEAR(Premissas!$C$25))*12+MONTH($A370)-MONTH(Premissas!$C$25))&lt;=Premissas!$C$32),((YEAR($A370)-YEAR(Premissas!$C$25))*12+MONTH($A370)-MONTH(Premissas!$C$25)),0)</f>
        <v>0</v>
      </c>
      <c r="J370" s="16" t="n">
        <f aca="false">IF(I370&gt;0,N369*(1+Premissas!$C$59),0)</f>
        <v>0</v>
      </c>
      <c r="K370" s="16" t="n">
        <f aca="false">J370*Premissas!$C$58</f>
        <v>0</v>
      </c>
      <c r="L370" s="16" t="n">
        <f aca="false">IF(I370&gt;0,J370/(Premissas!$C$32-I370+1),0)</f>
        <v>0</v>
      </c>
      <c r="M370" s="16" t="n">
        <f aca="false">K370+L370</f>
        <v>0</v>
      </c>
      <c r="N370" s="16" t="n">
        <f aca="false">IF($A370=Premissas!$C$25,Premissas!$C$13*E370,IF(I370&gt;0,J370-L370,0))</f>
        <v>0</v>
      </c>
      <c r="O370" s="37" t="n">
        <f aca="false">IF($A370&gt;=Premissas!$C$27,Premissas!$C$39*IF(((YEAR($A370)-YEAR(Premissas!$C$27))*12+MONTH($A370)-MONTH(Premissas!$C$27))&lt;Premissas!$C$41,Premissas!$C$42,1),0)</f>
        <v>0.62</v>
      </c>
      <c r="P370" s="16" t="n">
        <f aca="false">O370*Premissas!$C$38*Premissas!$C$40*(1+Premissas!$C$60)^((YEAR($A370)-YEAR(Premissas!$C$19))*12+MONTH($A370)-MONTH(Premissas!$C$19))</f>
        <v>14103.8663508044</v>
      </c>
      <c r="Q370" s="16" t="n">
        <f aca="false">P370*Premissas!$C$43</f>
        <v>2256.61861612871</v>
      </c>
      <c r="R370" s="16" t="n">
        <f aca="false">P370*Premissas!$C$44</f>
        <v>2820.77327016088</v>
      </c>
      <c r="S370" s="16" t="n">
        <f aca="false">IF($A370&gt;=Premissas!$C$25,Premissas!$C$45*(1+Premissas!$C$60)^((YEAR($A370)-YEAR(Premissas!$C$19))*12+MONTH($A370)-MONTH(Premissas!$C$19)),0)</f>
        <v>2472.62734060386</v>
      </c>
      <c r="T370" s="16" t="n">
        <f aca="false">IF($A370&gt;=Premissas!$C$27,Premissas!$C$46*(1+Premissas!$C$60)^((YEAR($A370)-YEAR(Premissas!$C$19))*12+MONTH($A370)-MONTH(Premissas!$C$19)),0)</f>
        <v>989.050936241543</v>
      </c>
      <c r="U370" s="16" t="n">
        <f aca="false">IF($A370&gt;=Premissas!$C$27,Premissas!$C$47*(1+Premissas!$C$60)^((YEAR($A370)-YEAR(Premissas!$C$19))*12+MONTH($A370)-MONTH(Premissas!$C$19)),0)</f>
        <v>494.525468120772</v>
      </c>
      <c r="V370" s="16" t="n">
        <f aca="false">IF($A370&gt;=Premissas!$C$27,MAX(0,P370-Q370-R370-S370)*Premissas!$C$49,0)</f>
        <v>1802.30795907551</v>
      </c>
      <c r="W370" s="16" t="n">
        <f aca="false">P370-Q370-R370-S370-T370-U370-V370</f>
        <v>3267.96276047313</v>
      </c>
      <c r="X370" s="16" t="n">
        <f aca="false">W370-F370-G370-H370-M370</f>
        <v>3267.96276047313</v>
      </c>
      <c r="Y370" s="16" t="n">
        <f aca="false">Y369+X370</f>
        <v>-220047.980196527</v>
      </c>
      <c r="Z370" s="16" t="n">
        <f aca="false">Premissas!$C$14*(1+Premissas!$C$57)^((YEAR(Premissas!$C$19)-YEAR(Premissas!$C$18))*12+MONTH(Premissas!$C$19)-MONTH(Premissas!$C$18))*(1+Premissas!$C$61)^((YEAR($A370)-YEAR(Premissas!$C$19))*12+MONTH($A370)-MONTH(Premissas!$C$19))</f>
        <v>2109282.2620761</v>
      </c>
      <c r="AA370" s="16" t="n">
        <f aca="false">IF($A370&gt;=Premissas!$C$25,Z370*(1-Premissas!$C$53)-N370-Premissas!$C$54*MAX(0,Z370*(1-Premissas!$C$53)-(Premissas!$C$14*(1+Premissas!$C$57)^((YEAR(Premissas!$C$25)-YEAR(Premissas!$C$18))*12+MONTH(Premissas!$C$25)-MONTH(Premissas!$C$18))*(1+Premissas!$C$34))),"")</f>
        <v>1766518.73691047</v>
      </c>
      <c r="AB370" s="16" t="n">
        <f aca="false">IF($A370&gt;=Premissas!$C$25,Y370+AA370,"")</f>
        <v>1546470.75671394</v>
      </c>
      <c r="AC370" s="20" t="n">
        <f aca="false">IF(AND($A370&gt;=Premissas!$C$27,W370&gt;=M370),$A370,"")</f>
        <v>57497</v>
      </c>
      <c r="AD370" s="20" t="str">
        <f aca="false">IF(AND($A370&gt;=Premissas!$C$27,Y370&gt;=0),$A370,"")</f>
        <v/>
      </c>
      <c r="AE370" s="20" t="n">
        <f aca="false">IF(AND($A370&gt;=Premissas!$C$25,N(AB370)&gt;=0),$A370,"")</f>
        <v>57497</v>
      </c>
    </row>
    <row r="371" customFormat="false" ht="15" hidden="false" customHeight="false" outlineLevel="0" collapsed="false">
      <c r="A371" s="20" t="n">
        <f aca="false">DATE(YEAR(A370),MONTH(A370)+1,1)</f>
        <v>57527</v>
      </c>
      <c r="B371" s="5" t="str">
        <f aca="false">IF($A371&lt;Premissas!$C$25,"Obra",IF($A371=Premissas!$C$25,"Chaves",IF($A371&lt;Premissas!$C$27,"Mobiliando","Airbnb")))</f>
        <v>Airbnb</v>
      </c>
      <c r="C371" s="35" t="n">
        <f aca="false">(YEAR($A371)-YEAR(Premissas!$C$18))*12+MONTH($A371)-MONTH(Premissas!$C$18)</f>
        <v>370</v>
      </c>
      <c r="D371" s="16" t="n">
        <f aca="false">($A371=Premissas!$C$19)*Premissas!$C$8+(($A371=EDATE(Premissas!$C$19,1))+($A371=EDATE(Premissas!$C$19,2)))*Premissas!$C$9+AND($A371&gt;=Premissas!$C$20,$A371&lt;EDATE(Premissas!$C$20,Premissas!$C$21))*Premissas!$C$10+(($A371=Premissas!$C$22)+($A371=Premissas!$C$23)+($A371=Premissas!$C$24))*Premissas!$C$11+($A371=Premissas!$C$25)*Premissas!$C$12</f>
        <v>0</v>
      </c>
      <c r="E371" s="36" t="n">
        <f aca="false">(1+Premissas!$C$57)^C371</f>
        <v>5.21135716212728</v>
      </c>
      <c r="F371" s="16" t="n">
        <f aca="false">D371*E371</f>
        <v>0</v>
      </c>
      <c r="G371" s="16" t="n">
        <f aca="false">($A371=Premissas!$C$25)*Premissas!$C$34*Premissas!$C$14*(1+Premissas!$C$57)^C371</f>
        <v>0</v>
      </c>
      <c r="H371" s="16" t="n">
        <f aca="false">IF(AND($A371&gt;Premissas!$C$25,$A371&lt;Premissas!$C$27),Premissas!$C$35/MAX(1,Premissas!$C$26),0)</f>
        <v>0</v>
      </c>
      <c r="I371" s="35" t="n">
        <f aca="false">IF(AND($A371&gt;Premissas!$C$25,((YEAR($A371)-YEAR(Premissas!$C$25))*12+MONTH($A371)-MONTH(Premissas!$C$25))&lt;=Premissas!$C$32),((YEAR($A371)-YEAR(Premissas!$C$25))*12+MONTH($A371)-MONTH(Premissas!$C$25)),0)</f>
        <v>0</v>
      </c>
      <c r="J371" s="16" t="n">
        <f aca="false">IF(I371&gt;0,N370*(1+Premissas!$C$59),0)</f>
        <v>0</v>
      </c>
      <c r="K371" s="16" t="n">
        <f aca="false">J371*Premissas!$C$58</f>
        <v>0</v>
      </c>
      <c r="L371" s="16" t="n">
        <f aca="false">IF(I371&gt;0,J371/(Premissas!$C$32-I371+1),0)</f>
        <v>0</v>
      </c>
      <c r="M371" s="16" t="n">
        <f aca="false">K371+L371</f>
        <v>0</v>
      </c>
      <c r="N371" s="16" t="n">
        <f aca="false">IF($A371=Premissas!$C$25,Premissas!$C$13*E371,IF(I371&gt;0,J371-L371,0))</f>
        <v>0</v>
      </c>
      <c r="O371" s="37" t="n">
        <f aca="false">IF($A371&gt;=Premissas!$C$27,Premissas!$C$39*IF(((YEAR($A371)-YEAR(Premissas!$C$27))*12+MONTH($A371)-MONTH(Premissas!$C$27))&lt;Premissas!$C$41,Premissas!$C$42,1),0)</f>
        <v>0.62</v>
      </c>
      <c r="P371" s="16" t="n">
        <f aca="false">O371*Premissas!$C$38*Premissas!$C$40*(1+Premissas!$C$60)^((YEAR($A371)-YEAR(Premissas!$C$19))*12+MONTH($A371)-MONTH(Premissas!$C$19))</f>
        <v>14150.0387391599</v>
      </c>
      <c r="Q371" s="16" t="n">
        <f aca="false">P371*Premissas!$C$43</f>
        <v>2264.00619826558</v>
      </c>
      <c r="R371" s="16" t="n">
        <f aca="false">P371*Premissas!$C$44</f>
        <v>2830.00774783197</v>
      </c>
      <c r="S371" s="16" t="n">
        <f aca="false">IF($A371&gt;=Premissas!$C$25,Premissas!$C$45*(1+Premissas!$C$60)^((YEAR($A371)-YEAR(Premissas!$C$19))*12+MONTH($A371)-MONTH(Premissas!$C$19)),0)</f>
        <v>2480.72207909535</v>
      </c>
      <c r="T371" s="16" t="n">
        <f aca="false">IF($A371&gt;=Premissas!$C$27,Premissas!$C$46*(1+Premissas!$C$60)^((YEAR($A371)-YEAR(Premissas!$C$19))*12+MONTH($A371)-MONTH(Premissas!$C$19)),0)</f>
        <v>992.288831638138</v>
      </c>
      <c r="U371" s="16" t="n">
        <f aca="false">IF($A371&gt;=Premissas!$C$27,Premissas!$C$47*(1+Premissas!$C$60)^((YEAR($A371)-YEAR(Premissas!$C$19))*12+MONTH($A371)-MONTH(Premissas!$C$19)),0)</f>
        <v>496.144415819069</v>
      </c>
      <c r="V371" s="16" t="n">
        <f aca="false">IF($A371&gt;=Premissas!$C$27,MAX(0,P371-Q371-R371-S371)*Premissas!$C$49,0)</f>
        <v>1808.20824634091</v>
      </c>
      <c r="W371" s="16" t="n">
        <f aca="false">P371-Q371-R371-S371-T371-U371-V371</f>
        <v>3278.66122016884</v>
      </c>
      <c r="X371" s="16" t="n">
        <f aca="false">W371-F371-G371-H371-M371</f>
        <v>3278.66122016884</v>
      </c>
      <c r="Y371" s="16" t="n">
        <f aca="false">Y370+X371</f>
        <v>-216769.318976359</v>
      </c>
      <c r="Z371" s="16" t="n">
        <f aca="false">Premissas!$C$14*(1+Premissas!$C$57)^((YEAR(Premissas!$C$19)-YEAR(Premissas!$C$18))*12+MONTH(Premissas!$C$19)-MONTH(Premissas!$C$18))*(1+Premissas!$C$61)^((YEAR($A371)-YEAR(Premissas!$C$19))*12+MONTH($A371)-MONTH(Premissas!$C$19))</f>
        <v>2117875.73910645</v>
      </c>
      <c r="AA371" s="16" t="n">
        <f aca="false">IF($A371&gt;=Premissas!$C$25,Z371*(1-Premissas!$C$53)-N371-Premissas!$C$54*MAX(0,Z371*(1-Premissas!$C$53)-(Premissas!$C$14*(1+Premissas!$C$57)^((YEAR(Premissas!$C$25)-YEAR(Premissas!$C$18))*12+MONTH(Premissas!$C$25)-MONTH(Premissas!$C$18))*(1+Premissas!$C$34))),"")</f>
        <v>1773384.92505772</v>
      </c>
      <c r="AB371" s="16" t="n">
        <f aca="false">IF($A371&gt;=Premissas!$C$25,Y371+AA371,"")</f>
        <v>1556615.60608136</v>
      </c>
      <c r="AC371" s="20" t="n">
        <f aca="false">IF(AND($A371&gt;=Premissas!$C$27,W371&gt;=M371),$A371,"")</f>
        <v>57527</v>
      </c>
      <c r="AD371" s="20" t="str">
        <f aca="false">IF(AND($A371&gt;=Premissas!$C$27,Y371&gt;=0),$A371,"")</f>
        <v/>
      </c>
      <c r="AE371" s="20" t="n">
        <f aca="false">IF(AND($A371&gt;=Premissas!$C$25,N(AB371)&gt;=0),$A371,"")</f>
        <v>57527</v>
      </c>
    </row>
    <row r="372" customFormat="false" ht="15" hidden="false" customHeight="false" outlineLevel="0" collapsed="false">
      <c r="A372" s="20" t="n">
        <f aca="false">DATE(YEAR(A371),MONTH(A371)+1,1)</f>
        <v>57558</v>
      </c>
      <c r="B372" s="5" t="str">
        <f aca="false">IF($A372&lt;Premissas!$C$25,"Obra",IF($A372=Premissas!$C$25,"Chaves",IF($A372&lt;Premissas!$C$27,"Mobiliando","Airbnb")))</f>
        <v>Airbnb</v>
      </c>
      <c r="C372" s="35" t="n">
        <f aca="false">(YEAR($A372)-YEAR(Premissas!$C$18))*12+MONTH($A372)-MONTH(Premissas!$C$18)</f>
        <v>371</v>
      </c>
      <c r="D372" s="16" t="n">
        <f aca="false">($A372=Premissas!$C$19)*Premissas!$C$8+(($A372=EDATE(Premissas!$C$19,1))+($A372=EDATE(Premissas!$C$19,2)))*Premissas!$C$9+AND($A372&gt;=Premissas!$C$20,$A372&lt;EDATE(Premissas!$C$20,Premissas!$C$21))*Premissas!$C$10+(($A372=Premissas!$C$22)+($A372=Premissas!$C$23)+($A372=Premissas!$C$24))*Premissas!$C$11+($A372=Premissas!$C$25)*Premissas!$C$12</f>
        <v>0</v>
      </c>
      <c r="E372" s="36" t="n">
        <f aca="false">(1+Premissas!$C$57)^C372</f>
        <v>5.23466078230549</v>
      </c>
      <c r="F372" s="16" t="n">
        <f aca="false">D372*E372</f>
        <v>0</v>
      </c>
      <c r="G372" s="16" t="n">
        <f aca="false">($A372=Premissas!$C$25)*Premissas!$C$34*Premissas!$C$14*(1+Premissas!$C$57)^C372</f>
        <v>0</v>
      </c>
      <c r="H372" s="16" t="n">
        <f aca="false">IF(AND($A372&gt;Premissas!$C$25,$A372&lt;Premissas!$C$27),Premissas!$C$35/MAX(1,Premissas!$C$26),0)</f>
        <v>0</v>
      </c>
      <c r="I372" s="35" t="n">
        <f aca="false">IF(AND($A372&gt;Premissas!$C$25,((YEAR($A372)-YEAR(Premissas!$C$25))*12+MONTH($A372)-MONTH(Premissas!$C$25))&lt;=Premissas!$C$32),((YEAR($A372)-YEAR(Premissas!$C$25))*12+MONTH($A372)-MONTH(Premissas!$C$25)),0)</f>
        <v>0</v>
      </c>
      <c r="J372" s="16" t="n">
        <f aca="false">IF(I372&gt;0,N371*(1+Premissas!$C$59),0)</f>
        <v>0</v>
      </c>
      <c r="K372" s="16" t="n">
        <f aca="false">J372*Premissas!$C$58</f>
        <v>0</v>
      </c>
      <c r="L372" s="16" t="n">
        <f aca="false">IF(I372&gt;0,J372/(Premissas!$C$32-I372+1),0)</f>
        <v>0</v>
      </c>
      <c r="M372" s="16" t="n">
        <f aca="false">K372+L372</f>
        <v>0</v>
      </c>
      <c r="N372" s="16" t="n">
        <f aca="false">IF($A372=Premissas!$C$25,Premissas!$C$13*E372,IF(I372&gt;0,J372-L372,0))</f>
        <v>0</v>
      </c>
      <c r="O372" s="37" t="n">
        <f aca="false">IF($A372&gt;=Premissas!$C$27,Premissas!$C$39*IF(((YEAR($A372)-YEAR(Premissas!$C$27))*12+MONTH($A372)-MONTH(Premissas!$C$27))&lt;Premissas!$C$41,Premissas!$C$42,1),0)</f>
        <v>0.62</v>
      </c>
      <c r="P372" s="16" t="n">
        <f aca="false">O372*Premissas!$C$38*Premissas!$C$40*(1+Premissas!$C$60)^((YEAR($A372)-YEAR(Premissas!$C$19))*12+MONTH($A372)-MONTH(Premissas!$C$19))</f>
        <v>14196.3622838999</v>
      </c>
      <c r="Q372" s="16" t="n">
        <f aca="false">P372*Premissas!$C$43</f>
        <v>2271.41796542398</v>
      </c>
      <c r="R372" s="16" t="n">
        <f aca="false">P372*Premissas!$C$44</f>
        <v>2839.27245677998</v>
      </c>
      <c r="S372" s="16" t="n">
        <f aca="false">IF($A372&gt;=Premissas!$C$25,Premissas!$C$45*(1+Premissas!$C$60)^((YEAR($A372)-YEAR(Premissas!$C$19))*12+MONTH($A372)-MONTH(Premissas!$C$19)),0)</f>
        <v>2488.84331765426</v>
      </c>
      <c r="T372" s="16" t="n">
        <f aca="false">IF($A372&gt;=Premissas!$C$27,Premissas!$C$46*(1+Premissas!$C$60)^((YEAR($A372)-YEAR(Premissas!$C$19))*12+MONTH($A372)-MONTH(Premissas!$C$19)),0)</f>
        <v>995.537327061704</v>
      </c>
      <c r="U372" s="16" t="n">
        <f aca="false">IF($A372&gt;=Premissas!$C$27,Premissas!$C$47*(1+Premissas!$C$60)^((YEAR($A372)-YEAR(Premissas!$C$19))*12+MONTH($A372)-MONTH(Premissas!$C$19)),0)</f>
        <v>497.768663530852</v>
      </c>
      <c r="V372" s="16" t="n">
        <f aca="false">IF($A372&gt;=Premissas!$C$27,MAX(0,P372-Q372-R372-S372)*Premissas!$C$49,0)</f>
        <v>1814.12784961146</v>
      </c>
      <c r="W372" s="16" t="n">
        <f aca="false">P372-Q372-R372-S372-T372-U372-V372</f>
        <v>3289.39470383766</v>
      </c>
      <c r="X372" s="16" t="n">
        <f aca="false">W372-F372-G372-H372-M372</f>
        <v>3289.39470383766</v>
      </c>
      <c r="Y372" s="16" t="n">
        <f aca="false">Y371+X372</f>
        <v>-213479.924272521</v>
      </c>
      <c r="Z372" s="16" t="n">
        <f aca="false">Premissas!$C$14*(1+Premissas!$C$57)^((YEAR(Premissas!$C$19)-YEAR(Premissas!$C$18))*12+MONTH(Premissas!$C$19)-MONTH(Premissas!$C$18))*(1+Premissas!$C$61)^((YEAR($A372)-YEAR(Premissas!$C$19))*12+MONTH($A372)-MONTH(Premissas!$C$19))</f>
        <v>2126504.22702595</v>
      </c>
      <c r="AA372" s="16" t="n">
        <f aca="false">IF($A372&gt;=Premissas!$C$25,Z372*(1-Premissas!$C$53)-N372-Premissas!$C$54*MAX(0,Z372*(1-Premissas!$C$53)-(Premissas!$C$14*(1+Premissas!$C$57)^((YEAR(Premissas!$C$25)-YEAR(Premissas!$C$18))*12+MONTH(Premissas!$C$25)-MONTH(Premissas!$C$18))*(1+Premissas!$C$34))),"")</f>
        <v>1780279.0869054</v>
      </c>
      <c r="AB372" s="16" t="n">
        <f aca="false">IF($A372&gt;=Premissas!$C$25,Y372+AA372,"")</f>
        <v>1566799.16263288</v>
      </c>
      <c r="AC372" s="20" t="n">
        <f aca="false">IF(AND($A372&gt;=Premissas!$C$27,W372&gt;=M372),$A372,"")</f>
        <v>57558</v>
      </c>
      <c r="AD372" s="20" t="str">
        <f aca="false">IF(AND($A372&gt;=Premissas!$C$27,Y372&gt;=0),$A372,"")</f>
        <v/>
      </c>
      <c r="AE372" s="20" t="n">
        <f aca="false">IF(AND($A372&gt;=Premissas!$C$25,N(AB372)&gt;=0),$A372,"")</f>
        <v>57558</v>
      </c>
    </row>
    <row r="373" customFormat="false" ht="15" hidden="false" customHeight="false" outlineLevel="0" collapsed="false">
      <c r="A373" s="20" t="n">
        <f aca="false">DATE(YEAR(A372),MONTH(A372)+1,1)</f>
        <v>57589</v>
      </c>
      <c r="B373" s="5" t="str">
        <f aca="false">IF($A373&lt;Premissas!$C$25,"Obra",IF($A373=Premissas!$C$25,"Chaves",IF($A373&lt;Premissas!$C$27,"Mobiliando","Airbnb")))</f>
        <v>Airbnb</v>
      </c>
      <c r="C373" s="35" t="n">
        <f aca="false">(YEAR($A373)-YEAR(Premissas!$C$18))*12+MONTH($A373)-MONTH(Premissas!$C$18)</f>
        <v>372</v>
      </c>
      <c r="D373" s="16" t="n">
        <f aca="false">($A373=Premissas!$C$19)*Premissas!$C$8+(($A373=EDATE(Premissas!$C$19,1))+($A373=EDATE(Premissas!$C$19,2)))*Premissas!$C$9+AND($A373&gt;=Premissas!$C$20,$A373&lt;EDATE(Premissas!$C$20,Premissas!$C$21))*Premissas!$C$10+(($A373=Premissas!$C$22)+($A373=Premissas!$C$23)+($A373=Premissas!$C$24))*Premissas!$C$11+($A373=Premissas!$C$25)*Premissas!$C$12</f>
        <v>0</v>
      </c>
      <c r="E373" s="36" t="n">
        <f aca="false">(1+Premissas!$C$57)^C373</f>
        <v>5.25806860925681</v>
      </c>
      <c r="F373" s="16" t="n">
        <f aca="false">D373*E373</f>
        <v>0</v>
      </c>
      <c r="G373" s="16" t="n">
        <f aca="false">($A373=Premissas!$C$25)*Premissas!$C$34*Premissas!$C$14*(1+Premissas!$C$57)^C373</f>
        <v>0</v>
      </c>
      <c r="H373" s="16" t="n">
        <f aca="false">IF(AND($A373&gt;Premissas!$C$25,$A373&lt;Premissas!$C$27),Premissas!$C$35/MAX(1,Premissas!$C$26),0)</f>
        <v>0</v>
      </c>
      <c r="I373" s="35" t="n">
        <f aca="false">IF(AND($A373&gt;Premissas!$C$25,((YEAR($A373)-YEAR(Premissas!$C$25))*12+MONTH($A373)-MONTH(Premissas!$C$25))&lt;=Premissas!$C$32),((YEAR($A373)-YEAR(Premissas!$C$25))*12+MONTH($A373)-MONTH(Premissas!$C$25)),0)</f>
        <v>0</v>
      </c>
      <c r="J373" s="16" t="n">
        <f aca="false">IF(I373&gt;0,N372*(1+Premissas!$C$59),0)</f>
        <v>0</v>
      </c>
      <c r="K373" s="16" t="n">
        <f aca="false">J373*Premissas!$C$58</f>
        <v>0</v>
      </c>
      <c r="L373" s="16" t="n">
        <f aca="false">IF(I373&gt;0,J373/(Premissas!$C$32-I373+1),0)</f>
        <v>0</v>
      </c>
      <c r="M373" s="16" t="n">
        <f aca="false">K373+L373</f>
        <v>0</v>
      </c>
      <c r="N373" s="16" t="n">
        <f aca="false">IF($A373=Premissas!$C$25,Premissas!$C$13*E373,IF(I373&gt;0,J373-L373,0))</f>
        <v>0</v>
      </c>
      <c r="O373" s="37" t="n">
        <f aca="false">IF($A373&gt;=Premissas!$C$27,Premissas!$C$39*IF(((YEAR($A373)-YEAR(Premissas!$C$27))*12+MONTH($A373)-MONTH(Premissas!$C$27))&lt;Premissas!$C$41,Premissas!$C$42,1),0)</f>
        <v>0.62</v>
      </c>
      <c r="P373" s="16" t="n">
        <f aca="false">O373*Premissas!$C$38*Premissas!$C$40*(1+Premissas!$C$60)^((YEAR($A373)-YEAR(Premissas!$C$19))*12+MONTH($A373)-MONTH(Premissas!$C$19))</f>
        <v>14242.8374798712</v>
      </c>
      <c r="Q373" s="16" t="n">
        <f aca="false">P373*Premissas!$C$43</f>
        <v>2278.85399677939</v>
      </c>
      <c r="R373" s="16" t="n">
        <f aca="false">P373*Premissas!$C$44</f>
        <v>2848.56749597424</v>
      </c>
      <c r="S373" s="16" t="n">
        <f aca="false">IF($A373&gt;=Premissas!$C$25,Premissas!$C$45*(1+Premissas!$C$60)^((YEAR($A373)-YEAR(Premissas!$C$19))*12+MONTH($A373)-MONTH(Premissas!$C$19)),0)</f>
        <v>2496.99114303492</v>
      </c>
      <c r="T373" s="16" t="n">
        <f aca="false">IF($A373&gt;=Premissas!$C$27,Premissas!$C$46*(1+Premissas!$C$60)^((YEAR($A373)-YEAR(Premissas!$C$19))*12+MONTH($A373)-MONTH(Premissas!$C$19)),0)</f>
        <v>998.79645721397</v>
      </c>
      <c r="U373" s="16" t="n">
        <f aca="false">IF($A373&gt;=Premissas!$C$27,Premissas!$C$47*(1+Premissas!$C$60)^((YEAR($A373)-YEAR(Premissas!$C$19))*12+MONTH($A373)-MONTH(Premissas!$C$19)),0)</f>
        <v>499.398228606985</v>
      </c>
      <c r="V373" s="16" t="n">
        <f aca="false">IF($A373&gt;=Premissas!$C$27,MAX(0,P373-Q373-R373-S373)*Premissas!$C$49,0)</f>
        <v>1820.06683212273</v>
      </c>
      <c r="W373" s="16" t="n">
        <f aca="false">P373-Q373-R373-S373-T373-U373-V373</f>
        <v>3300.16332613897</v>
      </c>
      <c r="X373" s="16" t="n">
        <f aca="false">W373-F373-G373-H373-M373</f>
        <v>3300.16332613897</v>
      </c>
      <c r="Y373" s="16" t="n">
        <f aca="false">Y372+X373</f>
        <v>-210179.760946382</v>
      </c>
      <c r="Z373" s="16" t="n">
        <f aca="false">Premissas!$C$14*(1+Premissas!$C$57)^((YEAR(Premissas!$C$19)-YEAR(Premissas!$C$18))*12+MONTH(Premissas!$C$19)-MONTH(Premissas!$C$18))*(1+Premissas!$C$61)^((YEAR($A373)-YEAR(Premissas!$C$19))*12+MONTH($A373)-MONTH(Premissas!$C$19))</f>
        <v>2135167.86847331</v>
      </c>
      <c r="AA373" s="16" t="n">
        <f aca="false">IF($A373&gt;=Premissas!$C$25,Z373*(1-Premissas!$C$53)-N373-Premissas!$C$54*MAX(0,Z373*(1-Premissas!$C$53)-(Premissas!$C$14*(1+Premissas!$C$57)^((YEAR(Premissas!$C$25)-YEAR(Premissas!$C$18))*12+MONTH(Premissas!$C$25)-MONTH(Premissas!$C$18))*(1+Premissas!$C$34))),"")</f>
        <v>1787201.33642184</v>
      </c>
      <c r="AB373" s="16" t="n">
        <f aca="false">IF($A373&gt;=Premissas!$C$25,Y373+AA373,"")</f>
        <v>1577021.57547546</v>
      </c>
      <c r="AC373" s="20" t="n">
        <f aca="false">IF(AND($A373&gt;=Premissas!$C$27,W373&gt;=M373),$A373,"")</f>
        <v>57589</v>
      </c>
      <c r="AD373" s="20" t="str">
        <f aca="false">IF(AND($A373&gt;=Premissas!$C$27,Y373&gt;=0),$A373,"")</f>
        <v/>
      </c>
      <c r="AE373" s="20" t="n">
        <f aca="false">IF(AND($A373&gt;=Premissas!$C$25,N(AB373)&gt;=0),$A373,"")</f>
        <v>57589</v>
      </c>
    </row>
    <row r="374" customFormat="false" ht="15" hidden="false" customHeight="false" outlineLevel="0" collapsed="false">
      <c r="A374" s="20" t="n">
        <f aca="false">DATE(YEAR(A373),MONTH(A373)+1,1)</f>
        <v>57619</v>
      </c>
      <c r="B374" s="5" t="str">
        <f aca="false">IF($A374&lt;Premissas!$C$25,"Obra",IF($A374=Premissas!$C$25,"Chaves",IF($A374&lt;Premissas!$C$27,"Mobiliando","Airbnb")))</f>
        <v>Airbnb</v>
      </c>
      <c r="C374" s="35" t="n">
        <f aca="false">(YEAR($A374)-YEAR(Premissas!$C$18))*12+MONTH($A374)-MONTH(Premissas!$C$18)</f>
        <v>373</v>
      </c>
      <c r="D374" s="16" t="n">
        <f aca="false">($A374=Premissas!$C$19)*Premissas!$C$8+(($A374=EDATE(Premissas!$C$19,1))+($A374=EDATE(Premissas!$C$19,2)))*Premissas!$C$9+AND($A374&gt;=Premissas!$C$20,$A374&lt;EDATE(Premissas!$C$20,Premissas!$C$21))*Premissas!$C$10+(($A374=Premissas!$C$22)+($A374=Premissas!$C$23)+($A374=Premissas!$C$24))*Premissas!$C$11+($A374=Premissas!$C$25)*Premissas!$C$12</f>
        <v>0</v>
      </c>
      <c r="E374" s="36" t="n">
        <f aca="false">(1+Premissas!$C$57)^C374</f>
        <v>5.28158110896256</v>
      </c>
      <c r="F374" s="16" t="n">
        <f aca="false">D374*E374</f>
        <v>0</v>
      </c>
      <c r="G374" s="16" t="n">
        <f aca="false">($A374=Premissas!$C$25)*Premissas!$C$34*Premissas!$C$14*(1+Premissas!$C$57)^C374</f>
        <v>0</v>
      </c>
      <c r="H374" s="16" t="n">
        <f aca="false">IF(AND($A374&gt;Premissas!$C$25,$A374&lt;Premissas!$C$27),Premissas!$C$35/MAX(1,Premissas!$C$26),0)</f>
        <v>0</v>
      </c>
      <c r="I374" s="35" t="n">
        <f aca="false">IF(AND($A374&gt;Premissas!$C$25,((YEAR($A374)-YEAR(Premissas!$C$25))*12+MONTH($A374)-MONTH(Premissas!$C$25))&lt;=Premissas!$C$32),((YEAR($A374)-YEAR(Premissas!$C$25))*12+MONTH($A374)-MONTH(Premissas!$C$25)),0)</f>
        <v>0</v>
      </c>
      <c r="J374" s="16" t="n">
        <f aca="false">IF(I374&gt;0,N373*(1+Premissas!$C$59),0)</f>
        <v>0</v>
      </c>
      <c r="K374" s="16" t="n">
        <f aca="false">J374*Premissas!$C$58</f>
        <v>0</v>
      </c>
      <c r="L374" s="16" t="n">
        <f aca="false">IF(I374&gt;0,J374/(Premissas!$C$32-I374+1),0)</f>
        <v>0</v>
      </c>
      <c r="M374" s="16" t="n">
        <f aca="false">K374+L374</f>
        <v>0</v>
      </c>
      <c r="N374" s="16" t="n">
        <f aca="false">IF($A374=Premissas!$C$25,Premissas!$C$13*E374,IF(I374&gt;0,J374-L374,0))</f>
        <v>0</v>
      </c>
      <c r="O374" s="37" t="n">
        <f aca="false">IF($A374&gt;=Premissas!$C$27,Premissas!$C$39*IF(((YEAR($A374)-YEAR(Premissas!$C$27))*12+MONTH($A374)-MONTH(Premissas!$C$27))&lt;Premissas!$C$41,Premissas!$C$42,1),0)</f>
        <v>0.62</v>
      </c>
      <c r="P374" s="16" t="n">
        <f aca="false">O374*Premissas!$C$38*Premissas!$C$40*(1+Premissas!$C$60)^((YEAR($A374)-YEAR(Premissas!$C$19))*12+MONTH($A374)-MONTH(Premissas!$C$19))</f>
        <v>14289.4648235405</v>
      </c>
      <c r="Q374" s="16" t="n">
        <f aca="false">P374*Premissas!$C$43</f>
        <v>2286.31437176647</v>
      </c>
      <c r="R374" s="16" t="n">
        <f aca="false">P374*Premissas!$C$44</f>
        <v>2857.89296470809</v>
      </c>
      <c r="S374" s="16" t="n">
        <f aca="false">IF($A374&gt;=Premissas!$C$25,Premissas!$C$45*(1+Premissas!$C$60)^((YEAR($A374)-YEAR(Premissas!$C$19))*12+MONTH($A374)-MONTH(Premissas!$C$19)),0)</f>
        <v>2505.16564227568</v>
      </c>
      <c r="T374" s="16" t="n">
        <f aca="false">IF($A374&gt;=Premissas!$C$27,Premissas!$C$46*(1+Premissas!$C$60)^((YEAR($A374)-YEAR(Premissas!$C$19))*12+MONTH($A374)-MONTH(Premissas!$C$19)),0)</f>
        <v>1002.06625691027</v>
      </c>
      <c r="U374" s="16" t="n">
        <f aca="false">IF($A374&gt;=Premissas!$C$27,Premissas!$C$47*(1+Premissas!$C$60)^((YEAR($A374)-YEAR(Premissas!$C$19))*12+MONTH($A374)-MONTH(Premissas!$C$19)),0)</f>
        <v>501.033128455135</v>
      </c>
      <c r="V374" s="16" t="n">
        <f aca="false">IF($A374&gt;=Premissas!$C$27,MAX(0,P374-Q374-R374-S374)*Premissas!$C$49,0)</f>
        <v>1826.02525731731</v>
      </c>
      <c r="W374" s="16" t="n">
        <f aca="false">P374-Q374-R374-S374-T374-U374-V374</f>
        <v>3310.9672021075</v>
      </c>
      <c r="X374" s="16" t="n">
        <f aca="false">W374-F374-G374-H374-M374</f>
        <v>3310.9672021075</v>
      </c>
      <c r="Y374" s="16" t="n">
        <f aca="false">Y373+X374</f>
        <v>-206868.793744275</v>
      </c>
      <c r="Z374" s="16" t="n">
        <f aca="false">Premissas!$C$14*(1+Premissas!$C$57)^((YEAR(Premissas!$C$19)-YEAR(Premissas!$C$18))*12+MONTH(Premissas!$C$19)-MONTH(Premissas!$C$18))*(1+Premissas!$C$61)^((YEAR($A374)-YEAR(Premissas!$C$19))*12+MONTH($A374)-MONTH(Premissas!$C$19))</f>
        <v>2143866.80666834</v>
      </c>
      <c r="AA374" s="16" t="n">
        <f aca="false">IF($A374&gt;=Premissas!$C$25,Z374*(1-Premissas!$C$53)-N374-Premissas!$C$54*MAX(0,Z374*(1-Premissas!$C$53)-(Premissas!$C$14*(1+Premissas!$C$57)^((YEAR(Premissas!$C$25)-YEAR(Premissas!$C$18))*12+MONTH(Premissas!$C$25)-MONTH(Premissas!$C$18))*(1+Premissas!$C$34))),"")</f>
        <v>1794151.78803967</v>
      </c>
      <c r="AB374" s="16" t="n">
        <f aca="false">IF($A374&gt;=Premissas!$C$25,Y374+AA374,"")</f>
        <v>1587282.99429539</v>
      </c>
      <c r="AC374" s="20" t="n">
        <f aca="false">IF(AND($A374&gt;=Premissas!$C$27,W374&gt;=M374),$A374,"")</f>
        <v>57619</v>
      </c>
      <c r="AD374" s="20" t="str">
        <f aca="false">IF(AND($A374&gt;=Premissas!$C$27,Y374&gt;=0),$A374,"")</f>
        <v/>
      </c>
      <c r="AE374" s="20" t="n">
        <f aca="false">IF(AND($A374&gt;=Premissas!$C$25,N(AB374)&gt;=0),$A374,"")</f>
        <v>57619</v>
      </c>
    </row>
    <row r="375" customFormat="false" ht="15" hidden="false" customHeight="false" outlineLevel="0" collapsed="false">
      <c r="A375" s="20" t="n">
        <f aca="false">DATE(YEAR(A374),MONTH(A374)+1,1)</f>
        <v>57650</v>
      </c>
      <c r="B375" s="5" t="str">
        <f aca="false">IF($A375&lt;Premissas!$C$25,"Obra",IF($A375=Premissas!$C$25,"Chaves",IF($A375&lt;Premissas!$C$27,"Mobiliando","Airbnb")))</f>
        <v>Airbnb</v>
      </c>
      <c r="C375" s="35" t="n">
        <f aca="false">(YEAR($A375)-YEAR(Premissas!$C$18))*12+MONTH($A375)-MONTH(Premissas!$C$18)</f>
        <v>374</v>
      </c>
      <c r="D375" s="16" t="n">
        <f aca="false">($A375=Premissas!$C$19)*Premissas!$C$8+(($A375=EDATE(Premissas!$C$19,1))+($A375=EDATE(Premissas!$C$19,2)))*Premissas!$C$9+AND($A375&gt;=Premissas!$C$20,$A375&lt;EDATE(Premissas!$C$20,Premissas!$C$21))*Premissas!$C$10+(($A375=Premissas!$C$22)+($A375=Premissas!$C$23)+($A375=Premissas!$C$24))*Premissas!$C$11+($A375=Premissas!$C$25)*Premissas!$C$12</f>
        <v>0</v>
      </c>
      <c r="E375" s="36" t="n">
        <f aca="false">(1+Premissas!$C$57)^C375</f>
        <v>5.30519874948779</v>
      </c>
      <c r="F375" s="16" t="n">
        <f aca="false">D375*E375</f>
        <v>0</v>
      </c>
      <c r="G375" s="16" t="n">
        <f aca="false">($A375=Premissas!$C$25)*Premissas!$C$34*Premissas!$C$14*(1+Premissas!$C$57)^C375</f>
        <v>0</v>
      </c>
      <c r="H375" s="16" t="n">
        <f aca="false">IF(AND($A375&gt;Premissas!$C$25,$A375&lt;Premissas!$C$27),Premissas!$C$35/MAX(1,Premissas!$C$26),0)</f>
        <v>0</v>
      </c>
      <c r="I375" s="35" t="n">
        <f aca="false">IF(AND($A375&gt;Premissas!$C$25,((YEAR($A375)-YEAR(Premissas!$C$25))*12+MONTH($A375)-MONTH(Premissas!$C$25))&lt;=Premissas!$C$32),((YEAR($A375)-YEAR(Premissas!$C$25))*12+MONTH($A375)-MONTH(Premissas!$C$25)),0)</f>
        <v>0</v>
      </c>
      <c r="J375" s="16" t="n">
        <f aca="false">IF(I375&gt;0,N374*(1+Premissas!$C$59),0)</f>
        <v>0</v>
      </c>
      <c r="K375" s="16" t="n">
        <f aca="false">J375*Premissas!$C$58</f>
        <v>0</v>
      </c>
      <c r="L375" s="16" t="n">
        <f aca="false">IF(I375&gt;0,J375/(Premissas!$C$32-I375+1),0)</f>
        <v>0</v>
      </c>
      <c r="M375" s="16" t="n">
        <f aca="false">K375+L375</f>
        <v>0</v>
      </c>
      <c r="N375" s="16" t="n">
        <f aca="false">IF($A375=Premissas!$C$25,Premissas!$C$13*E375,IF(I375&gt;0,J375-L375,0))</f>
        <v>0</v>
      </c>
      <c r="O375" s="37" t="n">
        <f aca="false">IF($A375&gt;=Premissas!$C$27,Premissas!$C$39*IF(((YEAR($A375)-YEAR(Premissas!$C$27))*12+MONTH($A375)-MONTH(Premissas!$C$27))&lt;Premissas!$C$41,Premissas!$C$42,1),0)</f>
        <v>0.62</v>
      </c>
      <c r="P375" s="16" t="n">
        <f aca="false">O375*Premissas!$C$38*Premissas!$C$40*(1+Premissas!$C$60)^((YEAR($A375)-YEAR(Premissas!$C$19))*12+MONTH($A375)-MONTH(Premissas!$C$19))</f>
        <v>14336.2448129996</v>
      </c>
      <c r="Q375" s="16" t="n">
        <f aca="false">P375*Premissas!$C$43</f>
        <v>2293.79917007994</v>
      </c>
      <c r="R375" s="16" t="n">
        <f aca="false">P375*Premissas!$C$44</f>
        <v>2867.24896259992</v>
      </c>
      <c r="S375" s="16" t="n">
        <f aca="false">IF($A375&gt;=Premissas!$C$25,Premissas!$C$45*(1+Premissas!$C$60)^((YEAR($A375)-YEAR(Premissas!$C$19))*12+MONTH($A375)-MONTH(Premissas!$C$19)),0)</f>
        <v>2513.36690269979</v>
      </c>
      <c r="T375" s="16" t="n">
        <f aca="false">IF($A375&gt;=Premissas!$C$27,Premissas!$C$46*(1+Premissas!$C$60)^((YEAR($A375)-YEAR(Premissas!$C$19))*12+MONTH($A375)-MONTH(Premissas!$C$19)),0)</f>
        <v>1005.34676107992</v>
      </c>
      <c r="U375" s="16" t="n">
        <f aca="false">IF($A375&gt;=Premissas!$C$27,Premissas!$C$47*(1+Premissas!$C$60)^((YEAR($A375)-YEAR(Premissas!$C$19))*12+MONTH($A375)-MONTH(Premissas!$C$19)),0)</f>
        <v>502.673380539958</v>
      </c>
      <c r="V375" s="16" t="n">
        <f aca="false">IF($A375&gt;=Premissas!$C$27,MAX(0,P375-Q375-R375-S375)*Premissas!$C$49,0)</f>
        <v>1832.00318884549</v>
      </c>
      <c r="W375" s="16" t="n">
        <f aca="false">P375-Q375-R375-S375-T375-U375-V375</f>
        <v>3321.8064471546</v>
      </c>
      <c r="X375" s="16" t="n">
        <f aca="false">W375-F375-G375-H375-M375</f>
        <v>3321.8064471546</v>
      </c>
      <c r="Y375" s="16" t="n">
        <f aca="false">Y374+X375</f>
        <v>-203546.98729712</v>
      </c>
      <c r="Z375" s="16" t="n">
        <f aca="false">Premissas!$C$14*(1+Premissas!$C$57)^((YEAR(Premissas!$C$19)-YEAR(Premissas!$C$18))*12+MONTH(Premissas!$C$19)-MONTH(Premissas!$C$18))*(1+Premissas!$C$61)^((YEAR($A375)-YEAR(Premissas!$C$19))*12+MONTH($A375)-MONTH(Premissas!$C$19))</f>
        <v>2152601.18541436</v>
      </c>
      <c r="AA375" s="16" t="n">
        <f aca="false">IF($A375&gt;=Premissas!$C$25,Z375*(1-Premissas!$C$53)-N375-Premissas!$C$54*MAX(0,Z375*(1-Premissas!$C$53)-(Premissas!$C$14*(1+Premissas!$C$57)^((YEAR(Premissas!$C$25)-YEAR(Premissas!$C$18))*12+MONTH(Premissas!$C$25)-MONTH(Premissas!$C$18))*(1+Premissas!$C$34))),"")</f>
        <v>1801130.55665774</v>
      </c>
      <c r="AB375" s="16" t="n">
        <f aca="false">IF($A375&gt;=Premissas!$C$25,Y375+AA375,"")</f>
        <v>1597583.56936062</v>
      </c>
      <c r="AC375" s="20" t="n">
        <f aca="false">IF(AND($A375&gt;=Premissas!$C$27,W375&gt;=M375),$A375,"")</f>
        <v>57650</v>
      </c>
      <c r="AD375" s="20" t="str">
        <f aca="false">IF(AND($A375&gt;=Premissas!$C$27,Y375&gt;=0),$A375,"")</f>
        <v/>
      </c>
      <c r="AE375" s="20" t="n">
        <f aca="false">IF(AND($A375&gt;=Premissas!$C$25,N(AB375)&gt;=0),$A375,"")</f>
        <v>57650</v>
      </c>
    </row>
    <row r="376" customFormat="false" ht="15" hidden="false" customHeight="false" outlineLevel="0" collapsed="false">
      <c r="A376" s="20" t="n">
        <f aca="false">DATE(YEAR(A375),MONTH(A375)+1,1)</f>
        <v>57680</v>
      </c>
      <c r="B376" s="5" t="str">
        <f aca="false">IF($A376&lt;Premissas!$C$25,"Obra",IF($A376=Premissas!$C$25,"Chaves",IF($A376&lt;Premissas!$C$27,"Mobiliando","Airbnb")))</f>
        <v>Airbnb</v>
      </c>
      <c r="C376" s="35" t="n">
        <f aca="false">(YEAR($A376)-YEAR(Premissas!$C$18))*12+MONTH($A376)-MONTH(Premissas!$C$18)</f>
        <v>375</v>
      </c>
      <c r="D376" s="16" t="n">
        <f aca="false">($A376=Premissas!$C$19)*Premissas!$C$8+(($A376=EDATE(Premissas!$C$19,1))+($A376=EDATE(Premissas!$C$19,2)))*Premissas!$C$9+AND($A376&gt;=Premissas!$C$20,$A376&lt;EDATE(Premissas!$C$20,Premissas!$C$21))*Premissas!$C$10+(($A376=Premissas!$C$22)+($A376=Premissas!$C$23)+($A376=Premissas!$C$24))*Premissas!$C$11+($A376=Premissas!$C$25)*Premissas!$C$12</f>
        <v>0</v>
      </c>
      <c r="E376" s="36" t="n">
        <f aca="false">(1+Premissas!$C$57)^C376</f>
        <v>5.32892200099057</v>
      </c>
      <c r="F376" s="16" t="n">
        <f aca="false">D376*E376</f>
        <v>0</v>
      </c>
      <c r="G376" s="16" t="n">
        <f aca="false">($A376=Premissas!$C$25)*Premissas!$C$34*Premissas!$C$14*(1+Premissas!$C$57)^C376</f>
        <v>0</v>
      </c>
      <c r="H376" s="16" t="n">
        <f aca="false">IF(AND($A376&gt;Premissas!$C$25,$A376&lt;Premissas!$C$27),Premissas!$C$35/MAX(1,Premissas!$C$26),0)</f>
        <v>0</v>
      </c>
      <c r="I376" s="35" t="n">
        <f aca="false">IF(AND($A376&gt;Premissas!$C$25,((YEAR($A376)-YEAR(Premissas!$C$25))*12+MONTH($A376)-MONTH(Premissas!$C$25))&lt;=Premissas!$C$32),((YEAR($A376)-YEAR(Premissas!$C$25))*12+MONTH($A376)-MONTH(Premissas!$C$25)),0)</f>
        <v>0</v>
      </c>
      <c r="J376" s="16" t="n">
        <f aca="false">IF(I376&gt;0,N375*(1+Premissas!$C$59),0)</f>
        <v>0</v>
      </c>
      <c r="K376" s="16" t="n">
        <f aca="false">J376*Premissas!$C$58</f>
        <v>0</v>
      </c>
      <c r="L376" s="16" t="n">
        <f aca="false">IF(I376&gt;0,J376/(Premissas!$C$32-I376+1),0)</f>
        <v>0</v>
      </c>
      <c r="M376" s="16" t="n">
        <f aca="false">K376+L376</f>
        <v>0</v>
      </c>
      <c r="N376" s="16" t="n">
        <f aca="false">IF($A376=Premissas!$C$25,Premissas!$C$13*E376,IF(I376&gt;0,J376-L376,0))</f>
        <v>0</v>
      </c>
      <c r="O376" s="37" t="n">
        <f aca="false">IF($A376&gt;=Premissas!$C$27,Premissas!$C$39*IF(((YEAR($A376)-YEAR(Premissas!$C$27))*12+MONTH($A376)-MONTH(Premissas!$C$27))&lt;Premissas!$C$41,Premissas!$C$42,1),0)</f>
        <v>0.62</v>
      </c>
      <c r="P376" s="16" t="n">
        <f aca="false">O376*Premissas!$C$38*Premissas!$C$40*(1+Premissas!$C$60)^((YEAR($A376)-YEAR(Premissas!$C$19))*12+MONTH($A376)-MONTH(Premissas!$C$19))</f>
        <v>14383.1779479713</v>
      </c>
      <c r="Q376" s="16" t="n">
        <f aca="false">P376*Premissas!$C$43</f>
        <v>2301.3084716754</v>
      </c>
      <c r="R376" s="16" t="n">
        <f aca="false">P376*Premissas!$C$44</f>
        <v>2876.63558959425</v>
      </c>
      <c r="S376" s="16" t="n">
        <f aca="false">IF($A376&gt;=Premissas!$C$25,Premissas!$C$45*(1+Premissas!$C$60)^((YEAR($A376)-YEAR(Premissas!$C$19))*12+MONTH($A376)-MONTH(Premissas!$C$19)),0)</f>
        <v>2521.59501191642</v>
      </c>
      <c r="T376" s="16" t="n">
        <f aca="false">IF($A376&gt;=Premissas!$C$27,Premissas!$C$46*(1+Premissas!$C$60)^((YEAR($A376)-YEAR(Premissas!$C$19))*12+MONTH($A376)-MONTH(Premissas!$C$19)),0)</f>
        <v>1008.63800476657</v>
      </c>
      <c r="U376" s="16" t="n">
        <f aca="false">IF($A376&gt;=Premissas!$C$27,Premissas!$C$47*(1+Premissas!$C$60)^((YEAR($A376)-YEAR(Premissas!$C$19))*12+MONTH($A376)-MONTH(Premissas!$C$19)),0)</f>
        <v>504.319002383284</v>
      </c>
      <c r="V376" s="16" t="n">
        <f aca="false">IF($A376&gt;=Premissas!$C$27,MAX(0,P376-Q376-R376-S376)*Premissas!$C$49,0)</f>
        <v>1838.00069056593</v>
      </c>
      <c r="W376" s="16" t="n">
        <f aca="false">P376-Q376-R376-S376-T376-U376-V376</f>
        <v>3332.68117706941</v>
      </c>
      <c r="X376" s="16" t="n">
        <f aca="false">W376-F376-G376-H376-M376</f>
        <v>3332.68117706941</v>
      </c>
      <c r="Y376" s="16" t="n">
        <f aca="false">Y375+X376</f>
        <v>-200214.306120051</v>
      </c>
      <c r="Z376" s="16" t="n">
        <f aca="false">Premissas!$C$14*(1+Premissas!$C$57)^((YEAR(Premissas!$C$19)-YEAR(Premissas!$C$18))*12+MONTH(Premissas!$C$19)-MONTH(Premissas!$C$18))*(1+Premissas!$C$61)^((YEAR($A376)-YEAR(Premissas!$C$19))*12+MONTH($A376)-MONTH(Premissas!$C$19))</f>
        <v>2161371.14910057</v>
      </c>
      <c r="AA376" s="16" t="n">
        <f aca="false">IF($A376&gt;=Premissas!$C$25,Z376*(1-Premissas!$C$53)-N376-Premissas!$C$54*MAX(0,Z376*(1-Premissas!$C$53)-(Premissas!$C$14*(1+Premissas!$C$57)^((YEAR(Premissas!$C$25)-YEAR(Premissas!$C$18))*12+MONTH(Premissas!$C$25)-MONTH(Premissas!$C$18))*(1+Premissas!$C$34))),"")</f>
        <v>1808137.75764302</v>
      </c>
      <c r="AB376" s="16" t="n">
        <f aca="false">IF($A376&gt;=Premissas!$C$25,Y376+AA376,"")</f>
        <v>1607923.45152297</v>
      </c>
      <c r="AC376" s="20" t="n">
        <f aca="false">IF(AND($A376&gt;=Premissas!$C$27,W376&gt;=M376),$A376,"")</f>
        <v>57680</v>
      </c>
      <c r="AD376" s="20" t="str">
        <f aca="false">IF(AND($A376&gt;=Premissas!$C$27,Y376&gt;=0),$A376,"")</f>
        <v/>
      </c>
      <c r="AE376" s="20" t="n">
        <f aca="false">IF(AND($A376&gt;=Premissas!$C$25,N(AB376)&gt;=0),$A376,"")</f>
        <v>57680</v>
      </c>
    </row>
    <row r="377" customFormat="false" ht="15" hidden="false" customHeight="false" outlineLevel="0" collapsed="false">
      <c r="A377" s="29" t="n">
        <f aca="false">DATE(YEAR(A376),MONTH(A376)+1,1)</f>
        <v>57711</v>
      </c>
      <c r="B377" s="30" t="str">
        <f aca="false">IF($A377&lt;Premissas!$C$25,"Obra",IF($A377=Premissas!$C$25,"Chaves",IF($A377&lt;Premissas!$C$27,"Mobiliando","Airbnb")))</f>
        <v>Airbnb</v>
      </c>
      <c r="C377" s="31" t="n">
        <f aca="false">(YEAR($A377)-YEAR(Premissas!$C$18))*12+MONTH($A377)-MONTH(Premissas!$C$18)</f>
        <v>376</v>
      </c>
      <c r="D377" s="32" t="n">
        <f aca="false">($A377=Premissas!$C$19)*Premissas!$C$8+(($A377=EDATE(Premissas!$C$19,1))+($A377=EDATE(Premissas!$C$19,2)))*Premissas!$C$9+AND($A377&gt;=Premissas!$C$20,$A377&lt;EDATE(Premissas!$C$20,Premissas!$C$21))*Premissas!$C$10+(($A377=Premissas!$C$22)+($A377=Premissas!$C$23)+($A377=Premissas!$C$24))*Premissas!$C$11+($A377=Premissas!$C$25)*Premissas!$C$12</f>
        <v>0</v>
      </c>
      <c r="E377" s="33" t="n">
        <f aca="false">(1+Premissas!$C$57)^C377</f>
        <v>5.35275133573141</v>
      </c>
      <c r="F377" s="32" t="n">
        <f aca="false">D377*E377</f>
        <v>0</v>
      </c>
      <c r="G377" s="32" t="n">
        <f aca="false">($A377=Premissas!$C$25)*Premissas!$C$34*Premissas!$C$14*(1+Premissas!$C$57)^C377</f>
        <v>0</v>
      </c>
      <c r="H377" s="32" t="n">
        <f aca="false">IF(AND($A377&gt;Premissas!$C$25,$A377&lt;Premissas!$C$27),Premissas!$C$35/MAX(1,Premissas!$C$26),0)</f>
        <v>0</v>
      </c>
      <c r="I377" s="31" t="n">
        <f aca="false">IF(AND($A377&gt;Premissas!$C$25,((YEAR($A377)-YEAR(Premissas!$C$25))*12+MONTH($A377)-MONTH(Premissas!$C$25))&lt;=Premissas!$C$32),((YEAR($A377)-YEAR(Premissas!$C$25))*12+MONTH($A377)-MONTH(Premissas!$C$25)),0)</f>
        <v>0</v>
      </c>
      <c r="J377" s="32" t="n">
        <f aca="false">IF(I377&gt;0,N376*(1+Premissas!$C$59),0)</f>
        <v>0</v>
      </c>
      <c r="K377" s="32" t="n">
        <f aca="false">J377*Premissas!$C$58</f>
        <v>0</v>
      </c>
      <c r="L377" s="32" t="n">
        <f aca="false">IF(I377&gt;0,J377/(Premissas!$C$32-I377+1),0)</f>
        <v>0</v>
      </c>
      <c r="M377" s="32" t="n">
        <f aca="false">K377+L377</f>
        <v>0</v>
      </c>
      <c r="N377" s="32" t="n">
        <f aca="false">IF($A377=Premissas!$C$25,Premissas!$C$13*E377,IF(I377&gt;0,J377-L377,0))</f>
        <v>0</v>
      </c>
      <c r="O377" s="34" t="n">
        <f aca="false">IF($A377&gt;=Premissas!$C$27,Premissas!$C$39*IF(((YEAR($A377)-YEAR(Premissas!$C$27))*12+MONTH($A377)-MONTH(Premissas!$C$27))&lt;Premissas!$C$41,Premissas!$C$42,1),0)</f>
        <v>0.62</v>
      </c>
      <c r="P377" s="32" t="n">
        <f aca="false">O377*Premissas!$C$38*Premissas!$C$40*(1+Premissas!$C$60)^((YEAR($A377)-YEAR(Premissas!$C$19))*12+MONTH($A377)-MONTH(Premissas!$C$19))</f>
        <v>14430.264729814</v>
      </c>
      <c r="Q377" s="32" t="n">
        <f aca="false">P377*Premissas!$C$43</f>
        <v>2308.84235677024</v>
      </c>
      <c r="R377" s="32" t="n">
        <f aca="false">P377*Premissas!$C$44</f>
        <v>2886.0529459628</v>
      </c>
      <c r="S377" s="32" t="n">
        <f aca="false">IF($A377&gt;=Premissas!$C$25,Premissas!$C$45*(1+Premissas!$C$60)^((YEAR($A377)-YEAR(Premissas!$C$19))*12+MONTH($A377)-MONTH(Premissas!$C$19)),0)</f>
        <v>2529.85005782153</v>
      </c>
      <c r="T377" s="32" t="n">
        <f aca="false">IF($A377&gt;=Premissas!$C$27,Premissas!$C$46*(1+Premissas!$C$60)^((YEAR($A377)-YEAR(Premissas!$C$19))*12+MONTH($A377)-MONTH(Premissas!$C$19)),0)</f>
        <v>1011.94002312861</v>
      </c>
      <c r="U377" s="32" t="n">
        <f aca="false">IF($A377&gt;=Premissas!$C$27,Premissas!$C$47*(1+Premissas!$C$60)^((YEAR($A377)-YEAR(Premissas!$C$19))*12+MONTH($A377)-MONTH(Premissas!$C$19)),0)</f>
        <v>505.970011564305</v>
      </c>
      <c r="V377" s="32" t="n">
        <f aca="false">IF($A377&gt;=Premissas!$C$27,MAX(0,P377-Q377-R377-S377)*Premissas!$C$49,0)</f>
        <v>1844.01782654634</v>
      </c>
      <c r="W377" s="32" t="n">
        <f aca="false">P377-Q377-R377-S377-T377-U377-V377</f>
        <v>3343.59150802017</v>
      </c>
      <c r="X377" s="32" t="n">
        <f aca="false">W377-F377-G377-H377-M377</f>
        <v>3343.59150802017</v>
      </c>
      <c r="Y377" s="32" t="n">
        <f aca="false">Y376+X377</f>
        <v>-196870.71461203</v>
      </c>
      <c r="Z377" s="32" t="n">
        <f aca="false">Premissas!$C$14*(1+Premissas!$C$57)^((YEAR(Premissas!$C$19)-YEAR(Premissas!$C$18))*12+MONTH(Premissas!$C$19)-MONTH(Premissas!$C$18))*(1+Premissas!$C$61)^((YEAR($A377)-YEAR(Premissas!$C$19))*12+MONTH($A377)-MONTH(Premissas!$C$19))</f>
        <v>2170176.84270441</v>
      </c>
      <c r="AA377" s="32" t="n">
        <f aca="false">IF($A377&gt;=Premissas!$C$25,Z377*(1-Premissas!$C$53)-N377-Premissas!$C$54*MAX(0,Z377*(1-Premissas!$C$53)-(Premissas!$C$14*(1+Premissas!$C$57)^((YEAR(Premissas!$C$25)-YEAR(Premissas!$C$18))*12+MONTH(Premissas!$C$25)-MONTH(Premissas!$C$18))*(1+Premissas!$C$34))),"")</f>
        <v>1815173.50683249</v>
      </c>
      <c r="AB377" s="32" t="n">
        <f aca="false">IF($A377&gt;=Premissas!$C$25,Y377+AA377,"")</f>
        <v>1618302.79222046</v>
      </c>
      <c r="AC377" s="29" t="n">
        <f aca="false">IF(AND($A377&gt;=Premissas!$C$27,W377&gt;=M377),$A377,"")</f>
        <v>57711</v>
      </c>
      <c r="AD377" s="29" t="str">
        <f aca="false">IF(AND($A377&gt;=Premissas!$C$27,Y377&gt;=0),$A377,"")</f>
        <v/>
      </c>
      <c r="AE377" s="29" t="n">
        <f aca="false">IF(AND($A377&gt;=Premissas!$C$25,N(AB377)&gt;=0),$A377,"")</f>
        <v>57711</v>
      </c>
    </row>
    <row r="378" customFormat="false" ht="15" hidden="false" customHeight="false" outlineLevel="0" collapsed="false">
      <c r="A378" s="20" t="n">
        <f aca="false">DATE(YEAR(A377),MONTH(A377)+1,1)</f>
        <v>57742</v>
      </c>
      <c r="B378" s="5" t="str">
        <f aca="false">IF($A378&lt;Premissas!$C$25,"Obra",IF($A378=Premissas!$C$25,"Chaves",IF($A378&lt;Premissas!$C$27,"Mobiliando","Airbnb")))</f>
        <v>Airbnb</v>
      </c>
      <c r="C378" s="35" t="n">
        <f aca="false">(YEAR($A378)-YEAR(Premissas!$C$18))*12+MONTH($A378)-MONTH(Premissas!$C$18)</f>
        <v>377</v>
      </c>
      <c r="D378" s="16" t="n">
        <f aca="false">($A378=Premissas!$C$19)*Premissas!$C$8+(($A378=EDATE(Premissas!$C$19,1))+($A378=EDATE(Premissas!$C$19,2)))*Premissas!$C$9+AND($A378&gt;=Premissas!$C$20,$A378&lt;EDATE(Premissas!$C$20,Premissas!$C$21))*Premissas!$C$10+(($A378=Premissas!$C$22)+($A378=Premissas!$C$23)+($A378=Premissas!$C$24))*Premissas!$C$11+($A378=Premissas!$C$25)*Premissas!$C$12</f>
        <v>0</v>
      </c>
      <c r="E378" s="36" t="n">
        <f aca="false">(1+Premissas!$C$57)^C378</f>
        <v>5.3766872280826</v>
      </c>
      <c r="F378" s="16" t="n">
        <f aca="false">D378*E378</f>
        <v>0</v>
      </c>
      <c r="G378" s="16" t="n">
        <f aca="false">($A378=Premissas!$C$25)*Premissas!$C$34*Premissas!$C$14*(1+Premissas!$C$57)^C378</f>
        <v>0</v>
      </c>
      <c r="H378" s="16" t="n">
        <f aca="false">IF(AND($A378&gt;Premissas!$C$25,$A378&lt;Premissas!$C$27),Premissas!$C$35/MAX(1,Premissas!$C$26),0)</f>
        <v>0</v>
      </c>
      <c r="I378" s="35" t="n">
        <f aca="false">IF(AND($A378&gt;Premissas!$C$25,((YEAR($A378)-YEAR(Premissas!$C$25))*12+MONTH($A378)-MONTH(Premissas!$C$25))&lt;=Premissas!$C$32),((YEAR($A378)-YEAR(Premissas!$C$25))*12+MONTH($A378)-MONTH(Premissas!$C$25)),0)</f>
        <v>0</v>
      </c>
      <c r="J378" s="16" t="n">
        <f aca="false">IF(I378&gt;0,N377*(1+Premissas!$C$59),0)</f>
        <v>0</v>
      </c>
      <c r="K378" s="16" t="n">
        <f aca="false">J378*Premissas!$C$58</f>
        <v>0</v>
      </c>
      <c r="L378" s="16" t="n">
        <f aca="false">IF(I378&gt;0,J378/(Premissas!$C$32-I378+1),0)</f>
        <v>0</v>
      </c>
      <c r="M378" s="16" t="n">
        <f aca="false">K378+L378</f>
        <v>0</v>
      </c>
      <c r="N378" s="16" t="n">
        <f aca="false">IF($A378=Premissas!$C$25,Premissas!$C$13*E378,IF(I378&gt;0,J378-L378,0))</f>
        <v>0</v>
      </c>
      <c r="O378" s="37" t="n">
        <f aca="false">IF($A378&gt;=Premissas!$C$27,Premissas!$C$39*IF(((YEAR($A378)-YEAR(Premissas!$C$27))*12+MONTH($A378)-MONTH(Premissas!$C$27))&lt;Premissas!$C$41,Premissas!$C$42,1),0)</f>
        <v>0.62</v>
      </c>
      <c r="P378" s="16" t="n">
        <f aca="false">O378*Premissas!$C$38*Premissas!$C$40*(1+Premissas!$C$60)^((YEAR($A378)-YEAR(Premissas!$C$19))*12+MONTH($A378)-MONTH(Premissas!$C$19))</f>
        <v>14477.5056615276</v>
      </c>
      <c r="Q378" s="16" t="n">
        <f aca="false">P378*Premissas!$C$43</f>
        <v>2316.40090584442</v>
      </c>
      <c r="R378" s="16" t="n">
        <f aca="false">P378*Premissas!$C$44</f>
        <v>2895.50113230553</v>
      </c>
      <c r="S378" s="16" t="n">
        <f aca="false">IF($A378&gt;=Premissas!$C$25,Premissas!$C$45*(1+Premissas!$C$60)^((YEAR($A378)-YEAR(Premissas!$C$19))*12+MONTH($A378)-MONTH(Premissas!$C$19)),0)</f>
        <v>2538.13212859882</v>
      </c>
      <c r="T378" s="16" t="n">
        <f aca="false">IF($A378&gt;=Premissas!$C$27,Premissas!$C$46*(1+Premissas!$C$60)^((YEAR($A378)-YEAR(Premissas!$C$19))*12+MONTH($A378)-MONTH(Premissas!$C$19)),0)</f>
        <v>1015.25285143953</v>
      </c>
      <c r="U378" s="16" t="n">
        <f aca="false">IF($A378&gt;=Premissas!$C$27,Premissas!$C$47*(1+Premissas!$C$60)^((YEAR($A378)-YEAR(Premissas!$C$19))*12+MONTH($A378)-MONTH(Premissas!$C$19)),0)</f>
        <v>507.626425719763</v>
      </c>
      <c r="V378" s="16" t="n">
        <f aca="false">IF($A378&gt;=Premissas!$C$27,MAX(0,P378-Q378-R378-S378)*Premissas!$C$49,0)</f>
        <v>1850.05466106419</v>
      </c>
      <c r="W378" s="16" t="n">
        <f aca="false">P378-Q378-R378-S378-T378-U378-V378</f>
        <v>3354.5375565554</v>
      </c>
      <c r="X378" s="16" t="n">
        <f aca="false">W378-F378-G378-H378-M378</f>
        <v>3354.5375565554</v>
      </c>
      <c r="Y378" s="16" t="n">
        <f aca="false">Y377+X378</f>
        <v>-193516.177055475</v>
      </c>
      <c r="Z378" s="16" t="n">
        <f aca="false">Premissas!$C$14*(1+Premissas!$C$57)^((YEAR(Premissas!$C$19)-YEAR(Premissas!$C$18))*12+MONTH(Premissas!$C$19)-MONTH(Premissas!$C$18))*(1+Premissas!$C$61)^((YEAR($A378)-YEAR(Premissas!$C$19))*12+MONTH($A378)-MONTH(Premissas!$C$19))</f>
        <v>2179018.41179399</v>
      </c>
      <c r="AA378" s="16" t="n">
        <f aca="false">IF($A378&gt;=Premissas!$C$25,Z378*(1-Premissas!$C$53)-N378-Premissas!$C$54*MAX(0,Z378*(1-Premissas!$C$53)-(Premissas!$C$14*(1+Premissas!$C$57)^((YEAR(Premissas!$C$25)-YEAR(Premissas!$C$18))*12+MONTH(Premissas!$C$25)-MONTH(Premissas!$C$18))*(1+Premissas!$C$34))),"")</f>
        <v>1822237.92053507</v>
      </c>
      <c r="AB378" s="16" t="n">
        <f aca="false">IF($A378&gt;=Premissas!$C$25,Y378+AA378,"")</f>
        <v>1628721.74347959</v>
      </c>
      <c r="AC378" s="20" t="n">
        <f aca="false">IF(AND($A378&gt;=Premissas!$C$27,W378&gt;=M378),$A378,"")</f>
        <v>57742</v>
      </c>
      <c r="AD378" s="20" t="str">
        <f aca="false">IF(AND($A378&gt;=Premissas!$C$27,Y378&gt;=0),$A378,"")</f>
        <v/>
      </c>
      <c r="AE378" s="20" t="n">
        <f aca="false">IF(AND($A378&gt;=Premissas!$C$25,N(AB378)&gt;=0),$A378,"")</f>
        <v>57742</v>
      </c>
    </row>
    <row r="379" customFormat="false" ht="15" hidden="false" customHeight="false" outlineLevel="0" collapsed="false">
      <c r="A379" s="20" t="n">
        <f aca="false">DATE(YEAR(A378),MONTH(A378)+1,1)</f>
        <v>57770</v>
      </c>
      <c r="B379" s="5" t="str">
        <f aca="false">IF($A379&lt;Premissas!$C$25,"Obra",IF($A379=Premissas!$C$25,"Chaves",IF($A379&lt;Premissas!$C$27,"Mobiliando","Airbnb")))</f>
        <v>Airbnb</v>
      </c>
      <c r="C379" s="35" t="n">
        <f aca="false">(YEAR($A379)-YEAR(Premissas!$C$18))*12+MONTH($A379)-MONTH(Premissas!$C$18)</f>
        <v>378</v>
      </c>
      <c r="D379" s="16" t="n">
        <f aca="false">($A379=Premissas!$C$19)*Premissas!$C$8+(($A379=EDATE(Premissas!$C$19,1))+($A379=EDATE(Premissas!$C$19,2)))*Premissas!$C$9+AND($A379&gt;=Premissas!$C$20,$A379&lt;EDATE(Premissas!$C$20,Premissas!$C$21))*Premissas!$C$10+(($A379=Premissas!$C$22)+($A379=Premissas!$C$23)+($A379=Premissas!$C$24))*Premissas!$C$11+($A379=Premissas!$C$25)*Premissas!$C$12</f>
        <v>0</v>
      </c>
      <c r="E379" s="36" t="n">
        <f aca="false">(1+Premissas!$C$57)^C379</f>
        <v>5.40073015453769</v>
      </c>
      <c r="F379" s="16" t="n">
        <f aca="false">D379*E379</f>
        <v>0</v>
      </c>
      <c r="G379" s="16" t="n">
        <f aca="false">($A379=Premissas!$C$25)*Premissas!$C$34*Premissas!$C$14*(1+Premissas!$C$57)^C379</f>
        <v>0</v>
      </c>
      <c r="H379" s="16" t="n">
        <f aca="false">IF(AND($A379&gt;Premissas!$C$25,$A379&lt;Premissas!$C$27),Premissas!$C$35/MAX(1,Premissas!$C$26),0)</f>
        <v>0</v>
      </c>
      <c r="I379" s="35" t="n">
        <f aca="false">IF(AND($A379&gt;Premissas!$C$25,((YEAR($A379)-YEAR(Premissas!$C$25))*12+MONTH($A379)-MONTH(Premissas!$C$25))&lt;=Premissas!$C$32),((YEAR($A379)-YEAR(Premissas!$C$25))*12+MONTH($A379)-MONTH(Premissas!$C$25)),0)</f>
        <v>0</v>
      </c>
      <c r="J379" s="16" t="n">
        <f aca="false">IF(I379&gt;0,N378*(1+Premissas!$C$59),0)</f>
        <v>0</v>
      </c>
      <c r="K379" s="16" t="n">
        <f aca="false">J379*Premissas!$C$58</f>
        <v>0</v>
      </c>
      <c r="L379" s="16" t="n">
        <f aca="false">IF(I379&gt;0,J379/(Premissas!$C$32-I379+1),0)</f>
        <v>0</v>
      </c>
      <c r="M379" s="16" t="n">
        <f aca="false">K379+L379</f>
        <v>0</v>
      </c>
      <c r="N379" s="16" t="n">
        <f aca="false">IF($A379=Premissas!$C$25,Premissas!$C$13*E379,IF(I379&gt;0,J379-L379,0))</f>
        <v>0</v>
      </c>
      <c r="O379" s="37" t="n">
        <f aca="false">IF($A379&gt;=Premissas!$C$27,Premissas!$C$39*IF(((YEAR($A379)-YEAR(Premissas!$C$27))*12+MONTH($A379)-MONTH(Premissas!$C$27))&lt;Premissas!$C$41,Premissas!$C$42,1),0)</f>
        <v>0.62</v>
      </c>
      <c r="P379" s="16" t="n">
        <f aca="false">O379*Premissas!$C$38*Premissas!$C$40*(1+Premissas!$C$60)^((YEAR($A379)-YEAR(Premissas!$C$19))*12+MONTH($A379)-MONTH(Premissas!$C$19))</f>
        <v>14524.9012477588</v>
      </c>
      <c r="Q379" s="16" t="n">
        <f aca="false">P379*Premissas!$C$43</f>
        <v>2323.98419964141</v>
      </c>
      <c r="R379" s="16" t="n">
        <f aca="false">P379*Premissas!$C$44</f>
        <v>2904.98024955176</v>
      </c>
      <c r="S379" s="16" t="n">
        <f aca="false">IF($A379&gt;=Premissas!$C$25,Premissas!$C$45*(1+Premissas!$C$60)^((YEAR($A379)-YEAR(Premissas!$C$19))*12+MONTH($A379)-MONTH(Premissas!$C$19)),0)</f>
        <v>2546.44131272069</v>
      </c>
      <c r="T379" s="16" t="n">
        <f aca="false">IF($A379&gt;=Premissas!$C$27,Premissas!$C$46*(1+Premissas!$C$60)^((YEAR($A379)-YEAR(Premissas!$C$19))*12+MONTH($A379)-MONTH(Premissas!$C$19)),0)</f>
        <v>1018.57652508827</v>
      </c>
      <c r="U379" s="16" t="n">
        <f aca="false">IF($A379&gt;=Premissas!$C$27,Premissas!$C$47*(1+Premissas!$C$60)^((YEAR($A379)-YEAR(Premissas!$C$19))*12+MONTH($A379)-MONTH(Premissas!$C$19)),0)</f>
        <v>509.288262544137</v>
      </c>
      <c r="V379" s="16" t="n">
        <f aca="false">IF($A379&gt;=Premissas!$C$27,MAX(0,P379-Q379-R379-S379)*Premissas!$C$49,0)</f>
        <v>1856.11125860736</v>
      </c>
      <c r="W379" s="16" t="n">
        <f aca="false">P379-Q379-R379-S379-T379-U379-V379</f>
        <v>3365.51943960517</v>
      </c>
      <c r="X379" s="16" t="n">
        <f aca="false">W379-F379-G379-H379-M379</f>
        <v>3365.51943960517</v>
      </c>
      <c r="Y379" s="16" t="n">
        <f aca="false">Y378+X379</f>
        <v>-190150.65761587</v>
      </c>
      <c r="Z379" s="16" t="n">
        <f aca="false">Premissas!$C$14*(1+Premissas!$C$57)^((YEAR(Premissas!$C$19)-YEAR(Premissas!$C$18))*12+MONTH(Premissas!$C$19)-MONTH(Premissas!$C$18))*(1+Premissas!$C$61)^((YEAR($A379)-YEAR(Premissas!$C$19))*12+MONTH($A379)-MONTH(Premissas!$C$19))</f>
        <v>2187896.00253049</v>
      </c>
      <c r="AA379" s="16" t="n">
        <f aca="false">IF($A379&gt;=Premissas!$C$25,Z379*(1-Premissas!$C$53)-N379-Premissas!$C$54*MAX(0,Z379*(1-Premissas!$C$53)-(Premissas!$C$14*(1+Premissas!$C$57)^((YEAR(Premissas!$C$25)-YEAR(Premissas!$C$18))*12+MONTH(Premissas!$C$25)-MONTH(Premissas!$C$18))*(1+Premissas!$C$34))),"")</f>
        <v>1829331.11553353</v>
      </c>
      <c r="AB379" s="16" t="n">
        <f aca="false">IF($A379&gt;=Premissas!$C$25,Y379+AA379,"")</f>
        <v>1639180.45791766</v>
      </c>
      <c r="AC379" s="20" t="n">
        <f aca="false">IF(AND($A379&gt;=Premissas!$C$27,W379&gt;=M379),$A379,"")</f>
        <v>57770</v>
      </c>
      <c r="AD379" s="20" t="str">
        <f aca="false">IF(AND($A379&gt;=Premissas!$C$27,Y379&gt;=0),$A379,"")</f>
        <v/>
      </c>
      <c r="AE379" s="20" t="n">
        <f aca="false">IF(AND($A379&gt;=Premissas!$C$25,N(AB379)&gt;=0),$A379,"")</f>
        <v>57770</v>
      </c>
    </row>
    <row r="380" customFormat="false" ht="15" hidden="false" customHeight="false" outlineLevel="0" collapsed="false">
      <c r="A380" s="20" t="n">
        <f aca="false">DATE(YEAR(A379),MONTH(A379)+1,1)</f>
        <v>57801</v>
      </c>
      <c r="B380" s="5" t="str">
        <f aca="false">IF($A380&lt;Premissas!$C$25,"Obra",IF($A380=Premissas!$C$25,"Chaves",IF($A380&lt;Premissas!$C$27,"Mobiliando","Airbnb")))</f>
        <v>Airbnb</v>
      </c>
      <c r="C380" s="35" t="n">
        <f aca="false">(YEAR($A380)-YEAR(Premissas!$C$18))*12+MONTH($A380)-MONTH(Premissas!$C$18)</f>
        <v>379</v>
      </c>
      <c r="D380" s="16" t="n">
        <f aca="false">($A380=Premissas!$C$19)*Premissas!$C$8+(($A380=EDATE(Premissas!$C$19,1))+($A380=EDATE(Premissas!$C$19,2)))*Premissas!$C$9+AND($A380&gt;=Premissas!$C$20,$A380&lt;EDATE(Premissas!$C$20,Premissas!$C$21))*Premissas!$C$10+(($A380=Premissas!$C$22)+($A380=Premissas!$C$23)+($A380=Premissas!$C$24))*Premissas!$C$11+($A380=Premissas!$C$25)*Premissas!$C$12</f>
        <v>0</v>
      </c>
      <c r="E380" s="36" t="n">
        <f aca="false">(1+Premissas!$C$57)^C380</f>
        <v>5.42488059372098</v>
      </c>
      <c r="F380" s="16" t="n">
        <f aca="false">D380*E380</f>
        <v>0</v>
      </c>
      <c r="G380" s="16" t="n">
        <f aca="false">($A380=Premissas!$C$25)*Premissas!$C$34*Premissas!$C$14*(1+Premissas!$C$57)^C380</f>
        <v>0</v>
      </c>
      <c r="H380" s="16" t="n">
        <f aca="false">IF(AND($A380&gt;Premissas!$C$25,$A380&lt;Premissas!$C$27),Premissas!$C$35/MAX(1,Premissas!$C$26),0)</f>
        <v>0</v>
      </c>
      <c r="I380" s="35" t="n">
        <f aca="false">IF(AND($A380&gt;Premissas!$C$25,((YEAR($A380)-YEAR(Premissas!$C$25))*12+MONTH($A380)-MONTH(Premissas!$C$25))&lt;=Premissas!$C$32),((YEAR($A380)-YEAR(Premissas!$C$25))*12+MONTH($A380)-MONTH(Premissas!$C$25)),0)</f>
        <v>0</v>
      </c>
      <c r="J380" s="16" t="n">
        <f aca="false">IF(I380&gt;0,N379*(1+Premissas!$C$59),0)</f>
        <v>0</v>
      </c>
      <c r="K380" s="16" t="n">
        <f aca="false">J380*Premissas!$C$58</f>
        <v>0</v>
      </c>
      <c r="L380" s="16" t="n">
        <f aca="false">IF(I380&gt;0,J380/(Premissas!$C$32-I380+1),0)</f>
        <v>0</v>
      </c>
      <c r="M380" s="16" t="n">
        <f aca="false">K380+L380</f>
        <v>0</v>
      </c>
      <c r="N380" s="16" t="n">
        <f aca="false">IF($A380=Premissas!$C$25,Premissas!$C$13*E380,IF(I380&gt;0,J380-L380,0))</f>
        <v>0</v>
      </c>
      <c r="O380" s="37" t="n">
        <f aca="false">IF($A380&gt;=Premissas!$C$27,Premissas!$C$39*IF(((YEAR($A380)-YEAR(Premissas!$C$27))*12+MONTH($A380)-MONTH(Premissas!$C$27))&lt;Premissas!$C$41,Premissas!$C$42,1),0)</f>
        <v>0.62</v>
      </c>
      <c r="P380" s="16" t="n">
        <f aca="false">O380*Premissas!$C$38*Premissas!$C$40*(1+Premissas!$C$60)^((YEAR($A380)-YEAR(Premissas!$C$19))*12+MONTH($A380)-MONTH(Premissas!$C$19))</f>
        <v>14572.4519948061</v>
      </c>
      <c r="Q380" s="16" t="n">
        <f aca="false">P380*Premissas!$C$43</f>
        <v>2331.59231916898</v>
      </c>
      <c r="R380" s="16" t="n">
        <f aca="false">P380*Premissas!$C$44</f>
        <v>2914.49039896122</v>
      </c>
      <c r="S380" s="16" t="n">
        <f aca="false">IF($A380&gt;=Premissas!$C$25,Premissas!$C$45*(1+Premissas!$C$60)^((YEAR($A380)-YEAR(Premissas!$C$19))*12+MONTH($A380)-MONTH(Premissas!$C$19)),0)</f>
        <v>2554.77769894918</v>
      </c>
      <c r="T380" s="16" t="n">
        <f aca="false">IF($A380&gt;=Premissas!$C$27,Premissas!$C$46*(1+Premissas!$C$60)^((YEAR($A380)-YEAR(Premissas!$C$19))*12+MONTH($A380)-MONTH(Premissas!$C$19)),0)</f>
        <v>1021.91107957967</v>
      </c>
      <c r="U380" s="16" t="n">
        <f aca="false">IF($A380&gt;=Premissas!$C$27,Premissas!$C$47*(1+Premissas!$C$60)^((YEAR($A380)-YEAR(Premissas!$C$19))*12+MONTH($A380)-MONTH(Premissas!$C$19)),0)</f>
        <v>510.955539789835</v>
      </c>
      <c r="V380" s="16" t="n">
        <f aca="false">IF($A380&gt;=Premissas!$C$27,MAX(0,P380-Q380-R380-S380)*Premissas!$C$49,0)</f>
        <v>1862.18768387485</v>
      </c>
      <c r="W380" s="16" t="n">
        <f aca="false">P380-Q380-R380-S380-T380-U380-V380</f>
        <v>3376.53727448237</v>
      </c>
      <c r="X380" s="16" t="n">
        <f aca="false">W380-F380-G380-H380-M380</f>
        <v>3376.53727448237</v>
      </c>
      <c r="Y380" s="16" t="n">
        <f aca="false">Y379+X380</f>
        <v>-186774.120341387</v>
      </c>
      <c r="Z380" s="16" t="n">
        <f aca="false">Premissas!$C$14*(1+Premissas!$C$57)^((YEAR(Premissas!$C$19)-YEAR(Premissas!$C$18))*12+MONTH(Premissas!$C$19)-MONTH(Premissas!$C$18))*(1+Premissas!$C$61)^((YEAR($A380)-YEAR(Premissas!$C$19))*12+MONTH($A380)-MONTH(Premissas!$C$19))</f>
        <v>2196809.76167055</v>
      </c>
      <c r="AA380" s="16" t="n">
        <f aca="false">IF($A380&gt;=Premissas!$C$25,Z380*(1-Premissas!$C$53)-N380-Premissas!$C$54*MAX(0,Z380*(1-Premissas!$C$53)-(Premissas!$C$14*(1+Premissas!$C$57)^((YEAR(Premissas!$C$25)-YEAR(Premissas!$C$18))*12+MONTH(Premissas!$C$25)-MONTH(Premissas!$C$18))*(1+Premissas!$C$34))),"")</f>
        <v>1836453.20908643</v>
      </c>
      <c r="AB380" s="16" t="n">
        <f aca="false">IF($A380&gt;=Premissas!$C$25,Y380+AA380,"")</f>
        <v>1649679.08874505</v>
      </c>
      <c r="AC380" s="20" t="n">
        <f aca="false">IF(AND($A380&gt;=Premissas!$C$27,W380&gt;=M380),$A380,"")</f>
        <v>57801</v>
      </c>
      <c r="AD380" s="20" t="str">
        <f aca="false">IF(AND($A380&gt;=Premissas!$C$27,Y380&gt;=0),$A380,"")</f>
        <v/>
      </c>
      <c r="AE380" s="20" t="n">
        <f aca="false">IF(AND($A380&gt;=Premissas!$C$25,N(AB380)&gt;=0),$A380,"")</f>
        <v>57801</v>
      </c>
    </row>
    <row r="381" customFormat="false" ht="15" hidden="false" customHeight="false" outlineLevel="0" collapsed="false">
      <c r="A381" s="20" t="n">
        <f aca="false">DATE(YEAR(A380),MONTH(A380)+1,1)</f>
        <v>57831</v>
      </c>
      <c r="B381" s="5" t="str">
        <f aca="false">IF($A381&lt;Premissas!$C$25,"Obra",IF($A381=Premissas!$C$25,"Chaves",IF($A381&lt;Premissas!$C$27,"Mobiliando","Airbnb")))</f>
        <v>Airbnb</v>
      </c>
      <c r="C381" s="35" t="n">
        <f aca="false">(YEAR($A381)-YEAR(Premissas!$C$18))*12+MONTH($A381)-MONTH(Premissas!$C$18)</f>
        <v>380</v>
      </c>
      <c r="D381" s="16" t="n">
        <f aca="false">($A381=Premissas!$C$19)*Premissas!$C$8+(($A381=EDATE(Premissas!$C$19,1))+($A381=EDATE(Premissas!$C$19,2)))*Premissas!$C$9+AND($A381&gt;=Premissas!$C$20,$A381&lt;EDATE(Premissas!$C$20,Premissas!$C$21))*Premissas!$C$10+(($A381=Premissas!$C$22)+($A381=Premissas!$C$23)+($A381=Premissas!$C$24))*Premissas!$C$11+($A381=Premissas!$C$25)*Premissas!$C$12</f>
        <v>0</v>
      </c>
      <c r="E381" s="36" t="n">
        <f aca="false">(1+Premissas!$C$57)^C381</f>
        <v>5.44913902639701</v>
      </c>
      <c r="F381" s="16" t="n">
        <f aca="false">D381*E381</f>
        <v>0</v>
      </c>
      <c r="G381" s="16" t="n">
        <f aca="false">($A381=Premissas!$C$25)*Premissas!$C$34*Premissas!$C$14*(1+Premissas!$C$57)^C381</f>
        <v>0</v>
      </c>
      <c r="H381" s="16" t="n">
        <f aca="false">IF(AND($A381&gt;Premissas!$C$25,$A381&lt;Premissas!$C$27),Premissas!$C$35/MAX(1,Premissas!$C$26),0)</f>
        <v>0</v>
      </c>
      <c r="I381" s="35" t="n">
        <f aca="false">IF(AND($A381&gt;Premissas!$C$25,((YEAR($A381)-YEAR(Premissas!$C$25))*12+MONTH($A381)-MONTH(Premissas!$C$25))&lt;=Premissas!$C$32),((YEAR($A381)-YEAR(Premissas!$C$25))*12+MONTH($A381)-MONTH(Premissas!$C$25)),0)</f>
        <v>0</v>
      </c>
      <c r="J381" s="16" t="n">
        <f aca="false">IF(I381&gt;0,N380*(1+Premissas!$C$59),0)</f>
        <v>0</v>
      </c>
      <c r="K381" s="16" t="n">
        <f aca="false">J381*Premissas!$C$58</f>
        <v>0</v>
      </c>
      <c r="L381" s="16" t="n">
        <f aca="false">IF(I381&gt;0,J381/(Premissas!$C$32-I381+1),0)</f>
        <v>0</v>
      </c>
      <c r="M381" s="16" t="n">
        <f aca="false">K381+L381</f>
        <v>0</v>
      </c>
      <c r="N381" s="16" t="n">
        <f aca="false">IF($A381=Premissas!$C$25,Premissas!$C$13*E381,IF(I381&gt;0,J381-L381,0))</f>
        <v>0</v>
      </c>
      <c r="O381" s="37" t="n">
        <f aca="false">IF($A381&gt;=Premissas!$C$27,Premissas!$C$39*IF(((YEAR($A381)-YEAR(Premissas!$C$27))*12+MONTH($A381)-MONTH(Premissas!$C$27))&lt;Premissas!$C$41,Premissas!$C$42,1),0)</f>
        <v>0.62</v>
      </c>
      <c r="P381" s="16" t="n">
        <f aca="false">O381*Premissas!$C$38*Premissas!$C$40*(1+Premissas!$C$60)^((YEAR($A381)-YEAR(Premissas!$C$19))*12+MONTH($A381)-MONTH(Premissas!$C$19))</f>
        <v>14620.1584106257</v>
      </c>
      <c r="Q381" s="16" t="n">
        <f aca="false">P381*Premissas!$C$43</f>
        <v>2339.22534570011</v>
      </c>
      <c r="R381" s="16" t="n">
        <f aca="false">P381*Premissas!$C$44</f>
        <v>2924.03168212514</v>
      </c>
      <c r="S381" s="16" t="n">
        <f aca="false">IF($A381&gt;=Premissas!$C$25,Premissas!$C$45*(1+Premissas!$C$60)^((YEAR($A381)-YEAR(Premissas!$C$19))*12+MONTH($A381)-MONTH(Premissas!$C$19)),0)</f>
        <v>2563.1413763369</v>
      </c>
      <c r="T381" s="16" t="n">
        <f aca="false">IF($A381&gt;=Premissas!$C$27,Premissas!$C$46*(1+Premissas!$C$60)^((YEAR($A381)-YEAR(Premissas!$C$19))*12+MONTH($A381)-MONTH(Premissas!$C$19)),0)</f>
        <v>1025.25655053476</v>
      </c>
      <c r="U381" s="16" t="n">
        <f aca="false">IF($A381&gt;=Premissas!$C$27,Premissas!$C$47*(1+Premissas!$C$60)^((YEAR($A381)-YEAR(Premissas!$C$19))*12+MONTH($A381)-MONTH(Premissas!$C$19)),0)</f>
        <v>512.62827526738</v>
      </c>
      <c r="V381" s="16" t="n">
        <f aca="false">IF($A381&gt;=Premissas!$C$27,MAX(0,P381-Q381-R381-S381)*Premissas!$C$49,0)</f>
        <v>1868.28400177747</v>
      </c>
      <c r="W381" s="16" t="n">
        <f aca="false">P381-Q381-R381-S381-T381-U381-V381</f>
        <v>3387.59117888392</v>
      </c>
      <c r="X381" s="16" t="n">
        <f aca="false">W381-F381-G381-H381-M381</f>
        <v>3387.59117888392</v>
      </c>
      <c r="Y381" s="16" t="n">
        <f aca="false">Y380+X381</f>
        <v>-183386.529162503</v>
      </c>
      <c r="Z381" s="16" t="n">
        <f aca="false">Premissas!$C$14*(1+Premissas!$C$57)^((YEAR(Premissas!$C$19)-YEAR(Premissas!$C$18))*12+MONTH(Premissas!$C$19)-MONTH(Premissas!$C$18))*(1+Premissas!$C$61)^((YEAR($A381)-YEAR(Premissas!$C$19))*12+MONTH($A381)-MONTH(Premissas!$C$19))</f>
        <v>2205759.83656872</v>
      </c>
      <c r="AA381" s="16" t="n">
        <f aca="false">IF($A381&gt;=Premissas!$C$25,Z381*(1-Premissas!$C$53)-N381-Premissas!$C$54*MAX(0,Z381*(1-Premissas!$C$53)-(Premissas!$C$14*(1+Premissas!$C$57)^((YEAR(Premissas!$C$25)-YEAR(Premissas!$C$18))*12+MONTH(Premissas!$C$25)-MONTH(Premissas!$C$18))*(1+Premissas!$C$34))),"")</f>
        <v>1843604.31893007</v>
      </c>
      <c r="AB381" s="16" t="n">
        <f aca="false">IF($A381&gt;=Premissas!$C$25,Y381+AA381,"")</f>
        <v>1660217.78976757</v>
      </c>
      <c r="AC381" s="20" t="n">
        <f aca="false">IF(AND($A381&gt;=Premissas!$C$27,W381&gt;=M381),$A381,"")</f>
        <v>57831</v>
      </c>
      <c r="AD381" s="20" t="str">
        <f aca="false">IF(AND($A381&gt;=Premissas!$C$27,Y381&gt;=0),$A381,"")</f>
        <v/>
      </c>
      <c r="AE381" s="20" t="n">
        <f aca="false">IF(AND($A381&gt;=Premissas!$C$25,N(AB381)&gt;=0),$A381,"")</f>
        <v>57831</v>
      </c>
    </row>
    <row r="382" customFormat="false" ht="15" hidden="false" customHeight="false" outlineLevel="0" collapsed="false">
      <c r="A382" s="20" t="n">
        <f aca="false">DATE(YEAR(A381),MONTH(A381)+1,1)</f>
        <v>57862</v>
      </c>
      <c r="B382" s="5" t="str">
        <f aca="false">IF($A382&lt;Premissas!$C$25,"Obra",IF($A382=Premissas!$C$25,"Chaves",IF($A382&lt;Premissas!$C$27,"Mobiliando","Airbnb")))</f>
        <v>Airbnb</v>
      </c>
      <c r="C382" s="35" t="n">
        <f aca="false">(YEAR($A382)-YEAR(Premissas!$C$18))*12+MONTH($A382)-MONTH(Premissas!$C$18)</f>
        <v>381</v>
      </c>
      <c r="D382" s="16" t="n">
        <f aca="false">($A382=Premissas!$C$19)*Premissas!$C$8+(($A382=EDATE(Premissas!$C$19,1))+($A382=EDATE(Premissas!$C$19,2)))*Premissas!$C$9+AND($A382&gt;=Premissas!$C$20,$A382&lt;EDATE(Premissas!$C$20,Premissas!$C$21))*Premissas!$C$10+(($A382=Premissas!$C$22)+($A382=Premissas!$C$23)+($A382=Premissas!$C$24))*Premissas!$C$11+($A382=Premissas!$C$25)*Premissas!$C$12</f>
        <v>0</v>
      </c>
      <c r="E382" s="36" t="n">
        <f aca="false">(1+Premissas!$C$57)^C382</f>
        <v>5.47350593548017</v>
      </c>
      <c r="F382" s="16" t="n">
        <f aca="false">D382*E382</f>
        <v>0</v>
      </c>
      <c r="G382" s="16" t="n">
        <f aca="false">($A382=Premissas!$C$25)*Premissas!$C$34*Premissas!$C$14*(1+Premissas!$C$57)^C382</f>
        <v>0</v>
      </c>
      <c r="H382" s="16" t="n">
        <f aca="false">IF(AND($A382&gt;Premissas!$C$25,$A382&lt;Premissas!$C$27),Premissas!$C$35/MAX(1,Premissas!$C$26),0)</f>
        <v>0</v>
      </c>
      <c r="I382" s="35" t="n">
        <f aca="false">IF(AND($A382&gt;Premissas!$C$25,((YEAR($A382)-YEAR(Premissas!$C$25))*12+MONTH($A382)-MONTH(Premissas!$C$25))&lt;=Premissas!$C$32),((YEAR($A382)-YEAR(Premissas!$C$25))*12+MONTH($A382)-MONTH(Premissas!$C$25)),0)</f>
        <v>0</v>
      </c>
      <c r="J382" s="16" t="n">
        <f aca="false">IF(I382&gt;0,N381*(1+Premissas!$C$59),0)</f>
        <v>0</v>
      </c>
      <c r="K382" s="16" t="n">
        <f aca="false">J382*Premissas!$C$58</f>
        <v>0</v>
      </c>
      <c r="L382" s="16" t="n">
        <f aca="false">IF(I382&gt;0,J382/(Premissas!$C$32-I382+1),0)</f>
        <v>0</v>
      </c>
      <c r="M382" s="16" t="n">
        <f aca="false">K382+L382</f>
        <v>0</v>
      </c>
      <c r="N382" s="16" t="n">
        <f aca="false">IF($A382=Premissas!$C$25,Premissas!$C$13*E382,IF(I382&gt;0,J382-L382,0))</f>
        <v>0</v>
      </c>
      <c r="O382" s="37" t="n">
        <f aca="false">IF($A382&gt;=Premissas!$C$27,Premissas!$C$39*IF(((YEAR($A382)-YEAR(Premissas!$C$27))*12+MONTH($A382)-MONTH(Premissas!$C$27))&lt;Premissas!$C$41,Premissas!$C$42,1),0)</f>
        <v>0.62</v>
      </c>
      <c r="P382" s="16" t="n">
        <f aca="false">O382*Premissas!$C$38*Premissas!$C$40*(1+Premissas!$C$60)^((YEAR($A382)-YEAR(Premissas!$C$19))*12+MONTH($A382)-MONTH(Premissas!$C$19))</f>
        <v>14668.0210048366</v>
      </c>
      <c r="Q382" s="16" t="n">
        <f aca="false">P382*Premissas!$C$43</f>
        <v>2346.88336077386</v>
      </c>
      <c r="R382" s="16" t="n">
        <f aca="false">P382*Premissas!$C$44</f>
        <v>2933.60420096732</v>
      </c>
      <c r="S382" s="16" t="n">
        <f aca="false">IF($A382&gt;=Premissas!$C$25,Premissas!$C$45*(1+Premissas!$C$60)^((YEAR($A382)-YEAR(Premissas!$C$19))*12+MONTH($A382)-MONTH(Premissas!$C$19)),0)</f>
        <v>2571.53243422801</v>
      </c>
      <c r="T382" s="16" t="n">
        <f aca="false">IF($A382&gt;=Premissas!$C$27,Premissas!$C$46*(1+Premissas!$C$60)^((YEAR($A382)-YEAR(Premissas!$C$19))*12+MONTH($A382)-MONTH(Premissas!$C$19)),0)</f>
        <v>1028.61297369121</v>
      </c>
      <c r="U382" s="16" t="n">
        <f aca="false">IF($A382&gt;=Premissas!$C$27,Premissas!$C$47*(1+Premissas!$C$60)^((YEAR($A382)-YEAR(Premissas!$C$19))*12+MONTH($A382)-MONTH(Premissas!$C$19)),0)</f>
        <v>514.306486845603</v>
      </c>
      <c r="V382" s="16" t="n">
        <f aca="false">IF($A382&gt;=Premissas!$C$27,MAX(0,P382-Q382-R382-S382)*Premissas!$C$49,0)</f>
        <v>1874.40027743854</v>
      </c>
      <c r="W382" s="16" t="n">
        <f aca="false">P382-Q382-R382-S382-T382-U382-V382</f>
        <v>3398.68127089206</v>
      </c>
      <c r="X382" s="16" t="n">
        <f aca="false">W382-F382-G382-H382-M382</f>
        <v>3398.68127089206</v>
      </c>
      <c r="Y382" s="16" t="n">
        <f aca="false">Y381+X382</f>
        <v>-179987.847891611</v>
      </c>
      <c r="Z382" s="16" t="n">
        <f aca="false">Premissas!$C$14*(1+Premissas!$C$57)^((YEAR(Premissas!$C$19)-YEAR(Premissas!$C$18))*12+MONTH(Premissas!$C$19)-MONTH(Premissas!$C$18))*(1+Premissas!$C$61)^((YEAR($A382)-YEAR(Premissas!$C$19))*12+MONTH($A382)-MONTH(Premissas!$C$19))</f>
        <v>2214746.3751799</v>
      </c>
      <c r="AA382" s="16" t="n">
        <f aca="false">IF($A382&gt;=Premissas!$C$25,Z382*(1-Premissas!$C$53)-N382-Premissas!$C$54*MAX(0,Z382*(1-Premissas!$C$53)-(Premissas!$C$14*(1+Premissas!$C$57)^((YEAR(Premissas!$C$25)-YEAR(Premissas!$C$18))*12+MONTH(Premissas!$C$25)-MONTH(Premissas!$C$18))*(1+Premissas!$C$34))),"")</f>
        <v>1850784.56328041</v>
      </c>
      <c r="AB382" s="16" t="n">
        <f aca="false">IF($A382&gt;=Premissas!$C$25,Y382+AA382,"")</f>
        <v>1670796.7153888</v>
      </c>
      <c r="AC382" s="20" t="n">
        <f aca="false">IF(AND($A382&gt;=Premissas!$C$27,W382&gt;=M382),$A382,"")</f>
        <v>57862</v>
      </c>
      <c r="AD382" s="20" t="str">
        <f aca="false">IF(AND($A382&gt;=Premissas!$C$27,Y382&gt;=0),$A382,"")</f>
        <v/>
      </c>
      <c r="AE382" s="20" t="n">
        <f aca="false">IF(AND($A382&gt;=Premissas!$C$25,N(AB382)&gt;=0),$A382,"")</f>
        <v>57862</v>
      </c>
    </row>
    <row r="383" customFormat="false" ht="15" hidden="false" customHeight="false" outlineLevel="0" collapsed="false">
      <c r="A383" s="20" t="n">
        <f aca="false">DATE(YEAR(A382),MONTH(A382)+1,1)</f>
        <v>57892</v>
      </c>
      <c r="B383" s="5" t="str">
        <f aca="false">IF($A383&lt;Premissas!$C$25,"Obra",IF($A383=Premissas!$C$25,"Chaves",IF($A383&lt;Premissas!$C$27,"Mobiliando","Airbnb")))</f>
        <v>Airbnb</v>
      </c>
      <c r="C383" s="35" t="n">
        <f aca="false">(YEAR($A383)-YEAR(Premissas!$C$18))*12+MONTH($A383)-MONTH(Premissas!$C$18)</f>
        <v>382</v>
      </c>
      <c r="D383" s="16" t="n">
        <f aca="false">($A383=Premissas!$C$19)*Premissas!$C$8+(($A383=EDATE(Premissas!$C$19,1))+($A383=EDATE(Premissas!$C$19,2)))*Premissas!$C$9+AND($A383&gt;=Premissas!$C$20,$A383&lt;EDATE(Premissas!$C$20,Premissas!$C$21))*Premissas!$C$10+(($A383=Premissas!$C$22)+($A383=Premissas!$C$23)+($A383=Premissas!$C$24))*Premissas!$C$11+($A383=Premissas!$C$25)*Premissas!$C$12</f>
        <v>0</v>
      </c>
      <c r="E383" s="36" t="n">
        <f aca="false">(1+Premissas!$C$57)^C383</f>
        <v>5.49798180604428</v>
      </c>
      <c r="F383" s="16" t="n">
        <f aca="false">D383*E383</f>
        <v>0</v>
      </c>
      <c r="G383" s="16" t="n">
        <f aca="false">($A383=Premissas!$C$25)*Premissas!$C$34*Premissas!$C$14*(1+Premissas!$C$57)^C383</f>
        <v>0</v>
      </c>
      <c r="H383" s="16" t="n">
        <f aca="false">IF(AND($A383&gt;Premissas!$C$25,$A383&lt;Premissas!$C$27),Premissas!$C$35/MAX(1,Premissas!$C$26),0)</f>
        <v>0</v>
      </c>
      <c r="I383" s="35" t="n">
        <f aca="false">IF(AND($A383&gt;Premissas!$C$25,((YEAR($A383)-YEAR(Premissas!$C$25))*12+MONTH($A383)-MONTH(Premissas!$C$25))&lt;=Premissas!$C$32),((YEAR($A383)-YEAR(Premissas!$C$25))*12+MONTH($A383)-MONTH(Premissas!$C$25)),0)</f>
        <v>0</v>
      </c>
      <c r="J383" s="16" t="n">
        <f aca="false">IF(I383&gt;0,N382*(1+Premissas!$C$59),0)</f>
        <v>0</v>
      </c>
      <c r="K383" s="16" t="n">
        <f aca="false">J383*Premissas!$C$58</f>
        <v>0</v>
      </c>
      <c r="L383" s="16" t="n">
        <f aca="false">IF(I383&gt;0,J383/(Premissas!$C$32-I383+1),0)</f>
        <v>0</v>
      </c>
      <c r="M383" s="16" t="n">
        <f aca="false">K383+L383</f>
        <v>0</v>
      </c>
      <c r="N383" s="16" t="n">
        <f aca="false">IF($A383=Premissas!$C$25,Premissas!$C$13*E383,IF(I383&gt;0,J383-L383,0))</f>
        <v>0</v>
      </c>
      <c r="O383" s="37" t="n">
        <f aca="false">IF($A383&gt;=Premissas!$C$27,Premissas!$C$39*IF(((YEAR($A383)-YEAR(Premissas!$C$27))*12+MONTH($A383)-MONTH(Premissas!$C$27))&lt;Premissas!$C$41,Premissas!$C$42,1),0)</f>
        <v>0.62</v>
      </c>
      <c r="P383" s="16" t="n">
        <f aca="false">O383*Premissas!$C$38*Premissas!$C$40*(1+Premissas!$C$60)^((YEAR($A383)-YEAR(Premissas!$C$19))*12+MONTH($A383)-MONTH(Premissas!$C$19))</f>
        <v>14716.0402887263</v>
      </c>
      <c r="Q383" s="16" t="n">
        <f aca="false">P383*Premissas!$C$43</f>
        <v>2354.5664461962</v>
      </c>
      <c r="R383" s="16" t="n">
        <f aca="false">P383*Premissas!$C$44</f>
        <v>2943.20805774525</v>
      </c>
      <c r="S383" s="16" t="n">
        <f aca="false">IF($A383&gt;=Premissas!$C$25,Premissas!$C$45*(1+Premissas!$C$60)^((YEAR($A383)-YEAR(Premissas!$C$19))*12+MONTH($A383)-MONTH(Premissas!$C$19)),0)</f>
        <v>2579.95096225916</v>
      </c>
      <c r="T383" s="16" t="n">
        <f aca="false">IF($A383&gt;=Premissas!$C$27,Premissas!$C$46*(1+Premissas!$C$60)^((YEAR($A383)-YEAR(Premissas!$C$19))*12+MONTH($A383)-MONTH(Premissas!$C$19)),0)</f>
        <v>1031.98038490366</v>
      </c>
      <c r="U383" s="16" t="n">
        <f aca="false">IF($A383&gt;=Premissas!$C$27,Premissas!$C$47*(1+Premissas!$C$60)^((YEAR($A383)-YEAR(Premissas!$C$19))*12+MONTH($A383)-MONTH(Premissas!$C$19)),0)</f>
        <v>515.990192451832</v>
      </c>
      <c r="V383" s="16" t="n">
        <f aca="false">IF($A383&gt;=Premissas!$C$27,MAX(0,P383-Q383-R383-S383)*Premissas!$C$49,0)</f>
        <v>1880.53657619455</v>
      </c>
      <c r="W383" s="16" t="n">
        <f aca="false">P383-Q383-R383-S383-T383-U383-V383</f>
        <v>3409.80766897559</v>
      </c>
      <c r="X383" s="16" t="n">
        <f aca="false">W383-F383-G383-H383-M383</f>
        <v>3409.80766897559</v>
      </c>
      <c r="Y383" s="16" t="n">
        <f aca="false">Y382+X383</f>
        <v>-176578.040222636</v>
      </c>
      <c r="Z383" s="16" t="n">
        <f aca="false">Premissas!$C$14*(1+Premissas!$C$57)^((YEAR(Premissas!$C$19)-YEAR(Premissas!$C$18))*12+MONTH(Premissas!$C$19)-MONTH(Premissas!$C$18))*(1+Premissas!$C$61)^((YEAR($A383)-YEAR(Premissas!$C$19))*12+MONTH($A383)-MONTH(Premissas!$C$19))</f>
        <v>2223769.52606177</v>
      </c>
      <c r="AA383" s="16" t="n">
        <f aca="false">IF($A383&gt;=Premissas!$C$25,Z383*(1-Premissas!$C$53)-N383-Premissas!$C$54*MAX(0,Z383*(1-Premissas!$C$53)-(Premissas!$C$14*(1+Premissas!$C$57)^((YEAR(Premissas!$C$25)-YEAR(Premissas!$C$18))*12+MONTH(Premissas!$C$25)-MONTH(Premissas!$C$18))*(1+Premissas!$C$34))),"")</f>
        <v>1857994.06083502</v>
      </c>
      <c r="AB383" s="16" t="n">
        <f aca="false">IF($A383&gt;=Premissas!$C$25,Y383+AA383,"")</f>
        <v>1681416.02061239</v>
      </c>
      <c r="AC383" s="20" t="n">
        <f aca="false">IF(AND($A383&gt;=Premissas!$C$27,W383&gt;=M383),$A383,"")</f>
        <v>57892</v>
      </c>
      <c r="AD383" s="20" t="str">
        <f aca="false">IF(AND($A383&gt;=Premissas!$C$27,Y383&gt;=0),$A383,"")</f>
        <v/>
      </c>
      <c r="AE383" s="20" t="n">
        <f aca="false">IF(AND($A383&gt;=Premissas!$C$25,N(AB383)&gt;=0),$A383,"")</f>
        <v>57892</v>
      </c>
    </row>
    <row r="384" customFormat="false" ht="15" hidden="false" customHeight="false" outlineLevel="0" collapsed="false">
      <c r="A384" s="20" t="n">
        <f aca="false">DATE(YEAR(A383),MONTH(A383)+1,1)</f>
        <v>57923</v>
      </c>
      <c r="B384" s="5" t="str">
        <f aca="false">IF($A384&lt;Premissas!$C$25,"Obra",IF($A384=Premissas!$C$25,"Chaves",IF($A384&lt;Premissas!$C$27,"Mobiliando","Airbnb")))</f>
        <v>Airbnb</v>
      </c>
      <c r="C384" s="35" t="n">
        <f aca="false">(YEAR($A384)-YEAR(Premissas!$C$18))*12+MONTH($A384)-MONTH(Premissas!$C$18)</f>
        <v>383</v>
      </c>
      <c r="D384" s="16" t="n">
        <f aca="false">($A384=Premissas!$C$19)*Premissas!$C$8+(($A384=EDATE(Premissas!$C$19,1))+($A384=EDATE(Premissas!$C$19,2)))*Premissas!$C$9+AND($A384&gt;=Premissas!$C$20,$A384&lt;EDATE(Premissas!$C$20,Premissas!$C$21))*Premissas!$C$10+(($A384=Premissas!$C$22)+($A384=Premissas!$C$23)+($A384=Premissas!$C$24))*Premissas!$C$11+($A384=Premissas!$C$25)*Premissas!$C$12</f>
        <v>0</v>
      </c>
      <c r="E384" s="36" t="n">
        <f aca="false">(1+Premissas!$C$57)^C384</f>
        <v>5.52256712533229</v>
      </c>
      <c r="F384" s="16" t="n">
        <f aca="false">D384*E384</f>
        <v>0</v>
      </c>
      <c r="G384" s="16" t="n">
        <f aca="false">($A384=Premissas!$C$25)*Premissas!$C$34*Premissas!$C$14*(1+Premissas!$C$57)^C384</f>
        <v>0</v>
      </c>
      <c r="H384" s="16" t="n">
        <f aca="false">IF(AND($A384&gt;Premissas!$C$25,$A384&lt;Premissas!$C$27),Premissas!$C$35/MAX(1,Premissas!$C$26),0)</f>
        <v>0</v>
      </c>
      <c r="I384" s="35" t="n">
        <f aca="false">IF(AND($A384&gt;Premissas!$C$25,((YEAR($A384)-YEAR(Premissas!$C$25))*12+MONTH($A384)-MONTH(Premissas!$C$25))&lt;=Premissas!$C$32),((YEAR($A384)-YEAR(Premissas!$C$25))*12+MONTH($A384)-MONTH(Premissas!$C$25)),0)</f>
        <v>0</v>
      </c>
      <c r="J384" s="16" t="n">
        <f aca="false">IF(I384&gt;0,N383*(1+Premissas!$C$59),0)</f>
        <v>0</v>
      </c>
      <c r="K384" s="16" t="n">
        <f aca="false">J384*Premissas!$C$58</f>
        <v>0</v>
      </c>
      <c r="L384" s="16" t="n">
        <f aca="false">IF(I384&gt;0,J384/(Premissas!$C$32-I384+1),0)</f>
        <v>0</v>
      </c>
      <c r="M384" s="16" t="n">
        <f aca="false">K384+L384</f>
        <v>0</v>
      </c>
      <c r="N384" s="16" t="n">
        <f aca="false">IF($A384=Premissas!$C$25,Premissas!$C$13*E384,IF(I384&gt;0,J384-L384,0))</f>
        <v>0</v>
      </c>
      <c r="O384" s="37" t="n">
        <f aca="false">IF($A384&gt;=Premissas!$C$27,Premissas!$C$39*IF(((YEAR($A384)-YEAR(Premissas!$C$27))*12+MONTH($A384)-MONTH(Premissas!$C$27))&lt;Premissas!$C$41,Premissas!$C$42,1),0)</f>
        <v>0.62</v>
      </c>
      <c r="P384" s="16" t="n">
        <f aca="false">O384*Premissas!$C$38*Premissas!$C$40*(1+Premissas!$C$60)^((YEAR($A384)-YEAR(Premissas!$C$19))*12+MONTH($A384)-MONTH(Premissas!$C$19))</f>
        <v>14764.2167752559</v>
      </c>
      <c r="Q384" s="16" t="n">
        <f aca="false">P384*Premissas!$C$43</f>
        <v>2362.27468404094</v>
      </c>
      <c r="R384" s="16" t="n">
        <f aca="false">P384*Premissas!$C$44</f>
        <v>2952.84335505118</v>
      </c>
      <c r="S384" s="16" t="n">
        <f aca="false">IF($A384&gt;=Premissas!$C$25,Premissas!$C$45*(1+Premissas!$C$60)^((YEAR($A384)-YEAR(Premissas!$C$19))*12+MONTH($A384)-MONTH(Premissas!$C$19)),0)</f>
        <v>2588.39705036043</v>
      </c>
      <c r="T384" s="16" t="n">
        <f aca="false">IF($A384&gt;=Premissas!$C$27,Premissas!$C$46*(1+Premissas!$C$60)^((YEAR($A384)-YEAR(Premissas!$C$19))*12+MONTH($A384)-MONTH(Premissas!$C$19)),0)</f>
        <v>1035.35882014417</v>
      </c>
      <c r="U384" s="16" t="n">
        <f aca="false">IF($A384&gt;=Premissas!$C$27,Premissas!$C$47*(1+Premissas!$C$60)^((YEAR($A384)-YEAR(Premissas!$C$19))*12+MONTH($A384)-MONTH(Premissas!$C$19)),0)</f>
        <v>517.679410072086</v>
      </c>
      <c r="V384" s="16" t="n">
        <f aca="false">IF($A384&gt;=Premissas!$C$27,MAX(0,P384-Q384-R384-S384)*Premissas!$C$49,0)</f>
        <v>1886.69296359592</v>
      </c>
      <c r="W384" s="16" t="n">
        <f aca="false">P384-Q384-R384-S384-T384-U384-V384</f>
        <v>3420.97049199117</v>
      </c>
      <c r="X384" s="16" t="n">
        <f aca="false">W384-F384-G384-H384-M384</f>
        <v>3420.97049199117</v>
      </c>
      <c r="Y384" s="16" t="n">
        <f aca="false">Y383+X384</f>
        <v>-173157.069730645</v>
      </c>
      <c r="Z384" s="16" t="n">
        <f aca="false">Premissas!$C$14*(1+Premissas!$C$57)^((YEAR(Premissas!$C$19)-YEAR(Premissas!$C$18))*12+MONTH(Premissas!$C$19)-MONTH(Premissas!$C$18))*(1+Premissas!$C$61)^((YEAR($A384)-YEAR(Premissas!$C$19))*12+MONTH($A384)-MONTH(Premissas!$C$19))</f>
        <v>2232829.43837725</v>
      </c>
      <c r="AA384" s="16" t="n">
        <f aca="false">IF($A384&gt;=Premissas!$C$25,Z384*(1-Premissas!$C$53)-N384-Premissas!$C$54*MAX(0,Z384*(1-Premissas!$C$53)-(Premissas!$C$14*(1+Premissas!$C$57)^((YEAR(Premissas!$C$25)-YEAR(Premissas!$C$18))*12+MONTH(Premissas!$C$25)-MONTH(Premissas!$C$18))*(1+Premissas!$C$34))),"")</f>
        <v>1865232.93077509</v>
      </c>
      <c r="AB384" s="16" t="n">
        <f aca="false">IF($A384&gt;=Premissas!$C$25,Y384+AA384,"")</f>
        <v>1692075.86104445</v>
      </c>
      <c r="AC384" s="20" t="n">
        <f aca="false">IF(AND($A384&gt;=Premissas!$C$27,W384&gt;=M384),$A384,"")</f>
        <v>57923</v>
      </c>
      <c r="AD384" s="20" t="str">
        <f aca="false">IF(AND($A384&gt;=Premissas!$C$27,Y384&gt;=0),$A384,"")</f>
        <v/>
      </c>
      <c r="AE384" s="20" t="n">
        <f aca="false">IF(AND($A384&gt;=Premissas!$C$25,N(AB384)&gt;=0),$A384,"")</f>
        <v>57923</v>
      </c>
    </row>
    <row r="385" customFormat="false" ht="15" hidden="false" customHeight="false" outlineLevel="0" collapsed="false">
      <c r="A385" s="20" t="n">
        <f aca="false">DATE(YEAR(A384),MONTH(A384)+1,1)</f>
        <v>57954</v>
      </c>
      <c r="B385" s="5" t="str">
        <f aca="false">IF($A385&lt;Premissas!$C$25,"Obra",IF($A385=Premissas!$C$25,"Chaves",IF($A385&lt;Premissas!$C$27,"Mobiliando","Airbnb")))</f>
        <v>Airbnb</v>
      </c>
      <c r="C385" s="35" t="n">
        <f aca="false">(YEAR($A385)-YEAR(Premissas!$C$18))*12+MONTH($A385)-MONTH(Premissas!$C$18)</f>
        <v>384</v>
      </c>
      <c r="D385" s="16" t="n">
        <f aca="false">($A385=Premissas!$C$19)*Premissas!$C$8+(($A385=EDATE(Premissas!$C$19,1))+($A385=EDATE(Premissas!$C$19,2)))*Premissas!$C$9+AND($A385&gt;=Premissas!$C$20,$A385&lt;EDATE(Premissas!$C$20,Premissas!$C$21))*Premissas!$C$10+(($A385=Premissas!$C$22)+($A385=Premissas!$C$23)+($A385=Premissas!$C$24))*Premissas!$C$11+($A385=Premissas!$C$25)*Premissas!$C$12</f>
        <v>0</v>
      </c>
      <c r="E385" s="36" t="n">
        <f aca="false">(1+Premissas!$C$57)^C385</f>
        <v>5.54726238276594</v>
      </c>
      <c r="F385" s="16" t="n">
        <f aca="false">D385*E385</f>
        <v>0</v>
      </c>
      <c r="G385" s="16" t="n">
        <f aca="false">($A385=Premissas!$C$25)*Premissas!$C$34*Premissas!$C$14*(1+Premissas!$C$57)^C385</f>
        <v>0</v>
      </c>
      <c r="H385" s="16" t="n">
        <f aca="false">IF(AND($A385&gt;Premissas!$C$25,$A385&lt;Premissas!$C$27),Premissas!$C$35/MAX(1,Premissas!$C$26),0)</f>
        <v>0</v>
      </c>
      <c r="I385" s="35" t="n">
        <f aca="false">IF(AND($A385&gt;Premissas!$C$25,((YEAR($A385)-YEAR(Premissas!$C$25))*12+MONTH($A385)-MONTH(Premissas!$C$25))&lt;=Premissas!$C$32),((YEAR($A385)-YEAR(Premissas!$C$25))*12+MONTH($A385)-MONTH(Premissas!$C$25)),0)</f>
        <v>0</v>
      </c>
      <c r="J385" s="16" t="n">
        <f aca="false">IF(I385&gt;0,N384*(1+Premissas!$C$59),0)</f>
        <v>0</v>
      </c>
      <c r="K385" s="16" t="n">
        <f aca="false">J385*Premissas!$C$58</f>
        <v>0</v>
      </c>
      <c r="L385" s="16" t="n">
        <f aca="false">IF(I385&gt;0,J385/(Premissas!$C$32-I385+1),0)</f>
        <v>0</v>
      </c>
      <c r="M385" s="16" t="n">
        <f aca="false">K385+L385</f>
        <v>0</v>
      </c>
      <c r="N385" s="16" t="n">
        <f aca="false">IF($A385=Premissas!$C$25,Premissas!$C$13*E385,IF(I385&gt;0,J385-L385,0))</f>
        <v>0</v>
      </c>
      <c r="O385" s="37" t="n">
        <f aca="false">IF($A385&gt;=Premissas!$C$27,Premissas!$C$39*IF(((YEAR($A385)-YEAR(Premissas!$C$27))*12+MONTH($A385)-MONTH(Premissas!$C$27))&lt;Premissas!$C$41,Premissas!$C$42,1),0)</f>
        <v>0.62</v>
      </c>
      <c r="P385" s="16" t="n">
        <f aca="false">O385*Premissas!$C$38*Premissas!$C$40*(1+Premissas!$C$60)^((YEAR($A385)-YEAR(Premissas!$C$19))*12+MONTH($A385)-MONTH(Premissas!$C$19))</f>
        <v>14812.5509790661</v>
      </c>
      <c r="Q385" s="16" t="n">
        <f aca="false">P385*Premissas!$C$43</f>
        <v>2370.00815665057</v>
      </c>
      <c r="R385" s="16" t="n">
        <f aca="false">P385*Premissas!$C$44</f>
        <v>2962.51019581321</v>
      </c>
      <c r="S385" s="16" t="n">
        <f aca="false">IF($A385&gt;=Premissas!$C$25,Premissas!$C$45*(1+Premissas!$C$60)^((YEAR($A385)-YEAR(Premissas!$C$19))*12+MONTH($A385)-MONTH(Premissas!$C$19)),0)</f>
        <v>2596.87078875632</v>
      </c>
      <c r="T385" s="16" t="n">
        <f aca="false">IF($A385&gt;=Premissas!$C$27,Premissas!$C$46*(1+Premissas!$C$60)^((YEAR($A385)-YEAR(Premissas!$C$19))*12+MONTH($A385)-MONTH(Premissas!$C$19)),0)</f>
        <v>1038.74831550253</v>
      </c>
      <c r="U385" s="16" t="n">
        <f aca="false">IF($A385&gt;=Premissas!$C$27,Premissas!$C$47*(1+Premissas!$C$60)^((YEAR($A385)-YEAR(Premissas!$C$19))*12+MONTH($A385)-MONTH(Premissas!$C$19)),0)</f>
        <v>519.374157751265</v>
      </c>
      <c r="V385" s="16" t="n">
        <f aca="false">IF($A385&gt;=Premissas!$C$27,MAX(0,P385-Q385-R385-S385)*Premissas!$C$49,0)</f>
        <v>1892.86950540764</v>
      </c>
      <c r="W385" s="16" t="n">
        <f aca="false">P385-Q385-R385-S385-T385-U385-V385</f>
        <v>3432.16985918453</v>
      </c>
      <c r="X385" s="16" t="n">
        <f aca="false">W385-F385-G385-H385-M385</f>
        <v>3432.16985918453</v>
      </c>
      <c r="Y385" s="16" t="n">
        <f aca="false">Y384+X385</f>
        <v>-169724.89987146</v>
      </c>
      <c r="Z385" s="16" t="n">
        <f aca="false">Premissas!$C$14*(1+Premissas!$C$57)^((YEAR(Premissas!$C$19)-YEAR(Premissas!$C$18))*12+MONTH(Premissas!$C$19)-MONTH(Premissas!$C$18))*(1+Premissas!$C$61)^((YEAR($A385)-YEAR(Premissas!$C$19))*12+MONTH($A385)-MONTH(Premissas!$C$19))</f>
        <v>2241926.26189698</v>
      </c>
      <c r="AA385" s="16" t="n">
        <f aca="false">IF($A385&gt;=Premissas!$C$25,Z385*(1-Premissas!$C$53)-N385-Premissas!$C$54*MAX(0,Z385*(1-Premissas!$C$53)-(Premissas!$C$14*(1+Premissas!$C$57)^((YEAR(Premissas!$C$25)-YEAR(Premissas!$C$18))*12+MONTH(Premissas!$C$25)-MONTH(Premissas!$C$18))*(1+Premissas!$C$34))),"")</f>
        <v>1872501.29276735</v>
      </c>
      <c r="AB385" s="16" t="n">
        <f aca="false">IF($A385&gt;=Premissas!$C$25,Y385+AA385,"")</f>
        <v>1702776.39289589</v>
      </c>
      <c r="AC385" s="20" t="n">
        <f aca="false">IF(AND($A385&gt;=Premissas!$C$27,W385&gt;=M385),$A385,"")</f>
        <v>57954</v>
      </c>
      <c r="AD385" s="20" t="str">
        <f aca="false">IF(AND($A385&gt;=Premissas!$C$27,Y385&gt;=0),$A385,"")</f>
        <v/>
      </c>
      <c r="AE385" s="20" t="n">
        <f aca="false">IF(AND($A385&gt;=Premissas!$C$25,N(AB385)&gt;=0),$A385,"")</f>
        <v>57954</v>
      </c>
    </row>
    <row r="386" customFormat="false" ht="15" hidden="false" customHeight="false" outlineLevel="0" collapsed="false">
      <c r="A386" s="20" t="n">
        <f aca="false">DATE(YEAR(A385),MONTH(A385)+1,1)</f>
        <v>57984</v>
      </c>
      <c r="B386" s="5" t="str">
        <f aca="false">IF($A386&lt;Premissas!$C$25,"Obra",IF($A386=Premissas!$C$25,"Chaves",IF($A386&lt;Premissas!$C$27,"Mobiliando","Airbnb")))</f>
        <v>Airbnb</v>
      </c>
      <c r="C386" s="35" t="n">
        <f aca="false">(YEAR($A386)-YEAR(Premissas!$C$18))*12+MONTH($A386)-MONTH(Premissas!$C$18)</f>
        <v>385</v>
      </c>
      <c r="D386" s="16" t="n">
        <f aca="false">($A386=Premissas!$C$19)*Premissas!$C$8+(($A386=EDATE(Premissas!$C$19,1))+($A386=EDATE(Premissas!$C$19,2)))*Premissas!$C$9+AND($A386&gt;=Premissas!$C$20,$A386&lt;EDATE(Premissas!$C$20,Premissas!$C$21))*Premissas!$C$10+(($A386=Premissas!$C$22)+($A386=Premissas!$C$23)+($A386=Premissas!$C$24))*Premissas!$C$11+($A386=Premissas!$C$25)*Premissas!$C$12</f>
        <v>0</v>
      </c>
      <c r="E386" s="36" t="n">
        <f aca="false">(1+Premissas!$C$57)^C386</f>
        <v>5.57206806995551</v>
      </c>
      <c r="F386" s="16" t="n">
        <f aca="false">D386*E386</f>
        <v>0</v>
      </c>
      <c r="G386" s="16" t="n">
        <f aca="false">($A386=Premissas!$C$25)*Premissas!$C$34*Premissas!$C$14*(1+Premissas!$C$57)^C386</f>
        <v>0</v>
      </c>
      <c r="H386" s="16" t="n">
        <f aca="false">IF(AND($A386&gt;Premissas!$C$25,$A386&lt;Premissas!$C$27),Premissas!$C$35/MAX(1,Premissas!$C$26),0)</f>
        <v>0</v>
      </c>
      <c r="I386" s="35" t="n">
        <f aca="false">IF(AND($A386&gt;Premissas!$C$25,((YEAR($A386)-YEAR(Premissas!$C$25))*12+MONTH($A386)-MONTH(Premissas!$C$25))&lt;=Premissas!$C$32),((YEAR($A386)-YEAR(Premissas!$C$25))*12+MONTH($A386)-MONTH(Premissas!$C$25)),0)</f>
        <v>0</v>
      </c>
      <c r="J386" s="16" t="n">
        <f aca="false">IF(I386&gt;0,N385*(1+Premissas!$C$59),0)</f>
        <v>0</v>
      </c>
      <c r="K386" s="16" t="n">
        <f aca="false">J386*Premissas!$C$58</f>
        <v>0</v>
      </c>
      <c r="L386" s="16" t="n">
        <f aca="false">IF(I386&gt;0,J386/(Premissas!$C$32-I386+1),0)</f>
        <v>0</v>
      </c>
      <c r="M386" s="16" t="n">
        <f aca="false">K386+L386</f>
        <v>0</v>
      </c>
      <c r="N386" s="16" t="n">
        <f aca="false">IF($A386=Premissas!$C$25,Premissas!$C$13*E386,IF(I386&gt;0,J386-L386,0))</f>
        <v>0</v>
      </c>
      <c r="O386" s="37" t="n">
        <f aca="false">IF($A386&gt;=Premissas!$C$27,Premissas!$C$39*IF(((YEAR($A386)-YEAR(Premissas!$C$27))*12+MONTH($A386)-MONTH(Premissas!$C$27))&lt;Premissas!$C$41,Premissas!$C$42,1),0)</f>
        <v>0.62</v>
      </c>
      <c r="P386" s="16" t="n">
        <f aca="false">O386*Premissas!$C$38*Premissas!$C$40*(1+Premissas!$C$60)^((YEAR($A386)-YEAR(Premissas!$C$19))*12+MONTH($A386)-MONTH(Premissas!$C$19))</f>
        <v>14861.0434164821</v>
      </c>
      <c r="Q386" s="16" t="n">
        <f aca="false">P386*Premissas!$C$43</f>
        <v>2377.76694663713</v>
      </c>
      <c r="R386" s="16" t="n">
        <f aca="false">P386*Premissas!$C$44</f>
        <v>2972.20868329642</v>
      </c>
      <c r="S386" s="16" t="n">
        <f aca="false">IF($A386&gt;=Premissas!$C$25,Premissas!$C$45*(1+Premissas!$C$60)^((YEAR($A386)-YEAR(Premissas!$C$19))*12+MONTH($A386)-MONTH(Premissas!$C$19)),0)</f>
        <v>2605.3722679667</v>
      </c>
      <c r="T386" s="16" t="n">
        <f aca="false">IF($A386&gt;=Premissas!$C$27,Premissas!$C$46*(1+Premissas!$C$60)^((YEAR($A386)-YEAR(Premissas!$C$19))*12+MONTH($A386)-MONTH(Premissas!$C$19)),0)</f>
        <v>1042.14890718668</v>
      </c>
      <c r="U386" s="16" t="n">
        <f aca="false">IF($A386&gt;=Premissas!$C$27,Premissas!$C$47*(1+Premissas!$C$60)^((YEAR($A386)-YEAR(Premissas!$C$19))*12+MONTH($A386)-MONTH(Premissas!$C$19)),0)</f>
        <v>521.074453593341</v>
      </c>
      <c r="V386" s="16" t="n">
        <f aca="false">IF($A386&gt;=Premissas!$C$27,MAX(0,P386-Q386-R386-S386)*Premissas!$C$49,0)</f>
        <v>1899.06626761</v>
      </c>
      <c r="W386" s="16" t="n">
        <f aca="false">P386-Q386-R386-S386-T386-U386-V386</f>
        <v>3443.4058901918</v>
      </c>
      <c r="X386" s="16" t="n">
        <f aca="false">W386-F386-G386-H386-M386</f>
        <v>3443.4058901918</v>
      </c>
      <c r="Y386" s="16" t="n">
        <f aca="false">Y385+X386</f>
        <v>-166281.493981268</v>
      </c>
      <c r="Z386" s="16" t="n">
        <f aca="false">Premissas!$C$14*(1+Premissas!$C$57)^((YEAR(Premissas!$C$19)-YEAR(Premissas!$C$18))*12+MONTH(Premissas!$C$19)-MONTH(Premissas!$C$18))*(1+Premissas!$C$61)^((YEAR($A386)-YEAR(Premissas!$C$19))*12+MONTH($A386)-MONTH(Premissas!$C$19))</f>
        <v>2251060.14700176</v>
      </c>
      <c r="AA386" s="16" t="n">
        <f aca="false">IF($A386&gt;=Premissas!$C$25,Z386*(1-Premissas!$C$53)-N386-Premissas!$C$54*MAX(0,Z386*(1-Premissas!$C$53)-(Premissas!$C$14*(1+Premissas!$C$57)^((YEAR(Premissas!$C$25)-YEAR(Premissas!$C$18))*12+MONTH(Premissas!$C$25)-MONTH(Premissas!$C$18))*(1+Premissas!$C$34))),"")</f>
        <v>1879799.26696607</v>
      </c>
      <c r="AB386" s="16" t="n">
        <f aca="false">IF($A386&gt;=Premissas!$C$25,Y386+AA386,"")</f>
        <v>1713517.7729848</v>
      </c>
      <c r="AC386" s="20" t="n">
        <f aca="false">IF(AND($A386&gt;=Premissas!$C$27,W386&gt;=M386),$A386,"")</f>
        <v>57984</v>
      </c>
      <c r="AD386" s="20" t="str">
        <f aca="false">IF(AND($A386&gt;=Premissas!$C$27,Y386&gt;=0),$A386,"")</f>
        <v/>
      </c>
      <c r="AE386" s="20" t="n">
        <f aca="false">IF(AND($A386&gt;=Premissas!$C$25,N(AB386)&gt;=0),$A386,"")</f>
        <v>57984</v>
      </c>
    </row>
    <row r="387" customFormat="false" ht="15" hidden="false" customHeight="false" outlineLevel="0" collapsed="false">
      <c r="A387" s="20" t="n">
        <f aca="false">DATE(YEAR(A386),MONTH(A386)+1,1)</f>
        <v>58015</v>
      </c>
      <c r="B387" s="5" t="str">
        <f aca="false">IF($A387&lt;Premissas!$C$25,"Obra",IF($A387=Premissas!$C$25,"Chaves",IF($A387&lt;Premissas!$C$27,"Mobiliando","Airbnb")))</f>
        <v>Airbnb</v>
      </c>
      <c r="C387" s="35" t="n">
        <f aca="false">(YEAR($A387)-YEAR(Premissas!$C$18))*12+MONTH($A387)-MONTH(Premissas!$C$18)</f>
        <v>386</v>
      </c>
      <c r="D387" s="16" t="n">
        <f aca="false">($A387=Premissas!$C$19)*Premissas!$C$8+(($A387=EDATE(Premissas!$C$19,1))+($A387=EDATE(Premissas!$C$19,2)))*Premissas!$C$9+AND($A387&gt;=Premissas!$C$20,$A387&lt;EDATE(Premissas!$C$20,Premissas!$C$21))*Premissas!$C$10+(($A387=Premissas!$C$22)+($A387=Premissas!$C$23)+($A387=Premissas!$C$24))*Premissas!$C$11+($A387=Premissas!$C$25)*Premissas!$C$12</f>
        <v>0</v>
      </c>
      <c r="E387" s="36" t="n">
        <f aca="false">(1+Premissas!$C$57)^C387</f>
        <v>5.59698468070962</v>
      </c>
      <c r="F387" s="16" t="n">
        <f aca="false">D387*E387</f>
        <v>0</v>
      </c>
      <c r="G387" s="16" t="n">
        <f aca="false">($A387=Premissas!$C$25)*Premissas!$C$34*Premissas!$C$14*(1+Premissas!$C$57)^C387</f>
        <v>0</v>
      </c>
      <c r="H387" s="16" t="n">
        <f aca="false">IF(AND($A387&gt;Premissas!$C$25,$A387&lt;Premissas!$C$27),Premissas!$C$35/MAX(1,Premissas!$C$26),0)</f>
        <v>0</v>
      </c>
      <c r="I387" s="35" t="n">
        <f aca="false">IF(AND($A387&gt;Premissas!$C$25,((YEAR($A387)-YEAR(Premissas!$C$25))*12+MONTH($A387)-MONTH(Premissas!$C$25))&lt;=Premissas!$C$32),((YEAR($A387)-YEAR(Premissas!$C$25))*12+MONTH($A387)-MONTH(Premissas!$C$25)),0)</f>
        <v>0</v>
      </c>
      <c r="J387" s="16" t="n">
        <f aca="false">IF(I387&gt;0,N386*(1+Premissas!$C$59),0)</f>
        <v>0</v>
      </c>
      <c r="K387" s="16" t="n">
        <f aca="false">J387*Premissas!$C$58</f>
        <v>0</v>
      </c>
      <c r="L387" s="16" t="n">
        <f aca="false">IF(I387&gt;0,J387/(Premissas!$C$32-I387+1),0)</f>
        <v>0</v>
      </c>
      <c r="M387" s="16" t="n">
        <f aca="false">K387+L387</f>
        <v>0</v>
      </c>
      <c r="N387" s="16" t="n">
        <f aca="false">IF($A387=Premissas!$C$25,Premissas!$C$13*E387,IF(I387&gt;0,J387-L387,0))</f>
        <v>0</v>
      </c>
      <c r="O387" s="37" t="n">
        <f aca="false">IF($A387&gt;=Premissas!$C$27,Premissas!$C$39*IF(((YEAR($A387)-YEAR(Premissas!$C$27))*12+MONTH($A387)-MONTH(Premissas!$C$27))&lt;Premissas!$C$41,Premissas!$C$42,1),0)</f>
        <v>0.62</v>
      </c>
      <c r="P387" s="16" t="n">
        <f aca="false">O387*Premissas!$C$38*Premissas!$C$40*(1+Premissas!$C$60)^((YEAR($A387)-YEAR(Premissas!$C$19))*12+MONTH($A387)-MONTH(Premissas!$C$19))</f>
        <v>14909.6946055196</v>
      </c>
      <c r="Q387" s="16" t="n">
        <f aca="false">P387*Premissas!$C$43</f>
        <v>2385.55113688314</v>
      </c>
      <c r="R387" s="16" t="n">
        <f aca="false">P387*Premissas!$C$44</f>
        <v>2981.93892110392</v>
      </c>
      <c r="S387" s="16" t="n">
        <f aca="false">IF($A387&gt;=Premissas!$C$25,Premissas!$C$45*(1+Premissas!$C$60)^((YEAR($A387)-YEAR(Premissas!$C$19))*12+MONTH($A387)-MONTH(Premissas!$C$19)),0)</f>
        <v>2613.90157880778</v>
      </c>
      <c r="T387" s="16" t="n">
        <f aca="false">IF($A387&gt;=Premissas!$C$27,Premissas!$C$46*(1+Premissas!$C$60)^((YEAR($A387)-YEAR(Premissas!$C$19))*12+MONTH($A387)-MONTH(Premissas!$C$19)),0)</f>
        <v>1045.56063152311</v>
      </c>
      <c r="U387" s="16" t="n">
        <f aca="false">IF($A387&gt;=Premissas!$C$27,Premissas!$C$47*(1+Premissas!$C$60)^((YEAR($A387)-YEAR(Premissas!$C$19))*12+MONTH($A387)-MONTH(Premissas!$C$19)),0)</f>
        <v>522.780315761557</v>
      </c>
      <c r="V387" s="16" t="n">
        <f aca="false">IF($A387&gt;=Premissas!$C$27,MAX(0,P387-Q387-R387-S387)*Premissas!$C$49,0)</f>
        <v>1905.28331639931</v>
      </c>
      <c r="W387" s="16" t="n">
        <f aca="false">P387-Q387-R387-S387-T387-U387-V387</f>
        <v>3454.67870504078</v>
      </c>
      <c r="X387" s="16" t="n">
        <f aca="false">W387-F387-G387-H387-M387</f>
        <v>3454.67870504078</v>
      </c>
      <c r="Y387" s="16" t="n">
        <f aca="false">Y386+X387</f>
        <v>-162826.815276228</v>
      </c>
      <c r="Z387" s="16" t="n">
        <f aca="false">Premissas!$C$14*(1+Premissas!$C$57)^((YEAR(Premissas!$C$19)-YEAR(Premissas!$C$18))*12+MONTH(Premissas!$C$19)-MONTH(Premissas!$C$18))*(1+Premissas!$C$61)^((YEAR($A387)-YEAR(Premissas!$C$19))*12+MONTH($A387)-MONTH(Premissas!$C$19))</f>
        <v>2260231.24468508</v>
      </c>
      <c r="AA387" s="16" t="n">
        <f aca="false">IF($A387&gt;=Premissas!$C$25,Z387*(1-Premissas!$C$53)-N387-Premissas!$C$54*MAX(0,Z387*(1-Premissas!$C$53)-(Premissas!$C$14*(1+Premissas!$C$57)^((YEAR(Premissas!$C$25)-YEAR(Premissas!$C$18))*12+MONTH(Premissas!$C$25)-MONTH(Premissas!$C$18))*(1+Premissas!$C$34))),"")</f>
        <v>1887126.97401504</v>
      </c>
      <c r="AB387" s="16" t="n">
        <f aca="false">IF($A387&gt;=Premissas!$C$25,Y387+AA387,"")</f>
        <v>1724300.15873882</v>
      </c>
      <c r="AC387" s="20" t="n">
        <f aca="false">IF(AND($A387&gt;=Premissas!$C$27,W387&gt;=M387),$A387,"")</f>
        <v>58015</v>
      </c>
      <c r="AD387" s="20" t="str">
        <f aca="false">IF(AND($A387&gt;=Premissas!$C$27,Y387&gt;=0),$A387,"")</f>
        <v/>
      </c>
      <c r="AE387" s="20" t="n">
        <f aca="false">IF(AND($A387&gt;=Premissas!$C$25,N(AB387)&gt;=0),$A387,"")</f>
        <v>58015</v>
      </c>
    </row>
    <row r="388" customFormat="false" ht="15" hidden="false" customHeight="false" outlineLevel="0" collapsed="false">
      <c r="A388" s="20" t="n">
        <f aca="false">DATE(YEAR(A387),MONTH(A387)+1,1)</f>
        <v>58045</v>
      </c>
      <c r="B388" s="5" t="str">
        <f aca="false">IF($A388&lt;Premissas!$C$25,"Obra",IF($A388=Premissas!$C$25,"Chaves",IF($A388&lt;Premissas!$C$27,"Mobiliando","Airbnb")))</f>
        <v>Airbnb</v>
      </c>
      <c r="C388" s="35" t="n">
        <f aca="false">(YEAR($A388)-YEAR(Premissas!$C$18))*12+MONTH($A388)-MONTH(Premissas!$C$18)</f>
        <v>387</v>
      </c>
      <c r="D388" s="16" t="n">
        <f aca="false">($A388=Premissas!$C$19)*Premissas!$C$8+(($A388=EDATE(Premissas!$C$19,1))+($A388=EDATE(Premissas!$C$19,2)))*Premissas!$C$9+AND($A388&gt;=Premissas!$C$20,$A388&lt;EDATE(Premissas!$C$20,Premissas!$C$21))*Premissas!$C$10+(($A388=Premissas!$C$22)+($A388=Premissas!$C$23)+($A388=Premissas!$C$24))*Premissas!$C$11+($A388=Premissas!$C$25)*Premissas!$C$12</f>
        <v>0</v>
      </c>
      <c r="E388" s="36" t="n">
        <f aca="false">(1+Premissas!$C$57)^C388</f>
        <v>5.62201271104505</v>
      </c>
      <c r="F388" s="16" t="n">
        <f aca="false">D388*E388</f>
        <v>0</v>
      </c>
      <c r="G388" s="16" t="n">
        <f aca="false">($A388=Premissas!$C$25)*Premissas!$C$34*Premissas!$C$14*(1+Premissas!$C$57)^C388</f>
        <v>0</v>
      </c>
      <c r="H388" s="16" t="n">
        <f aca="false">IF(AND($A388&gt;Premissas!$C$25,$A388&lt;Premissas!$C$27),Premissas!$C$35/MAX(1,Premissas!$C$26),0)</f>
        <v>0</v>
      </c>
      <c r="I388" s="35" t="n">
        <f aca="false">IF(AND($A388&gt;Premissas!$C$25,((YEAR($A388)-YEAR(Premissas!$C$25))*12+MONTH($A388)-MONTH(Premissas!$C$25))&lt;=Premissas!$C$32),((YEAR($A388)-YEAR(Premissas!$C$25))*12+MONTH($A388)-MONTH(Premissas!$C$25)),0)</f>
        <v>0</v>
      </c>
      <c r="J388" s="16" t="n">
        <f aca="false">IF(I388&gt;0,N387*(1+Premissas!$C$59),0)</f>
        <v>0</v>
      </c>
      <c r="K388" s="16" t="n">
        <f aca="false">J388*Premissas!$C$58</f>
        <v>0</v>
      </c>
      <c r="L388" s="16" t="n">
        <f aca="false">IF(I388&gt;0,J388/(Premissas!$C$32-I388+1),0)</f>
        <v>0</v>
      </c>
      <c r="M388" s="16" t="n">
        <f aca="false">K388+L388</f>
        <v>0</v>
      </c>
      <c r="N388" s="16" t="n">
        <f aca="false">IF($A388=Premissas!$C$25,Premissas!$C$13*E388,IF(I388&gt;0,J388-L388,0))</f>
        <v>0</v>
      </c>
      <c r="O388" s="37" t="n">
        <f aca="false">IF($A388&gt;=Premissas!$C$27,Premissas!$C$39*IF(((YEAR($A388)-YEAR(Premissas!$C$27))*12+MONTH($A388)-MONTH(Premissas!$C$27))&lt;Premissas!$C$41,Premissas!$C$42,1),0)</f>
        <v>0.62</v>
      </c>
      <c r="P388" s="16" t="n">
        <f aca="false">O388*Premissas!$C$38*Premissas!$C$40*(1+Premissas!$C$60)^((YEAR($A388)-YEAR(Premissas!$C$19))*12+MONTH($A388)-MONTH(Premissas!$C$19))</f>
        <v>14958.5050658901</v>
      </c>
      <c r="Q388" s="16" t="n">
        <f aca="false">P388*Premissas!$C$43</f>
        <v>2393.36081054242</v>
      </c>
      <c r="R388" s="16" t="n">
        <f aca="false">P388*Premissas!$C$44</f>
        <v>2991.70101317803</v>
      </c>
      <c r="S388" s="16" t="n">
        <f aca="false">IF($A388&gt;=Premissas!$C$25,Premissas!$C$45*(1+Premissas!$C$60)^((YEAR($A388)-YEAR(Premissas!$C$19))*12+MONTH($A388)-MONTH(Premissas!$C$19)),0)</f>
        <v>2622.45881239308</v>
      </c>
      <c r="T388" s="16" t="n">
        <f aca="false">IF($A388&gt;=Premissas!$C$27,Premissas!$C$46*(1+Premissas!$C$60)^((YEAR($A388)-YEAR(Premissas!$C$19))*12+MONTH($A388)-MONTH(Premissas!$C$19)),0)</f>
        <v>1048.98352495723</v>
      </c>
      <c r="U388" s="16" t="n">
        <f aca="false">IF($A388&gt;=Premissas!$C$27,Premissas!$C$47*(1+Premissas!$C$60)^((YEAR($A388)-YEAR(Premissas!$C$19))*12+MONTH($A388)-MONTH(Premissas!$C$19)),0)</f>
        <v>524.491762478616</v>
      </c>
      <c r="V388" s="16" t="n">
        <f aca="false">IF($A388&gt;=Premissas!$C$27,MAX(0,P388-Q388-R388-S388)*Premissas!$C$49,0)</f>
        <v>1911.52071818857</v>
      </c>
      <c r="W388" s="16" t="n">
        <f aca="false">P388-Q388-R388-S388-T388-U388-V388</f>
        <v>3465.98842415219</v>
      </c>
      <c r="X388" s="16" t="n">
        <f aca="false">W388-F388-G388-H388-M388</f>
        <v>3465.98842415219</v>
      </c>
      <c r="Y388" s="16" t="n">
        <f aca="false">Y387+X388</f>
        <v>-159360.826852075</v>
      </c>
      <c r="Z388" s="16" t="n">
        <f aca="false">Premissas!$C$14*(1+Premissas!$C$57)^((YEAR(Premissas!$C$19)-YEAR(Premissas!$C$18))*12+MONTH(Premissas!$C$19)-MONTH(Premissas!$C$18))*(1+Premissas!$C$61)^((YEAR($A388)-YEAR(Premissas!$C$19))*12+MONTH($A388)-MONTH(Premissas!$C$19))</f>
        <v>2269439.7065556</v>
      </c>
      <c r="AA388" s="16" t="n">
        <f aca="false">IF($A388&gt;=Premissas!$C$25,Z388*(1-Premissas!$C$53)-N388-Premissas!$C$54*MAX(0,Z388*(1-Premissas!$C$53)-(Premissas!$C$14*(1+Premissas!$C$57)^((YEAR(Premissas!$C$25)-YEAR(Premissas!$C$18))*12+MONTH(Premissas!$C$25)-MONTH(Premissas!$C$18))*(1+Premissas!$C$34))),"")</f>
        <v>1894484.53504959</v>
      </c>
      <c r="AB388" s="16" t="n">
        <f aca="false">IF($A388&gt;=Premissas!$C$25,Y388+AA388,"")</f>
        <v>1735123.70819751</v>
      </c>
      <c r="AC388" s="20" t="n">
        <f aca="false">IF(AND($A388&gt;=Premissas!$C$27,W388&gt;=M388),$A388,"")</f>
        <v>58045</v>
      </c>
      <c r="AD388" s="20" t="str">
        <f aca="false">IF(AND($A388&gt;=Premissas!$C$27,Y388&gt;=0),$A388,"")</f>
        <v/>
      </c>
      <c r="AE388" s="20" t="n">
        <f aca="false">IF(AND($A388&gt;=Premissas!$C$25,N(AB388)&gt;=0),$A388,"")</f>
        <v>58045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2026-10-05T19:58:54Z</dcterms:created>
  <dc:creator>openpyxl</dc:creator>
  <dc:description/>
  <dc:language>en-US</dc:language>
  <cp:lastModifiedBy/>
  <dcterms:modified xsi:type="dcterms:W3CDTF">2026-10-05T19:58:57Z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