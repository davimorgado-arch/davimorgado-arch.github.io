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Tabela SCP" sheetId="3" state="visible" r:id="rId5"/>
    <sheet name="Fluxo mens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<sst xmlns="http://schemas.openxmlformats.org/spreadsheetml/2006/main" count="402" uniqueCount="273">
  <si>
    <t xml:space="preserve">SCP Haddock Lobo - estudo de caso do studio</t>
  </si>
  <si>
    <t xml:space="preserve">Compara as 4 formas de pagamento da tabela. Sem financiamento: tudo é pago até a entrega. Imóvel vendido (líquido) x mesmo dinheiro aplicado no CDI (líquido de IR).</t>
  </si>
  <si>
    <t xml:space="preserve">Unidade</t>
  </si>
  <si>
    <t xml:space="preserve">Área (m²)</t>
  </si>
  <si>
    <t xml:space="preserve">Previsão de lançamento (mar/27)</t>
  </si>
  <si>
    <t xml:space="preserve">Valor de mercado estimado na entrega</t>
  </si>
  <si>
    <t xml:space="preserve">… R$/m² na entrega</t>
  </si>
  <si>
    <t xml:space="preserve">Entrega das chaves (premissa)</t>
  </si>
  <si>
    <t xml:space="preserve">Início do Airbnb</t>
  </si>
  <si>
    <t xml:space="preserve">Resultado mensal do imóvel após IR (1º mês pós ramp-up)</t>
  </si>
  <si>
    <t xml:space="preserve">Indicador</t>
  </si>
  <si>
    <t xml:space="preserve">Promo à vista</t>
  </si>
  <si>
    <t xml:space="preserve">À vista</t>
  </si>
  <si>
    <t xml:space="preserve">3x</t>
  </si>
  <si>
    <t xml:space="preserve">20% + 43x</t>
  </si>
  <si>
    <t xml:space="preserve">Total pago à SCP</t>
  </si>
  <si>
    <t xml:space="preserve">Desembolso total até o início do Airbnb (SCP + ITBI + mobília)</t>
  </si>
  <si>
    <t xml:space="preserve">Ganho no papel na entrega (posição se vender na entrega)</t>
  </si>
  <si>
    <t xml:space="preserve">Retorno do aluguel sobre o desembolso (a.a., 1º ano pleno)</t>
  </si>
  <si>
    <t xml:space="preserve">Break-even de caixa (aluguel devolve tudo que saiu)</t>
  </si>
  <si>
    <t xml:space="preserve">Imóvel: posição se vender 5 anos após a entrega</t>
  </si>
  <si>
    <t xml:space="preserve">CDI: saldo líquido no mesmo momento (5 anos)</t>
  </si>
  <si>
    <t xml:space="preserve">Imóvel: posição se vender 10 anos após a entrega</t>
  </si>
  <si>
    <t xml:space="preserve">CDI: saldo líquido no mesmo momento (10 anos)</t>
  </si>
  <si>
    <t xml:space="preserve">Imóvel: posição se vender 20 anos após a entrega</t>
  </si>
  <si>
    <t xml:space="preserve">CDI: saldo líquido no mesmo momento (20 anos)</t>
  </si>
  <si>
    <t xml:space="preserve">Como ler:</t>
  </si>
  <si>
    <t xml:space="preserve">• Posição total = caixa acumulado (tudo que saiu e entrou) + o que sobraria vendendo (após corretagem e IR sobre ganho).</t>
  </si>
  <si>
    <t xml:space="preserve">• Linhas CDI: o mesmo dinheiro tirado do bolso aplicado no CDI (líquido de 15% de IR), na mesma régua da posição do imóvel.</t>
  </si>
  <si>
    <t xml:space="preserve">• Riscos fora da planilha: SCP antes do registro de incorporação (sem patrimônio de afetação), aprovação do projeto, atraso, regulação CVM, liquidez da cota.</t>
  </si>
  <si>
    <t xml:space="preserve">• Datas e correção das parcelas não constam da tabela: confirmar com a incorporadora (abas Premissas, seções 2 e 3).</t>
  </si>
  <si>
    <t xml:space="preserve">Premissas - SCP Haddock Lobo</t>
  </si>
  <si>
    <t xml:space="preserve">Edite só as células em azul (amarelo = premissas que mais mexem no resultado).</t>
  </si>
  <si>
    <t xml:space="preserve">1. Unidade</t>
  </si>
  <si>
    <t xml:space="preserve">Unidade escolhida (lista)</t>
  </si>
  <si>
    <t xml:space="preserve">308</t>
  </si>
  <si>
    <t xml:space="preserve">Padrão: 308 (18,09 m², tem promo de R$ 250 mil = menor R$/m² entre os studios de ~18 m²)</t>
  </si>
  <si>
    <t xml:space="preserve">SCP à vista (out/26)</t>
  </si>
  <si>
    <t xml:space="preserve">3x SCP (total)</t>
  </si>
  <si>
    <t xml:space="preserve">Ato 20% + 43x SCP (total)</t>
  </si>
  <si>
    <t xml:space="preserve">Promo à vista (0 = sem promo para esta unidade)</t>
  </si>
  <si>
    <t xml:space="preserve">Promo à vista usada no estudo</t>
  </si>
  <si>
    <t xml:space="preserve">Se a unidade não tem promo, usa o preço SCP à vista</t>
  </si>
  <si>
    <t xml:space="preserve">2. Datas</t>
  </si>
  <si>
    <t xml:space="preserve">Data da compra (adesão à SCP)</t>
  </si>
  <si>
    <t xml:space="preserve">Tabela válida em out/26</t>
  </si>
  <si>
    <t xml:space="preserve">Lançamento previsto</t>
  </si>
  <si>
    <t xml:space="preserve">Tabela: previsão mar/27</t>
  </si>
  <si>
    <t xml:space="preserve">Entrega das chaves</t>
  </si>
  <si>
    <t xml:space="preserve">PREMISSA: a tabela não informa. Lançamento mar/27 + ~39 meses; o 43x termina em mai/30</t>
  </si>
  <si>
    <t xml:space="preserve">Meses para mobiliar</t>
  </si>
  <si>
    <t xml:space="preserve">3. Correções e custos de aquisição</t>
  </si>
  <si>
    <t xml:space="preserve">Correção das parcelas SCP (a.a.)</t>
  </si>
  <si>
    <t xml:space="preserve">PREMISSA: a tabela não informa. Usei INCC ~5,5%. Se for valor fixo, use 0</t>
  </si>
  <si>
    <t xml:space="preserve">INCC até a entrega (corrige o preço de lançamento)</t>
  </si>
  <si>
    <t xml:space="preserve">Valor de mercado na entrega (% da tabela de lançamento corrigida)</t>
  </si>
  <si>
    <t xml:space="preserve">PREMISSA-CHAVE: revenda de studio costuma sair abaixo da tabela da incorporadora. 100% = vale o preço de lançamento</t>
  </si>
  <si>
    <t xml:space="preserve">ITBI + registro na entrega (% do valor de mercado)</t>
  </si>
  <si>
    <t xml:space="preserve">Entrega da unidade ao sócio tende a ser dação em pagamento: ITBI sobre o valor de referência</t>
  </si>
  <si>
    <t xml:space="preserve">Mobília, decoração e enxoval</t>
  </si>
  <si>
    <t xml:space="preserve">Studio de ~18 m²</t>
  </si>
  <si>
    <t xml:space="preserve">4. Operação Airbnb (valores de hoje)</t>
  </si>
  <si>
    <t xml:space="preserve">Diária média</t>
  </si>
  <si>
    <t xml:space="preserve">Jardins/Consolação, studio: R$ 220-320 (estudo). Haddock Lobo fica entre Paulista e Oscar Freire</t>
  </si>
  <si>
    <t xml:space="preserve">Ocupação média</t>
  </si>
  <si>
    <t xml:space="preserve">Mediana SP 61-63%</t>
  </si>
  <si>
    <t xml:space="preserve">Dias por mês</t>
  </si>
  <si>
    <t xml:space="preserve">Meses de ramp-up</t>
  </si>
  <si>
    <t xml:space="preserve">Ocupação no ramp-up (% da média)</t>
  </si>
  <si>
    <t xml:space="preserve">Taxa Airbnb</t>
  </si>
  <si>
    <t xml:space="preserve">Gestora (% da receita)</t>
  </si>
  <si>
    <t xml:space="preserve">Condomínio + IPTU (mês)</t>
  </si>
  <si>
    <t xml:space="preserve">Estimativa para ~18 m² em prédio novo com amenities</t>
  </si>
  <si>
    <t xml:space="preserve">Contas (luz, internet, streaming, amenities)</t>
  </si>
  <si>
    <t xml:space="preserve">Manutenção e reposição</t>
  </si>
  <si>
    <t xml:space="preserve">Inflação de diária e custos (a.a.)</t>
  </si>
  <si>
    <t xml:space="preserve">IR sobre aluguel (alíquota marginal)</t>
  </si>
  <si>
    <t xml:space="preserve">Carnê-leão; deduz Airbnb, gestora, condomínio e IPTU</t>
  </si>
  <si>
    <t xml:space="preserve">5. Valorização e venda</t>
  </si>
  <si>
    <t xml:space="preserve">Valorização após a entrega (a.a.)</t>
  </si>
  <si>
    <t xml:space="preserve">SP: +3,8% em 12 meses (FipeZap jul/26)</t>
  </si>
  <si>
    <t xml:space="preserve">Corretagem na venda</t>
  </si>
  <si>
    <t xml:space="preserve">IR sobre ganho de capital</t>
  </si>
  <si>
    <t xml:space="preserve">6. Alternativa: aplicar o mesmo dinheiro (CDI, carteira espelho)</t>
  </si>
  <si>
    <t xml:space="preserve">CDI médio 2026 (a.a.)</t>
  </si>
  <si>
    <t xml:space="preserve">Selic ~14% em out/26</t>
  </si>
  <si>
    <t xml:space="preserve">CDI médio 2027</t>
  </si>
  <si>
    <t xml:space="preserve">Focus: Selic 12% fim/27</t>
  </si>
  <si>
    <t xml:space="preserve">CDI médio 2028</t>
  </si>
  <si>
    <t xml:space="preserve">Focus: 10,5% fim/28</t>
  </si>
  <si>
    <t xml:space="preserve">CDI médio 2029 em diante</t>
  </si>
  <si>
    <t xml:space="preserve">Focus: 10% em 2029</t>
  </si>
  <si>
    <t xml:space="preserve">IR sobre rendimento</t>
  </si>
  <si>
    <t xml:space="preserve">Taxas mensais (calculadas)</t>
  </si>
  <si>
    <t xml:space="preserve">Correção SCP ao mês</t>
  </si>
  <si>
    <t xml:space="preserve">INCC ao mês</t>
  </si>
  <si>
    <t xml:space="preserve">Inflação ao mês</t>
  </si>
  <si>
    <t xml:space="preserve">Valorização ao mês</t>
  </si>
  <si>
    <t xml:space="preserve">… por m² (compare: Jardim Paulista ~R$ 17,8 mil/m² em 2026)</t>
  </si>
  <si>
    <t xml:space="preserve">SCP Haddock Lobo - tabela out/26 (extraída do PDF enviado pelo usuário)</t>
  </si>
  <si>
    <t xml:space="preserve">Tipologia</t>
  </si>
  <si>
    <t xml:space="preserve">Andar</t>
  </si>
  <si>
    <t xml:space="preserve">Previsão lançamento mar/27</t>
  </si>
  <si>
    <t xml:space="preserve">SCP à vista out/26</t>
  </si>
  <si>
    <t xml:space="preserve">3x SCP</t>
  </si>
  <si>
    <t xml:space="preserve">Ato 20% + 43x SCP</t>
  </si>
  <si>
    <t xml:space="preserve">SCP R$/m² à vista</t>
  </si>
  <si>
    <t xml:space="preserve">Desconto SCP vs lançamento</t>
  </si>
  <si>
    <t xml:space="preserve">102</t>
  </si>
  <si>
    <t xml:space="preserve">Studio</t>
  </si>
  <si>
    <t xml:space="preserve">103</t>
  </si>
  <si>
    <t xml:space="preserve">104</t>
  </si>
  <si>
    <t xml:space="preserve">106</t>
  </si>
  <si>
    <t xml:space="preserve">107</t>
  </si>
  <si>
    <t xml:space="preserve">108</t>
  </si>
  <si>
    <t xml:space="preserve">109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</si>
  <si>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</si>
  <si>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</si>
  <si>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</si>
  <si>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</si>
  <si>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</si>
  <si>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</si>
  <si>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</si>
  <si>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</si>
  <si>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301</t>
  </si>
  <si>
    <t xml:space="preserve">302</t>
  </si>
  <si>
    <t xml:space="preserve">303</t>
  </si>
  <si>
    <t xml:space="preserve">304</t>
  </si>
  <si>
    <t xml:space="preserve">306</t>
  </si>
  <si>
    <t xml:space="preserve">307</t>
  </si>
  <si>
    <t xml:space="preserve">309</t>
  </si>
  <si>
    <t xml:space="preserve">401</t>
  </si>
  <si>
    <t xml:space="preserve">403</t>
  </si>
  <si>
    <t xml:space="preserve">405</t>
  </si>
  <si>
    <t xml:space="preserve">406</t>
  </si>
  <si>
    <t xml:space="preserve">408</t>
  </si>
  <si>
    <t xml:space="preserve">409</t>
  </si>
  <si>
    <t xml:space="preserve">501</t>
  </si>
  <si>
    <t xml:space="preserve">502</t>
  </si>
  <si>
    <t xml:space="preserve">504</t>
  </si>
  <si>
    <t xml:space="preserve">505</t>
  </si>
  <si>
    <t xml:space="preserve">507</t>
  </si>
  <si>
    <t xml:space="preserve">509</t>
  </si>
  <si>
    <t xml:space="preserve">602</t>
  </si>
  <si>
    <t xml:space="preserve">605</t>
  </si>
  <si>
    <t xml:space="preserve">607</t>
  </si>
  <si>
    <t xml:space="preserve">703</t>
  </si>
  <si>
    <t xml:space="preserve">705</t>
  </si>
  <si>
    <t xml:space="preserve">706</t>
  </si>
  <si>
    <t xml:space="preserve">804</t>
  </si>
  <si>
    <t xml:space="preserve">808</t>
  </si>
  <si>
    <t xml:space="preserve">902</t>
  </si>
  <si>
    <t xml:space="preserve">904</t>
  </si>
  <si>
    <t xml:space="preserve">1002</t>
  </si>
  <si>
    <t xml:space="preserve">1003</t>
  </si>
  <si>
    <t xml:space="preserve">1004</t>
  </si>
  <si>
    <t xml:space="preserve">1006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</si>
  <si>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</si>
  <si>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</si>
  <si>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</si>
  <si>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</si>
  <si>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</si>
  <si>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</si>
  <si>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1201</t>
  </si>
  <si>
    <t xml:space="preserve">1202</t>
  </si>
  <si>
    <t xml:space="preserve">1203</t>
  </si>
  <si>
    <t xml:space="preserve">1204</t>
  </si>
  <si>
    <t xml:space="preserve">1301</t>
  </si>
  <si>
    <t xml:space="preserve">1303</t>
  </si>
  <si>
    <t xml:space="preserve">1304</t>
  </si>
  <si>
    <t xml:space="preserve">1403</t>
  </si>
  <si>
    <t xml:space="preserve">1404</t>
  </si>
  <si>
    <t xml:space="preserve">1405</t>
  </si>
  <si>
    <t xml:space="preserve">1503</t>
  </si>
  <si>
    <t xml:space="preserve">1504</t>
  </si>
  <si>
    <t xml:space="preserve">1505</t>
  </si>
  <si>
    <t xml:space="preserve">1506</t>
  </si>
  <si>
    <t xml:space="preserve">1603</t>
  </si>
  <si>
    <t xml:space="preserve">1604</t>
  </si>
  <si>
    <t xml:space="preserve">1605</t>
  </si>
  <si>
    <t xml:space="preserve">1703</t>
  </si>
  <si>
    <t xml:space="preserve">1704</t>
  </si>
  <si>
    <t xml:space="preserve">1705</t>
  </si>
  <si>
    <t xml:space="preserve">1706</t>
  </si>
  <si>
    <t xml:space="preserve">1804</t>
  </si>
  <si>
    <t xml:space="preserve">1805</t>
  </si>
  <si>
    <t xml:space="preserve">1806</t>
  </si>
  <si>
    <t xml:space="preserve">1903</t>
  </si>
  <si>
    <t xml:space="preserve">1904</t>
  </si>
  <si>
    <t xml:space="preserve">1905</t>
  </si>
  <si>
    <t xml:space="preserve">1906</t>
  </si>
  <si>
    <t xml:space="preserve">2003</t>
  </si>
  <si>
    <t xml:space="preserve">2004</t>
  </si>
  <si>
    <t xml:space="preserve">2005</t>
  </si>
  <si>
    <t xml:space="preserve">2006</t>
  </si>
  <si>
    <t xml:space="preserve">2103</t>
  </si>
  <si>
    <t xml:space="preserve">2105</t>
  </si>
  <si>
    <t xml:space="preserve">2106</t>
  </si>
  <si>
    <t xml:space="preserve">2203</t>
  </si>
  <si>
    <t xml:space="preserve">2204</t>
  </si>
  <si>
    <t xml:space="preserve">2205</t>
  </si>
  <si>
    <t xml:space="preserve">2206</t>
  </si>
  <si>
    <t xml:space="preserve">2303</t>
  </si>
  <si>
    <t xml:space="preserve">2304</t>
  </si>
  <si>
    <t xml:space="preserve">2305</t>
  </si>
  <si>
    <t xml:space="preserve">2306</t>
  </si>
  <si>
    <t xml:space="preserve">2403</t>
  </si>
  <si>
    <t xml:space="preserve">2404</t>
  </si>
  <si>
    <t xml:space="preserve">2405</t>
  </si>
  <si>
    <t xml:space="preserve">2406</t>
  </si>
  <si>
    <t xml:space="preserve">2503</t>
  </si>
  <si>
    <t xml:space="preserve">2505</t>
  </si>
  <si>
    <t xml:space="preserve">2506</t>
  </si>
  <si>
    <t xml:space="preserve">2603</t>
  </si>
  <si>
    <t xml:space="preserve">2604</t>
  </si>
  <si>
    <t xml:space="preserve">2605</t>
  </si>
  <si>
    <t xml:space="preserve">2606</t>
  </si>
  <si>
    <t xml:space="preserve">2703</t>
  </si>
  <si>
    <t xml:space="preserve">2704</t>
  </si>
  <si>
    <t xml:space="preserve">2705</t>
  </si>
  <si>
    <t xml:space="preserve">2706</t>
  </si>
  <si>
    <t xml:space="preserve">1907</t>
  </si>
  <si>
    <t xml:space="preserve">1 Dorm + Office</t>
  </si>
  <si>
    <t xml:space="preserve">2007</t>
  </si>
  <si>
    <t xml:space="preserve">2107</t>
  </si>
  <si>
    <t xml:space="preserve">2207</t>
  </si>
  <si>
    <t xml:space="preserve">2307</t>
  </si>
  <si>
    <t xml:space="preserve">2407</t>
  </si>
  <si>
    <t xml:space="preserve">2507</t>
  </si>
  <si>
    <t xml:space="preserve">2607</t>
  </si>
  <si>
    <t xml:space="preserve">2707</t>
  </si>
  <si>
    <t xml:space="preserve">Fonte: Tabela_SCP_Haddock_Lobo_Out26.pdf (enviada pelo usuário). Valores copiados sem alteração; coluna K calculada.</t>
  </si>
  <si>
    <t xml:space="preserve">Fluxo mensal - SCP Haddock Lobo (R$ nominais; saídas negativas)</t>
  </si>
  <si>
    <t xml:space="preserve">Mês</t>
  </si>
  <si>
    <t xml:space="preserve">Fase</t>
  </si>
  <si>
    <t xml:space="preserve">Meses desde a compra</t>
  </si>
  <si>
    <t xml:space="preserve">Ocupação</t>
  </si>
  <si>
    <t xml:space="preserve">Receita bruta</t>
  </si>
  <si>
    <t xml:space="preserve">Gestora</t>
  </si>
  <si>
    <t xml:space="preserve">Condomínio + IPTU</t>
  </si>
  <si>
    <t xml:space="preserve">Contas</t>
  </si>
  <si>
    <t xml:space="preserve">Manutenção</t>
  </si>
  <si>
    <t xml:space="preserve">IR</t>
  </si>
  <si>
    <t xml:space="preserve">Resultado do imóvel (após IR)</t>
  </si>
  <si>
    <t xml:space="preserve">ITBI + registro</t>
  </si>
  <si>
    <t xml:space="preserve">Mobília</t>
  </si>
  <si>
    <t xml:space="preserve">Valor de mercado</t>
  </si>
  <si>
    <t xml:space="preserve">CDI líquido (mês)</t>
  </si>
  <si>
    <t xml:space="preserve">Promo à vista: Pagamento SCP</t>
  </si>
  <si>
    <t xml:space="preserve">Promo à vista: Fluxo de caixa</t>
  </si>
  <si>
    <t xml:space="preserve">Promo à vista: Caixa acumulado</t>
  </si>
  <si>
    <t xml:space="preserve">Promo à vista: Patrimônio se vender</t>
  </si>
  <si>
    <t xml:space="preserve">Promo à vista: Posição total</t>
  </si>
  <si>
    <t xml:space="preserve">Promo à vista: Saldo em CDI (espelho)</t>
  </si>
  <si>
    <t xml:space="preserve">À vista: Pagamento SCP</t>
  </si>
  <si>
    <t xml:space="preserve">À vista: Fluxo de caixa</t>
  </si>
  <si>
    <t xml:space="preserve">À vista: Caixa acumulado</t>
  </si>
  <si>
    <t xml:space="preserve">À vista: Patrimônio se vender</t>
  </si>
  <si>
    <t xml:space="preserve">À vista: Posição total</t>
  </si>
  <si>
    <t xml:space="preserve">À vista: Saldo em CDI (espelho)</t>
  </si>
  <si>
    <t xml:space="preserve">3x: Pagamento SCP</t>
  </si>
  <si>
    <t xml:space="preserve">3x: Fluxo de caixa</t>
  </si>
  <si>
    <t xml:space="preserve">3x: Caixa acumulado</t>
  </si>
  <si>
    <t xml:space="preserve">3x: Patrimônio se vender</t>
  </si>
  <si>
    <t xml:space="preserve">3x: Posição total</t>
  </si>
  <si>
    <t xml:space="preserve">3x: Saldo em CDI (espelho)</t>
  </si>
  <si>
    <t xml:space="preserve">20% + 43x: Pagamento SCP</t>
  </si>
  <si>
    <t xml:space="preserve">20% + 43x: Fluxo de caixa</t>
  </si>
  <si>
    <t xml:space="preserve">20% + 43x: Caixa acumulado</t>
  </si>
  <si>
    <t xml:space="preserve">20% + 43x: Patrimônio se vender</t>
  </si>
  <si>
    <t xml:space="preserve">20% + 43x: Posição total</t>
  </si>
  <si>
    <t xml:space="preserve">20% + 43x: Saldo em CDI (espelho)</t>
  </si>
  <si>
    <t xml:space="preserve">Promo: CDI na régua da posição (saldo + caixa)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</si>
</sst>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.00"/>
    <numFmt numFmtId="167" formatCode="&quot;R$ &quot;#,##0;&quot;(R$ &quot;#,##0\);\-"/>
    <numFmt numFmtId="168" formatCode="mmm/yy"/>
    <numFmt numFmtId="169" formatCode="0.0%;\(0.0%\);\-"/>
    <numFmt numFmtId="170" formatCode="&quot;R$ &quot;#,##0"/>
    <numFmt numFmtId="171" formatCode="0"/>
    <numFmt numFmtId="172" formatCode="0.0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9"/>
      <color rgb="FF6B6A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2E"/>
        <bgColor rgb="FF333300"/>
      </patternFill>
    </fill>
    <fill>
      <patternFill patternType="solid">
        <fgColor rgb="FFF3DFD5"/>
        <bgColor rgb="FFEDEAE3"/>
      </patternFill>
    </fill>
    <fill>
      <patternFill patternType="solid">
        <fgColor rgb="FFEDEAE3"/>
        <bgColor rgb="FFF3DFD5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3A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DEA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FD5"/>
      <rgbColor rgb="FF3366FF"/>
      <rgbColor rgb="FF33CCCC"/>
      <rgbColor rgb="FF99CC00"/>
      <rgbColor rgb="FFFFCC00"/>
      <rgbColor rgb="FFFF9900"/>
      <rgbColor rgb="FFFF6600"/>
      <rgbColor rgb="FF6B6A64"/>
      <rgbColor rgb="FF969696"/>
      <rgbColor rgb="FF003366"/>
      <rgbColor rgb="FF339966"/>
      <rgbColor rgb="FF003300"/>
      <rgbColor rgb="FF333300"/>
      <rgbColor rgb="FFB4441F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Promo à vista: imóvel (posição) x CDI (saldo + caixa)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'Fluxo mensal'!U4</c:f>
              <c:strCache>
                <c:ptCount val="1"/>
                <c:pt idx="0">
                  <c:v>Promo à vista: Posição total</c:v>
                </c:pt>
              </c:strCache>
            </c:strRef>
          </c:tx>
          <c:spPr>
            <a:solidFill>
              <a:srgbClr val="b4441f"/>
            </a:solidFill>
            <a:ln w="28440">
              <a:solidFill>
                <a:srgbClr val="b4441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mensal'!$A$5:$A$355</c:f>
              <c:strCache>
                <c:ptCount val="351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  <c:pt idx="24">
                  <c:v>Oct/28</c:v>
                </c:pt>
                <c:pt idx="25">
                  <c:v>Nov/28</c:v>
                </c:pt>
                <c:pt idx="26">
                  <c:v>Dec/28</c:v>
                </c:pt>
                <c:pt idx="27">
                  <c:v>Jan/29</c:v>
                </c:pt>
                <c:pt idx="28">
                  <c:v>Feb/29</c:v>
                </c:pt>
                <c:pt idx="29">
                  <c:v>Mar/29</c:v>
                </c:pt>
                <c:pt idx="30">
                  <c:v>Apr/29</c:v>
                </c:pt>
                <c:pt idx="31">
                  <c:v>May/29</c:v>
                </c:pt>
                <c:pt idx="32">
                  <c:v>Jun/29</c:v>
                </c:pt>
                <c:pt idx="33">
                  <c:v>Jul/29</c:v>
                </c:pt>
                <c:pt idx="34">
                  <c:v>Aug/29</c:v>
                </c:pt>
                <c:pt idx="35">
                  <c:v>Sep/29</c:v>
                </c:pt>
                <c:pt idx="36">
                  <c:v>Oct/29</c:v>
                </c:pt>
                <c:pt idx="37">
                  <c:v>Nov/29</c:v>
                </c:pt>
                <c:pt idx="38">
                  <c:v>Dec/29</c:v>
                </c:pt>
                <c:pt idx="39">
                  <c:v>Jan/30</c:v>
                </c:pt>
                <c:pt idx="40">
                  <c:v>Feb/30</c:v>
                </c:pt>
                <c:pt idx="41">
                  <c:v>Mar/30</c:v>
                </c:pt>
                <c:pt idx="42">
                  <c:v>Apr/30</c:v>
                </c:pt>
                <c:pt idx="43">
                  <c:v>May/30</c:v>
                </c:pt>
                <c:pt idx="44">
                  <c:v>Jun/30</c:v>
                </c:pt>
                <c:pt idx="45">
                  <c:v>Jul/30</c:v>
                </c:pt>
                <c:pt idx="46">
                  <c:v>Aug/30</c:v>
                </c:pt>
                <c:pt idx="47">
                  <c:v>Sep/30</c:v>
                </c:pt>
                <c:pt idx="48">
                  <c:v>Oct/30</c:v>
                </c:pt>
                <c:pt idx="49">
                  <c:v>Nov/30</c:v>
                </c:pt>
                <c:pt idx="50">
                  <c:v>Dec/30</c:v>
                </c:pt>
                <c:pt idx="51">
                  <c:v>Jan/31</c:v>
                </c:pt>
                <c:pt idx="52">
                  <c:v>Feb/31</c:v>
                </c:pt>
                <c:pt idx="53">
                  <c:v>Mar/31</c:v>
                </c:pt>
                <c:pt idx="54">
                  <c:v>Apr/31</c:v>
                </c:pt>
                <c:pt idx="55">
                  <c:v>May/31</c:v>
                </c:pt>
                <c:pt idx="56">
                  <c:v>Jun/31</c:v>
                </c:pt>
                <c:pt idx="57">
                  <c:v>Jul/31</c:v>
                </c:pt>
                <c:pt idx="58">
                  <c:v>Aug/31</c:v>
                </c:pt>
                <c:pt idx="59">
                  <c:v>Sep/31</c:v>
                </c:pt>
                <c:pt idx="60">
                  <c:v>Oct/31</c:v>
                </c:pt>
                <c:pt idx="61">
                  <c:v>Nov/31</c:v>
                </c:pt>
                <c:pt idx="62">
                  <c:v>Dec/31</c:v>
                </c:pt>
                <c:pt idx="63">
                  <c:v>Jan/32</c:v>
                </c:pt>
                <c:pt idx="64">
                  <c:v>Feb/32</c:v>
                </c:pt>
                <c:pt idx="65">
                  <c:v>Mar/32</c:v>
                </c:pt>
                <c:pt idx="66">
                  <c:v>Apr/32</c:v>
                </c:pt>
                <c:pt idx="67">
                  <c:v>May/32</c:v>
                </c:pt>
                <c:pt idx="68">
                  <c:v>Jun/32</c:v>
                </c:pt>
                <c:pt idx="69">
                  <c:v>Jul/32</c:v>
                </c:pt>
                <c:pt idx="70">
                  <c:v>Aug/32</c:v>
                </c:pt>
                <c:pt idx="71">
                  <c:v>Sep/32</c:v>
                </c:pt>
                <c:pt idx="72">
                  <c:v>Oct/32</c:v>
                </c:pt>
                <c:pt idx="73">
                  <c:v>Nov/32</c:v>
                </c:pt>
                <c:pt idx="74">
                  <c:v>Dec/32</c:v>
                </c:pt>
                <c:pt idx="75">
                  <c:v>Jan/33</c:v>
                </c:pt>
                <c:pt idx="76">
                  <c:v>Feb/33</c:v>
                </c:pt>
                <c:pt idx="77">
                  <c:v>Mar/33</c:v>
                </c:pt>
                <c:pt idx="78">
                  <c:v>Apr/33</c:v>
                </c:pt>
                <c:pt idx="79">
                  <c:v>May/33</c:v>
                </c:pt>
                <c:pt idx="80">
                  <c:v>Jun/33</c:v>
                </c:pt>
                <c:pt idx="81">
                  <c:v>Jul/33</c:v>
                </c:pt>
                <c:pt idx="82">
                  <c:v>Aug/33</c:v>
                </c:pt>
                <c:pt idx="83">
                  <c:v>Sep/33</c:v>
                </c:pt>
                <c:pt idx="84">
                  <c:v>Oct/33</c:v>
                </c:pt>
                <c:pt idx="85">
                  <c:v>Nov/33</c:v>
                </c:pt>
                <c:pt idx="86">
                  <c:v>Dec/33</c:v>
                </c:pt>
                <c:pt idx="87">
                  <c:v>Jan/34</c:v>
                </c:pt>
                <c:pt idx="88">
                  <c:v>Feb/34</c:v>
                </c:pt>
                <c:pt idx="89">
                  <c:v>Mar/34</c:v>
                </c:pt>
                <c:pt idx="90">
                  <c:v>Apr/34</c:v>
                </c:pt>
                <c:pt idx="91">
                  <c:v>May/34</c:v>
                </c:pt>
                <c:pt idx="92">
                  <c:v>Jun/34</c:v>
                </c:pt>
                <c:pt idx="93">
                  <c:v>Jul/34</c:v>
                </c:pt>
                <c:pt idx="94">
                  <c:v>Aug/34</c:v>
                </c:pt>
                <c:pt idx="95">
                  <c:v>Sep/34</c:v>
                </c:pt>
                <c:pt idx="96">
                  <c:v>Oct/34</c:v>
                </c:pt>
                <c:pt idx="97">
                  <c:v>Nov/34</c:v>
                </c:pt>
                <c:pt idx="98">
                  <c:v>Dec/34</c:v>
                </c:pt>
                <c:pt idx="99">
                  <c:v>Jan/35</c:v>
                </c:pt>
                <c:pt idx="100">
                  <c:v>Feb/35</c:v>
                </c:pt>
                <c:pt idx="101">
                  <c:v>Mar/35</c:v>
                </c:pt>
                <c:pt idx="102">
                  <c:v>Apr/35</c:v>
                </c:pt>
                <c:pt idx="103">
                  <c:v>May/35</c:v>
                </c:pt>
                <c:pt idx="104">
                  <c:v>Jun/35</c:v>
                </c:pt>
                <c:pt idx="105">
                  <c:v>Jul/35</c:v>
                </c:pt>
                <c:pt idx="106">
                  <c:v>Aug/35</c:v>
                </c:pt>
                <c:pt idx="107">
                  <c:v>Sep/35</c:v>
                </c:pt>
                <c:pt idx="108">
                  <c:v>Oct/35</c:v>
                </c:pt>
                <c:pt idx="109">
                  <c:v>Nov/35</c:v>
                </c:pt>
                <c:pt idx="110">
                  <c:v>Dec/35</c:v>
                </c:pt>
                <c:pt idx="111">
                  <c:v>Jan/36</c:v>
                </c:pt>
                <c:pt idx="112">
                  <c:v>Feb/36</c:v>
                </c:pt>
                <c:pt idx="113">
                  <c:v>Mar/36</c:v>
                </c:pt>
                <c:pt idx="114">
                  <c:v>Apr/36</c:v>
                </c:pt>
                <c:pt idx="115">
                  <c:v>May/36</c:v>
                </c:pt>
                <c:pt idx="116">
                  <c:v>Jun/36</c:v>
                </c:pt>
                <c:pt idx="117">
                  <c:v>Jul/36</c:v>
                </c:pt>
                <c:pt idx="118">
                  <c:v>Aug/36</c:v>
                </c:pt>
                <c:pt idx="119">
                  <c:v>Sep/36</c:v>
                </c:pt>
                <c:pt idx="120">
                  <c:v>Oct/36</c:v>
                </c:pt>
                <c:pt idx="121">
                  <c:v>Nov/36</c:v>
                </c:pt>
                <c:pt idx="122">
                  <c:v>Dec/36</c:v>
                </c:pt>
                <c:pt idx="123">
                  <c:v>Jan/37</c:v>
                </c:pt>
                <c:pt idx="124">
                  <c:v>Feb/37</c:v>
                </c:pt>
                <c:pt idx="125">
                  <c:v>Mar/37</c:v>
                </c:pt>
                <c:pt idx="126">
                  <c:v>Apr/37</c:v>
                </c:pt>
                <c:pt idx="127">
                  <c:v>May/37</c:v>
                </c:pt>
                <c:pt idx="128">
                  <c:v>Jun/37</c:v>
                </c:pt>
                <c:pt idx="129">
                  <c:v>Jul/37</c:v>
                </c:pt>
                <c:pt idx="130">
                  <c:v>Aug/37</c:v>
                </c:pt>
                <c:pt idx="131">
                  <c:v>Sep/37</c:v>
                </c:pt>
                <c:pt idx="132">
                  <c:v>Oct/37</c:v>
                </c:pt>
                <c:pt idx="133">
                  <c:v>Nov/37</c:v>
                </c:pt>
                <c:pt idx="134">
                  <c:v>Dec/37</c:v>
                </c:pt>
                <c:pt idx="135">
                  <c:v>Jan/38</c:v>
                </c:pt>
                <c:pt idx="136">
                  <c:v>Feb/38</c:v>
                </c:pt>
                <c:pt idx="137">
                  <c:v>Mar/38</c:v>
                </c:pt>
                <c:pt idx="138">
                  <c:v>Apr/38</c:v>
                </c:pt>
                <c:pt idx="139">
                  <c:v>May/38</c:v>
                </c:pt>
                <c:pt idx="140">
                  <c:v>Jun/38</c:v>
                </c:pt>
                <c:pt idx="141">
                  <c:v>Jul/38</c:v>
                </c:pt>
                <c:pt idx="142">
                  <c:v>Aug/38</c:v>
                </c:pt>
                <c:pt idx="143">
                  <c:v>Sep/38</c:v>
                </c:pt>
                <c:pt idx="144">
                  <c:v>Oct/38</c:v>
                </c:pt>
                <c:pt idx="145">
                  <c:v>Nov/38</c:v>
                </c:pt>
                <c:pt idx="146">
                  <c:v>Dec/38</c:v>
                </c:pt>
                <c:pt idx="147">
                  <c:v>Jan/39</c:v>
                </c:pt>
                <c:pt idx="148">
                  <c:v>Feb/39</c:v>
                </c:pt>
                <c:pt idx="149">
                  <c:v>Mar/39</c:v>
                </c:pt>
                <c:pt idx="150">
                  <c:v>Apr/39</c:v>
                </c:pt>
                <c:pt idx="151">
                  <c:v>May/39</c:v>
                </c:pt>
                <c:pt idx="152">
                  <c:v>Jun/39</c:v>
                </c:pt>
                <c:pt idx="153">
                  <c:v>Jul/39</c:v>
                </c:pt>
                <c:pt idx="154">
                  <c:v>Aug/39</c:v>
                </c:pt>
                <c:pt idx="155">
                  <c:v>Sep/39</c:v>
                </c:pt>
                <c:pt idx="156">
                  <c:v>Oct/39</c:v>
                </c:pt>
                <c:pt idx="157">
                  <c:v>Nov/39</c:v>
                </c:pt>
                <c:pt idx="158">
                  <c:v>Dec/39</c:v>
                </c:pt>
                <c:pt idx="159">
                  <c:v>Jan/40</c:v>
                </c:pt>
                <c:pt idx="160">
                  <c:v>Feb/40</c:v>
                </c:pt>
                <c:pt idx="161">
                  <c:v>Mar/40</c:v>
                </c:pt>
                <c:pt idx="162">
                  <c:v>Apr/40</c:v>
                </c:pt>
                <c:pt idx="163">
                  <c:v>May/40</c:v>
                </c:pt>
                <c:pt idx="164">
                  <c:v>Jun/40</c:v>
                </c:pt>
                <c:pt idx="165">
                  <c:v>Jul/40</c:v>
                </c:pt>
                <c:pt idx="166">
                  <c:v>Aug/40</c:v>
                </c:pt>
                <c:pt idx="167">
                  <c:v>Sep/40</c:v>
                </c:pt>
                <c:pt idx="168">
                  <c:v>Oct/40</c:v>
                </c:pt>
                <c:pt idx="169">
                  <c:v>Nov/40</c:v>
                </c:pt>
                <c:pt idx="170">
                  <c:v>Dec/40</c:v>
                </c:pt>
                <c:pt idx="171">
                  <c:v>Jan/41</c:v>
                </c:pt>
                <c:pt idx="172">
                  <c:v>Feb/41</c:v>
                </c:pt>
                <c:pt idx="173">
                  <c:v>Mar/41</c:v>
                </c:pt>
                <c:pt idx="174">
                  <c:v>Apr/41</c:v>
                </c:pt>
                <c:pt idx="175">
                  <c:v>May/41</c:v>
                </c:pt>
                <c:pt idx="176">
                  <c:v>Jun/41</c:v>
                </c:pt>
                <c:pt idx="177">
                  <c:v>Jul/41</c:v>
                </c:pt>
                <c:pt idx="178">
                  <c:v>Aug/41</c:v>
                </c:pt>
                <c:pt idx="179">
                  <c:v>Sep/41</c:v>
                </c:pt>
                <c:pt idx="180">
                  <c:v>Oct/41</c:v>
                </c:pt>
                <c:pt idx="181">
                  <c:v>Nov/41</c:v>
                </c:pt>
                <c:pt idx="182">
                  <c:v>Dec/41</c:v>
                </c:pt>
                <c:pt idx="183">
                  <c:v>Jan/42</c:v>
                </c:pt>
                <c:pt idx="184">
                  <c:v>Feb/42</c:v>
                </c:pt>
                <c:pt idx="185">
                  <c:v>Mar/42</c:v>
                </c:pt>
                <c:pt idx="186">
                  <c:v>Apr/42</c:v>
                </c:pt>
                <c:pt idx="187">
                  <c:v>May/42</c:v>
                </c:pt>
                <c:pt idx="188">
                  <c:v>Jun/42</c:v>
                </c:pt>
                <c:pt idx="189">
                  <c:v>Jul/42</c:v>
                </c:pt>
                <c:pt idx="190">
                  <c:v>Aug/42</c:v>
                </c:pt>
                <c:pt idx="191">
                  <c:v>Sep/42</c:v>
                </c:pt>
                <c:pt idx="192">
                  <c:v>Oct/42</c:v>
                </c:pt>
                <c:pt idx="193">
                  <c:v>Nov/42</c:v>
                </c:pt>
                <c:pt idx="194">
                  <c:v>Dec/42</c:v>
                </c:pt>
                <c:pt idx="195">
                  <c:v>Jan/43</c:v>
                </c:pt>
                <c:pt idx="196">
                  <c:v>Feb/43</c:v>
                </c:pt>
                <c:pt idx="197">
                  <c:v>Mar/43</c:v>
                </c:pt>
                <c:pt idx="198">
                  <c:v>Apr/43</c:v>
                </c:pt>
                <c:pt idx="199">
                  <c:v>May/43</c:v>
                </c:pt>
                <c:pt idx="200">
                  <c:v>Jun/43</c:v>
                </c:pt>
                <c:pt idx="201">
                  <c:v>Jul/43</c:v>
                </c:pt>
                <c:pt idx="202">
                  <c:v>Aug/43</c:v>
                </c:pt>
                <c:pt idx="203">
                  <c:v>Sep/43</c:v>
                </c:pt>
                <c:pt idx="204">
                  <c:v>Oct/43</c:v>
                </c:pt>
                <c:pt idx="205">
                  <c:v>Nov/43</c:v>
                </c:pt>
                <c:pt idx="206">
                  <c:v>Dec/43</c:v>
                </c:pt>
                <c:pt idx="207">
                  <c:v>Jan/44</c:v>
                </c:pt>
                <c:pt idx="208">
                  <c:v>Feb/44</c:v>
                </c:pt>
                <c:pt idx="209">
                  <c:v>Mar/44</c:v>
                </c:pt>
                <c:pt idx="210">
                  <c:v>Apr/44</c:v>
                </c:pt>
                <c:pt idx="211">
                  <c:v>May/44</c:v>
                </c:pt>
                <c:pt idx="212">
                  <c:v>Jun/44</c:v>
                </c:pt>
                <c:pt idx="213">
                  <c:v>Jul/44</c:v>
                </c:pt>
                <c:pt idx="214">
                  <c:v>Aug/44</c:v>
                </c:pt>
                <c:pt idx="215">
                  <c:v>Sep/44</c:v>
                </c:pt>
                <c:pt idx="216">
                  <c:v>Oct/44</c:v>
                </c:pt>
                <c:pt idx="217">
                  <c:v>Nov/44</c:v>
                </c:pt>
                <c:pt idx="218">
                  <c:v>Dec/44</c:v>
                </c:pt>
                <c:pt idx="219">
                  <c:v>Jan/45</c:v>
                </c:pt>
                <c:pt idx="220">
                  <c:v>Feb/45</c:v>
                </c:pt>
                <c:pt idx="221">
                  <c:v>Mar/45</c:v>
                </c:pt>
                <c:pt idx="222">
                  <c:v>Apr/45</c:v>
                </c:pt>
                <c:pt idx="223">
                  <c:v>May/45</c:v>
                </c:pt>
                <c:pt idx="224">
                  <c:v>Jun/45</c:v>
                </c:pt>
                <c:pt idx="225">
                  <c:v>Jul/45</c:v>
                </c:pt>
                <c:pt idx="226">
                  <c:v>Aug/45</c:v>
                </c:pt>
                <c:pt idx="227">
                  <c:v>Sep/45</c:v>
                </c:pt>
                <c:pt idx="228">
                  <c:v>Oct/45</c:v>
                </c:pt>
                <c:pt idx="229">
                  <c:v>Nov/45</c:v>
                </c:pt>
                <c:pt idx="230">
                  <c:v>Dec/45</c:v>
                </c:pt>
                <c:pt idx="231">
                  <c:v>Jan/46</c:v>
                </c:pt>
                <c:pt idx="232">
                  <c:v>Feb/46</c:v>
                </c:pt>
                <c:pt idx="233">
                  <c:v>Mar/46</c:v>
                </c:pt>
                <c:pt idx="234">
                  <c:v>Apr/46</c:v>
                </c:pt>
                <c:pt idx="235">
                  <c:v>May/46</c:v>
                </c:pt>
                <c:pt idx="236">
                  <c:v>Jun/46</c:v>
                </c:pt>
                <c:pt idx="237">
                  <c:v>Jul/46</c:v>
                </c:pt>
                <c:pt idx="238">
                  <c:v>Aug/46</c:v>
                </c:pt>
                <c:pt idx="239">
                  <c:v>Sep/46</c:v>
                </c:pt>
                <c:pt idx="240">
                  <c:v>Oct/46</c:v>
                </c:pt>
                <c:pt idx="241">
                  <c:v>Nov/46</c:v>
                </c:pt>
                <c:pt idx="242">
                  <c:v>Dec/46</c:v>
                </c:pt>
                <c:pt idx="243">
                  <c:v>Jan/47</c:v>
                </c:pt>
                <c:pt idx="244">
                  <c:v>Feb/47</c:v>
                </c:pt>
                <c:pt idx="245">
                  <c:v>Mar/47</c:v>
                </c:pt>
                <c:pt idx="246">
                  <c:v>Apr/47</c:v>
                </c:pt>
                <c:pt idx="247">
                  <c:v>May/47</c:v>
                </c:pt>
                <c:pt idx="248">
                  <c:v>Jun/47</c:v>
                </c:pt>
                <c:pt idx="249">
                  <c:v>Jul/47</c:v>
                </c:pt>
                <c:pt idx="250">
                  <c:v>Aug/47</c:v>
                </c:pt>
                <c:pt idx="251">
                  <c:v>Sep/47</c:v>
                </c:pt>
                <c:pt idx="252">
                  <c:v>Oct/47</c:v>
                </c:pt>
                <c:pt idx="253">
                  <c:v>Nov/47</c:v>
                </c:pt>
                <c:pt idx="254">
                  <c:v>Dec/47</c:v>
                </c:pt>
                <c:pt idx="255">
                  <c:v>Jan/48</c:v>
                </c:pt>
                <c:pt idx="256">
                  <c:v>Feb/48</c:v>
                </c:pt>
                <c:pt idx="257">
                  <c:v>Mar/48</c:v>
                </c:pt>
                <c:pt idx="258">
                  <c:v>Apr/48</c:v>
                </c:pt>
                <c:pt idx="259">
                  <c:v>May/48</c:v>
                </c:pt>
                <c:pt idx="260">
                  <c:v>Jun/48</c:v>
                </c:pt>
                <c:pt idx="261">
                  <c:v>Jul/48</c:v>
                </c:pt>
                <c:pt idx="262">
                  <c:v>Aug/48</c:v>
                </c:pt>
                <c:pt idx="263">
                  <c:v>Sep/48</c:v>
                </c:pt>
                <c:pt idx="264">
                  <c:v>Oct/48</c:v>
                </c:pt>
                <c:pt idx="265">
                  <c:v>Nov/48</c:v>
                </c:pt>
                <c:pt idx="266">
                  <c:v>Dec/48</c:v>
                </c:pt>
                <c:pt idx="267">
                  <c:v>Jan/49</c:v>
                </c:pt>
                <c:pt idx="268">
                  <c:v>Feb/49</c:v>
                </c:pt>
                <c:pt idx="269">
                  <c:v>Mar/49</c:v>
                </c:pt>
                <c:pt idx="270">
                  <c:v>Apr/49</c:v>
                </c:pt>
                <c:pt idx="271">
                  <c:v>May/49</c:v>
                </c:pt>
                <c:pt idx="272">
                  <c:v>Jun/49</c:v>
                </c:pt>
                <c:pt idx="273">
                  <c:v>Jul/49</c:v>
                </c:pt>
                <c:pt idx="274">
                  <c:v>Aug/49</c:v>
                </c:pt>
                <c:pt idx="275">
                  <c:v>Sep/49</c:v>
                </c:pt>
                <c:pt idx="276">
                  <c:v>Oct/49</c:v>
                </c:pt>
                <c:pt idx="277">
                  <c:v>Nov/49</c:v>
                </c:pt>
                <c:pt idx="278">
                  <c:v>Dec/49</c:v>
                </c:pt>
                <c:pt idx="279">
                  <c:v>Jan/50</c:v>
                </c:pt>
                <c:pt idx="280">
                  <c:v>Feb/50</c:v>
                </c:pt>
                <c:pt idx="281">
                  <c:v>Mar/50</c:v>
                </c:pt>
                <c:pt idx="282">
                  <c:v>Apr/50</c:v>
                </c:pt>
                <c:pt idx="283">
                  <c:v>May/50</c:v>
                </c:pt>
                <c:pt idx="284">
                  <c:v>Jun/50</c:v>
                </c:pt>
                <c:pt idx="285">
                  <c:v>Jul/50</c:v>
                </c:pt>
                <c:pt idx="286">
                  <c:v>Aug/50</c:v>
                </c:pt>
                <c:pt idx="287">
                  <c:v>Sep/50</c:v>
                </c:pt>
                <c:pt idx="288">
                  <c:v>Oct/50</c:v>
                </c:pt>
                <c:pt idx="289">
                  <c:v>Nov/50</c:v>
                </c:pt>
                <c:pt idx="290">
                  <c:v>Dec/50</c:v>
                </c:pt>
                <c:pt idx="291">
                  <c:v>Jan/51</c:v>
                </c:pt>
                <c:pt idx="292">
                  <c:v>Feb/51</c:v>
                </c:pt>
                <c:pt idx="293">
                  <c:v>Mar/51</c:v>
                </c:pt>
                <c:pt idx="294">
                  <c:v>Apr/51</c:v>
                </c:pt>
                <c:pt idx="295">
                  <c:v>May/51</c:v>
                </c:pt>
                <c:pt idx="296">
                  <c:v>Jun/51</c:v>
                </c:pt>
                <c:pt idx="297">
                  <c:v>Jul/51</c:v>
                </c:pt>
                <c:pt idx="298">
                  <c:v>Aug/51</c:v>
                </c:pt>
                <c:pt idx="299">
                  <c:v>Sep/51</c:v>
                </c:pt>
                <c:pt idx="300">
                  <c:v>Oct/51</c:v>
                </c:pt>
                <c:pt idx="301">
                  <c:v>Nov/51</c:v>
                </c:pt>
                <c:pt idx="302">
                  <c:v>Dec/51</c:v>
                </c:pt>
                <c:pt idx="303">
                  <c:v>Jan/52</c:v>
                </c:pt>
                <c:pt idx="304">
                  <c:v>Feb/52</c:v>
                </c:pt>
                <c:pt idx="305">
                  <c:v>Mar/52</c:v>
                </c:pt>
                <c:pt idx="306">
                  <c:v>Apr/52</c:v>
                </c:pt>
                <c:pt idx="307">
                  <c:v>May/52</c:v>
                </c:pt>
                <c:pt idx="308">
                  <c:v>Jun/52</c:v>
                </c:pt>
                <c:pt idx="309">
                  <c:v>Jul/52</c:v>
                </c:pt>
                <c:pt idx="310">
                  <c:v>Aug/52</c:v>
                </c:pt>
                <c:pt idx="311">
                  <c:v>Sep/52</c:v>
                </c:pt>
                <c:pt idx="312">
                  <c:v>Oct/52</c:v>
                </c:pt>
                <c:pt idx="313">
                  <c:v>Nov/52</c:v>
                </c:pt>
                <c:pt idx="314">
                  <c:v>Dec/52</c:v>
                </c:pt>
                <c:pt idx="315">
                  <c:v>Jan/53</c:v>
                </c:pt>
                <c:pt idx="316">
                  <c:v>Feb/53</c:v>
                </c:pt>
                <c:pt idx="317">
                  <c:v>Mar/53</c:v>
                </c:pt>
                <c:pt idx="318">
                  <c:v>Apr/53</c:v>
                </c:pt>
                <c:pt idx="319">
                  <c:v>May/53</c:v>
                </c:pt>
                <c:pt idx="320">
                  <c:v>Jun/53</c:v>
                </c:pt>
                <c:pt idx="321">
                  <c:v>Jul/53</c:v>
                </c:pt>
                <c:pt idx="322">
                  <c:v>Aug/53</c:v>
                </c:pt>
                <c:pt idx="323">
                  <c:v>Sep/53</c:v>
                </c:pt>
                <c:pt idx="324">
                  <c:v>Oct/53</c:v>
                </c:pt>
                <c:pt idx="325">
                  <c:v>Nov/53</c:v>
                </c:pt>
                <c:pt idx="326">
                  <c:v>Dec/53</c:v>
                </c:pt>
                <c:pt idx="327">
                  <c:v>Jan/54</c:v>
                </c:pt>
                <c:pt idx="328">
                  <c:v>Feb/54</c:v>
                </c:pt>
                <c:pt idx="329">
                  <c:v>Mar/54</c:v>
                </c:pt>
                <c:pt idx="330">
                  <c:v>Apr/54</c:v>
                </c:pt>
                <c:pt idx="331">
                  <c:v>May/54</c:v>
                </c:pt>
                <c:pt idx="332">
                  <c:v>Jun/54</c:v>
                </c:pt>
                <c:pt idx="333">
                  <c:v>Jul/54</c:v>
                </c:pt>
                <c:pt idx="334">
                  <c:v>Aug/54</c:v>
                </c:pt>
                <c:pt idx="335">
                  <c:v>Sep/54</c:v>
                </c:pt>
                <c:pt idx="336">
                  <c:v>Oct/54</c:v>
                </c:pt>
                <c:pt idx="337">
                  <c:v>Nov/54</c:v>
                </c:pt>
                <c:pt idx="338">
                  <c:v>Dec/54</c:v>
                </c:pt>
                <c:pt idx="339">
                  <c:v>Jan/55</c:v>
                </c:pt>
                <c:pt idx="340">
                  <c:v>Feb/55</c:v>
                </c:pt>
                <c:pt idx="341">
                  <c:v>Mar/55</c:v>
                </c:pt>
                <c:pt idx="342">
                  <c:v>Apr/55</c:v>
                </c:pt>
                <c:pt idx="343">
                  <c:v>May/55</c:v>
                </c:pt>
                <c:pt idx="344">
                  <c:v>Jun/55</c:v>
                </c:pt>
                <c:pt idx="345">
                  <c:v>Jul/55</c:v>
                </c:pt>
                <c:pt idx="346">
                  <c:v>Aug/55</c:v>
                </c:pt>
                <c:pt idx="347">
                  <c:v>Sep/55</c:v>
                </c:pt>
                <c:pt idx="348">
                  <c:v>Oct/55</c:v>
                </c:pt>
                <c:pt idx="349">
                  <c:v>Nov/55</c:v>
                </c:pt>
                <c:pt idx="350">
                  <c:v>Dec/55</c:v>
                </c:pt>
              </c:strCache>
            </c:strRef>
          </c:cat>
          <c:val>
            <c:numRef>
              <c:f>'Fluxo mensal'!$U$5:$U$355</c:f>
              <c:numCache>
                <c:formatCode>"R$ "#,##0;"(R$ "#,##0\);\-</c:formatCode>
                <c:ptCount val="351"/>
                <c:pt idx="44">
                  <c:v>89233.2658870355</c:v>
                </c:pt>
                <c:pt idx="45">
                  <c:v>77378.2716360503</c:v>
                </c:pt>
                <c:pt idx="46">
                  <c:v>65526.4615383259</c:v>
                </c:pt>
                <c:pt idx="47">
                  <c:v>67378.3598113184</c:v>
                </c:pt>
                <c:pt idx="48">
                  <c:v>69237.4020470279</c:v>
                </c:pt>
                <c:pt idx="49">
                  <c:v>71103.6160384</c:v>
                </c:pt>
                <c:pt idx="50">
                  <c:v>73993.2858023426</c:v>
                </c:pt>
                <c:pt idx="51">
                  <c:v>76893.5101931479</c:v>
                </c:pt>
                <c:pt idx="52">
                  <c:v>79804.3282234539</c:v>
                </c:pt>
                <c:pt idx="53">
                  <c:v>82725.779051784</c:v>
                </c:pt>
                <c:pt idx="54">
                  <c:v>85657.9019830996</c:v>
                </c:pt>
                <c:pt idx="55">
                  <c:v>88600.7364693533</c:v>
                </c:pt>
                <c:pt idx="56">
                  <c:v>91554.3221100443</c:v>
                </c:pt>
                <c:pt idx="57">
                  <c:v>94518.6986527773</c:v>
                </c:pt>
                <c:pt idx="58">
                  <c:v>97493.9059938222</c:v>
                </c:pt>
                <c:pt idx="59">
                  <c:v>100479.984178676</c:v>
                </c:pt>
                <c:pt idx="60">
                  <c:v>103476.973402628</c:v>
                </c:pt>
                <c:pt idx="61">
                  <c:v>106484.914011325</c:v>
                </c:pt>
                <c:pt idx="62">
                  <c:v>109503.846501342</c:v>
                </c:pt>
                <c:pt idx="63">
                  <c:v>112533.811520749</c:v>
                </c:pt>
                <c:pt idx="64">
                  <c:v>115574.849869692</c:v>
                </c:pt>
                <c:pt idx="65">
                  <c:v>118627.002500958</c:v>
                </c:pt>
                <c:pt idx="66">
                  <c:v>121690.310520561</c:v>
                </c:pt>
                <c:pt idx="67">
                  <c:v>124764.815188317</c:v>
                </c:pt>
                <c:pt idx="68">
                  <c:v>127850.557918427</c:v>
                </c:pt>
                <c:pt idx="69">
                  <c:v>130947.580280062</c:v>
                </c:pt>
                <c:pt idx="70">
                  <c:v>134055.923997947</c:v>
                </c:pt>
                <c:pt idx="71">
                  <c:v>137175.630952954</c:v>
                </c:pt>
                <c:pt idx="72">
                  <c:v>140306.743182687</c:v>
                </c:pt>
                <c:pt idx="73">
                  <c:v>143449.30288208</c:v>
                </c:pt>
                <c:pt idx="74">
                  <c:v>146603.352403989</c:v>
                </c:pt>
                <c:pt idx="75">
                  <c:v>149768.934259792</c:v>
                </c:pt>
                <c:pt idx="76">
                  <c:v>152946.091119987</c:v>
                </c:pt>
                <c:pt idx="77">
                  <c:v>156134.865814797</c:v>
                </c:pt>
                <c:pt idx="78">
                  <c:v>159335.301334771</c:v>
                </c:pt>
                <c:pt idx="79">
                  <c:v>162547.440831392</c:v>
                </c:pt>
                <c:pt idx="80">
                  <c:v>165771.327617687</c:v>
                </c:pt>
                <c:pt idx="81">
                  <c:v>169007.005168839</c:v>
                </c:pt>
                <c:pt idx="82">
                  <c:v>172254.517122798</c:v>
                </c:pt>
                <c:pt idx="83">
                  <c:v>175513.907280902</c:v>
                </c:pt>
                <c:pt idx="84">
                  <c:v>178785.219608488</c:v>
                </c:pt>
                <c:pt idx="85">
                  <c:v>182068.498235522</c:v>
                </c:pt>
                <c:pt idx="86">
                  <c:v>185363.787457214</c:v>
                </c:pt>
                <c:pt idx="87">
                  <c:v>188671.131734649</c:v>
                </c:pt>
                <c:pt idx="88">
                  <c:v>191990.575695413</c:v>
                </c:pt>
                <c:pt idx="89">
                  <c:v>195322.164134223</c:v>
                </c:pt>
                <c:pt idx="90">
                  <c:v>198665.942013561</c:v>
                </c:pt>
                <c:pt idx="91">
                  <c:v>202021.954464309</c:v>
                </c:pt>
                <c:pt idx="92">
                  <c:v>205390.246786386</c:v>
                </c:pt>
                <c:pt idx="93">
                  <c:v>208770.864449389</c:v>
                </c:pt>
                <c:pt idx="94">
                  <c:v>212163.853093233</c:v>
                </c:pt>
                <c:pt idx="95">
                  <c:v>215569.258528802</c:v>
                </c:pt>
                <c:pt idx="96">
                  <c:v>218987.12673859</c:v>
                </c:pt>
                <c:pt idx="97">
                  <c:v>222417.503877353</c:v>
                </c:pt>
                <c:pt idx="98">
                  <c:v>225860.436272765</c:v>
                </c:pt>
                <c:pt idx="99">
                  <c:v>229315.970426067</c:v>
                </c:pt>
                <c:pt idx="100">
                  <c:v>232784.15301273</c:v>
                </c:pt>
                <c:pt idx="101">
                  <c:v>236265.03088311</c:v>
                </c:pt>
                <c:pt idx="102">
                  <c:v>239758.651063116</c:v>
                </c:pt>
                <c:pt idx="103">
                  <c:v>243265.06075487</c:v>
                </c:pt>
                <c:pt idx="104">
                  <c:v>246784.307337376</c:v>
                </c:pt>
                <c:pt idx="105">
                  <c:v>250316.438367193</c:v>
                </c:pt>
                <c:pt idx="106">
                  <c:v>253861.501579104</c:v>
                </c:pt>
                <c:pt idx="107">
                  <c:v>257419.544886794</c:v>
                </c:pt>
                <c:pt idx="108">
                  <c:v>260990.616383526</c:v>
                </c:pt>
                <c:pt idx="109">
                  <c:v>264574.764342821</c:v>
                </c:pt>
                <c:pt idx="110">
                  <c:v>268172.037219144</c:v>
                </c:pt>
                <c:pt idx="111">
                  <c:v>271782.483648586</c:v>
                </c:pt>
                <c:pt idx="112">
                  <c:v>275406.152449557</c:v>
                </c:pt>
                <c:pt idx="113">
                  <c:v>279043.092623472</c:v>
                </c:pt>
                <c:pt idx="114">
                  <c:v>282693.353355447</c:v>
                </c:pt>
                <c:pt idx="115">
                  <c:v>286356.984014995</c:v>
                </c:pt>
                <c:pt idx="116">
                  <c:v>290034.034156725</c:v>
                </c:pt>
                <c:pt idx="117">
                  <c:v>293724.553521044</c:v>
                </c:pt>
                <c:pt idx="118">
                  <c:v>297428.592034861</c:v>
                </c:pt>
                <c:pt idx="119">
                  <c:v>301146.199812291</c:v>
                </c:pt>
                <c:pt idx="120">
                  <c:v>304877.427155372</c:v>
                </c:pt>
                <c:pt idx="121">
                  <c:v>308622.324554769</c:v>
                </c:pt>
                <c:pt idx="122">
                  <c:v>312380.942690494</c:v>
                </c:pt>
                <c:pt idx="123">
                  <c:v>316153.332432623</c:v>
                </c:pt>
                <c:pt idx="124">
                  <c:v>319939.544842016</c:v>
                </c:pt>
                <c:pt idx="125">
                  <c:v>323739.631171042</c:v>
                </c:pt>
                <c:pt idx="126">
                  <c:v>327553.642864303</c:v>
                </c:pt>
                <c:pt idx="127">
                  <c:v>331381.631559364</c:v>
                </c:pt>
                <c:pt idx="128">
                  <c:v>335223.649087483</c:v>
                </c:pt>
                <c:pt idx="129">
                  <c:v>339079.74747435</c:v>
                </c:pt>
                <c:pt idx="130">
                  <c:v>342949.97894082</c:v>
                </c:pt>
                <c:pt idx="131">
                  <c:v>346834.395903652</c:v>
                </c:pt>
                <c:pt idx="132">
                  <c:v>350733.05097626</c:v>
                </c:pt>
                <c:pt idx="133">
                  <c:v>354645.996969449</c:v>
                </c:pt>
                <c:pt idx="134">
                  <c:v>358573.28689217</c:v>
                </c:pt>
                <c:pt idx="135">
                  <c:v>362514.973952268</c:v>
                </c:pt>
                <c:pt idx="136">
                  <c:v>366471.111557241</c:v>
                </c:pt>
                <c:pt idx="137">
                  <c:v>370441.75331499</c:v>
                </c:pt>
                <c:pt idx="138">
                  <c:v>374426.953034589</c:v>
                </c:pt>
                <c:pt idx="139">
                  <c:v>378426.764727039</c:v>
                </c:pt>
                <c:pt idx="140">
                  <c:v>382441.242606039</c:v>
                </c:pt>
                <c:pt idx="141">
                  <c:v>386470.441088755</c:v>
                </c:pt>
                <c:pt idx="142">
                  <c:v>390514.414796588</c:v>
                </c:pt>
                <c:pt idx="143">
                  <c:v>394573.218555954</c:v>
                </c:pt>
                <c:pt idx="144">
                  <c:v>398646.90739906</c:v>
                </c:pt>
                <c:pt idx="145">
                  <c:v>402735.536564684</c:v>
                </c:pt>
                <c:pt idx="146">
                  <c:v>406839.161498959</c:v>
                </c:pt>
                <c:pt idx="147">
                  <c:v>410957.837856159</c:v>
                </c:pt>
                <c:pt idx="148">
                  <c:v>415091.621499494</c:v>
                </c:pt>
                <c:pt idx="149">
                  <c:v>419240.568501895</c:v>
                </c:pt>
                <c:pt idx="150">
                  <c:v>423404.735146815</c:v>
                </c:pt>
                <c:pt idx="151">
                  <c:v>427584.17792903</c:v>
                </c:pt>
                <c:pt idx="152">
                  <c:v>431778.953555433</c:v>
                </c:pt>
                <c:pt idx="153">
                  <c:v>435989.11894585</c:v>
                </c:pt>
                <c:pt idx="154">
                  <c:v>440214.731233836</c:v>
                </c:pt>
                <c:pt idx="155">
                  <c:v>444455.847767499</c:v>
                </c:pt>
                <c:pt idx="156">
                  <c:v>448712.526110303</c:v>
                </c:pt>
                <c:pt idx="157">
                  <c:v>452984.824041894</c:v>
                </c:pt>
                <c:pt idx="158">
                  <c:v>457272.799558917</c:v>
                </c:pt>
                <c:pt idx="159">
                  <c:v>461576.510875839</c:v>
                </c:pt>
                <c:pt idx="160">
                  <c:v>465896.016425778</c:v>
                </c:pt>
                <c:pt idx="161">
                  <c:v>470231.374861333</c:v>
                </c:pt>
                <c:pt idx="162">
                  <c:v>474582.645055415</c:v>
                </c:pt>
                <c:pt idx="163">
                  <c:v>478949.886102088</c:v>
                </c:pt>
                <c:pt idx="164">
                  <c:v>483333.157317404</c:v>
                </c:pt>
                <c:pt idx="165">
                  <c:v>487732.518240248</c:v>
                </c:pt>
                <c:pt idx="166">
                  <c:v>492148.028633187</c:v>
                </c:pt>
                <c:pt idx="167">
                  <c:v>496579.748483313</c:v>
                </c:pt>
                <c:pt idx="168">
                  <c:v>501027.738003102</c:v>
                </c:pt>
                <c:pt idx="169">
                  <c:v>505492.057631267</c:v>
                </c:pt>
                <c:pt idx="170">
                  <c:v>509972.768033617</c:v>
                </c:pt>
                <c:pt idx="171">
                  <c:v>514469.930103921</c:v>
                </c:pt>
                <c:pt idx="172">
                  <c:v>518983.604964772</c:v>
                </c:pt>
                <c:pt idx="173">
                  <c:v>523513.85396846</c:v>
                </c:pt>
                <c:pt idx="174">
                  <c:v>528060.738697838</c:v>
                </c:pt>
                <c:pt idx="175">
                  <c:v>532624.320967206</c:v>
                </c:pt>
                <c:pt idx="176">
                  <c:v>537204.662823184</c:v>
                </c:pt>
                <c:pt idx="177">
                  <c:v>541801.826545595</c:v>
                </c:pt>
                <c:pt idx="178">
                  <c:v>546415.874648354</c:v>
                </c:pt>
                <c:pt idx="179">
                  <c:v>551046.869880359</c:v>
                </c:pt>
                <c:pt idx="180">
                  <c:v>555694.875226376</c:v>
                </c:pt>
                <c:pt idx="181">
                  <c:v>560359.953907942</c:v>
                </c:pt>
                <c:pt idx="182">
                  <c:v>565042.169384265</c:v>
                </c:pt>
                <c:pt idx="183">
                  <c:v>569741.585353121</c:v>
                </c:pt>
                <c:pt idx="184">
                  <c:v>574458.265751767</c:v>
                </c:pt>
                <c:pt idx="185">
                  <c:v>579192.274757848</c:v>
                </c:pt>
                <c:pt idx="186">
                  <c:v>583943.676790312</c:v>
                </c:pt>
                <c:pt idx="187">
                  <c:v>588712.536510324</c:v>
                </c:pt>
                <c:pt idx="188">
                  <c:v>593498.918822191</c:v>
                </c:pt>
                <c:pt idx="189">
                  <c:v>598302.888874284</c:v>
                </c:pt>
                <c:pt idx="190">
                  <c:v>603124.512059963</c:v>
                </c:pt>
                <c:pt idx="191">
                  <c:v>607963.854018515</c:v>
                </c:pt>
                <c:pt idx="192">
                  <c:v>612820.98063608</c:v>
                </c:pt>
                <c:pt idx="193">
                  <c:v>617695.958046598</c:v>
                </c:pt>
                <c:pt idx="194">
                  <c:v>622588.852632746</c:v>
                </c:pt>
                <c:pt idx="195">
                  <c:v>627499.731026884</c:v>
                </c:pt>
                <c:pt idx="196">
                  <c:v>632428.660112004</c:v>
                </c:pt>
                <c:pt idx="197">
                  <c:v>637375.707022687</c:v>
                </c:pt>
                <c:pt idx="198">
                  <c:v>642340.939146055</c:v>
                </c:pt>
                <c:pt idx="199">
                  <c:v>647324.424122731</c:v>
                </c:pt>
                <c:pt idx="200">
                  <c:v>652326.229847807</c:v>
                </c:pt>
                <c:pt idx="201">
                  <c:v>657346.424471807</c:v>
                </c:pt>
                <c:pt idx="202">
                  <c:v>662385.076401664</c:v>
                </c:pt>
                <c:pt idx="203">
                  <c:v>667442.254301687</c:v>
                </c:pt>
                <c:pt idx="204">
                  <c:v>672518.027094549</c:v>
                </c:pt>
                <c:pt idx="205">
                  <c:v>677612.463962261</c:v>
                </c:pt>
                <c:pt idx="206">
                  <c:v>682725.634347166</c:v>
                </c:pt>
                <c:pt idx="207">
                  <c:v>687857.607952922</c:v>
                </c:pt>
                <c:pt idx="208">
                  <c:v>693008.454745503</c:v>
                </c:pt>
                <c:pt idx="209">
                  <c:v>698178.24495419</c:v>
                </c:pt>
                <c:pt idx="210">
                  <c:v>703367.049072577</c:v>
                </c:pt>
                <c:pt idx="211">
                  <c:v>708574.937859576</c:v>
                </c:pt>
                <c:pt idx="212">
                  <c:v>713801.982340426</c:v>
                </c:pt>
                <c:pt idx="213">
                  <c:v>719048.253807702</c:v>
                </c:pt>
                <c:pt idx="214">
                  <c:v>724313.82382234</c:v>
                </c:pt>
                <c:pt idx="215">
                  <c:v>729598.764214651</c:v>
                </c:pt>
                <c:pt idx="216">
                  <c:v>734903.147085349</c:v>
                </c:pt>
                <c:pt idx="217">
                  <c:v>740227.044806583</c:v>
                </c:pt>
                <c:pt idx="218">
                  <c:v>745570.53002296</c:v>
                </c:pt>
                <c:pt idx="219">
                  <c:v>750933.675652593</c:v>
                </c:pt>
                <c:pt idx="220">
                  <c:v>756316.554888135</c:v>
                </c:pt>
                <c:pt idx="221">
                  <c:v>761719.241197824</c:v>
                </c:pt>
                <c:pt idx="222">
                  <c:v>767141.808326537</c:v>
                </c:pt>
                <c:pt idx="223">
                  <c:v>772584.330296836</c:v>
                </c:pt>
                <c:pt idx="224">
                  <c:v>778046.881410028</c:v>
                </c:pt>
                <c:pt idx="225">
                  <c:v>783529.536247226</c:v>
                </c:pt>
                <c:pt idx="226">
                  <c:v>789032.369670416</c:v>
                </c:pt>
                <c:pt idx="227">
                  <c:v>794555.45682352</c:v>
                </c:pt>
                <c:pt idx="228">
                  <c:v>800098.873133476</c:v>
                </c:pt>
                <c:pt idx="229">
                  <c:v>805662.694311312</c:v>
                </c:pt>
                <c:pt idx="230">
                  <c:v>811246.996353224</c:v>
                </c:pt>
                <c:pt idx="231">
                  <c:v>816851.855541671</c:v>
                </c:pt>
                <c:pt idx="232">
                  <c:v>822477.348446455</c:v>
                </c:pt>
                <c:pt idx="233">
                  <c:v>828123.551925821</c:v>
                </c:pt>
                <c:pt idx="234">
                  <c:v>833790.543127551</c:v>
                </c:pt>
                <c:pt idx="235">
                  <c:v>839478.399490072</c:v>
                </c:pt>
                <c:pt idx="236">
                  <c:v>845187.198743556</c:v>
                </c:pt>
                <c:pt idx="237">
                  <c:v>850917.018911035</c:v>
                </c:pt>
                <c:pt idx="238">
                  <c:v>856667.938309517</c:v>
                </c:pt>
                <c:pt idx="239">
                  <c:v>862440.035551102</c:v>
                </c:pt>
                <c:pt idx="240">
                  <c:v>868233.389544107</c:v>
                </c:pt>
                <c:pt idx="241">
                  <c:v>874048.079494196</c:v>
                </c:pt>
                <c:pt idx="242">
                  <c:v>879884.18490551</c:v>
                </c:pt>
                <c:pt idx="243">
                  <c:v>885741.785581804</c:v>
                </c:pt>
                <c:pt idx="244">
                  <c:v>891620.961627591</c:v>
                </c:pt>
                <c:pt idx="245">
                  <c:v>897521.793449284</c:v>
                </c:pt>
                <c:pt idx="246">
                  <c:v>903444.361756347</c:v>
                </c:pt>
                <c:pt idx="247">
                  <c:v>909388.747562448</c:v>
                </c:pt>
                <c:pt idx="248">
                  <c:v>915355.032186624</c:v>
                </c:pt>
                <c:pt idx="249">
                  <c:v>921343.297254436</c:v>
                </c:pt>
                <c:pt idx="250">
                  <c:v>927353.62469914</c:v>
                </c:pt>
                <c:pt idx="251">
                  <c:v>933386.096762862</c:v>
                </c:pt>
                <c:pt idx="252">
                  <c:v>939440.79599777</c:v>
                </c:pt>
                <c:pt idx="253">
                  <c:v>945517.80526726</c:v>
                </c:pt>
                <c:pt idx="254">
                  <c:v>951617.207747137</c:v>
                </c:pt>
                <c:pt idx="255">
                  <c:v>957739.086926809</c:v>
                </c:pt>
                <c:pt idx="256">
                  <c:v>963883.52661048</c:v>
                </c:pt>
                <c:pt idx="257">
                  <c:v>970050.61091835</c:v>
                </c:pt>
                <c:pt idx="258">
                  <c:v>976240.424287821</c:v>
                </c:pt>
                <c:pt idx="259">
                  <c:v>982453.051474702</c:v>
                </c:pt>
                <c:pt idx="260">
                  <c:v>988688.577554424</c:v>
                </c:pt>
                <c:pt idx="261">
                  <c:v>994947.087923263</c:v>
                </c:pt>
                <c:pt idx="262">
                  <c:v>1001228.66829955</c:v>
                </c:pt>
                <c:pt idx="263">
                  <c:v>1007533.40472492</c:v>
                </c:pt>
                <c:pt idx="264">
                  <c:v>1013861.38356552</c:v>
                </c:pt>
                <c:pt idx="265">
                  <c:v>1020212.69151325</c:v>
                </c:pt>
                <c:pt idx="266">
                  <c:v>1026587.41558704</c:v>
                </c:pt>
                <c:pt idx="267">
                  <c:v>1032985.64313404</c:v>
                </c:pt>
                <c:pt idx="268">
                  <c:v>1039407.46183092</c:v>
                </c:pt>
                <c:pt idx="269">
                  <c:v>1045852.95968508</c:v>
                </c:pt>
                <c:pt idx="270">
                  <c:v>1052322.22503596</c:v>
                </c:pt>
                <c:pt idx="271">
                  <c:v>1058815.34655628</c:v>
                </c:pt>
                <c:pt idx="272">
                  <c:v>1065332.4132533</c:v>
                </c:pt>
                <c:pt idx="273">
                  <c:v>1071873.51447012</c:v>
                </c:pt>
                <c:pt idx="274">
                  <c:v>1078438.73988695</c:v>
                </c:pt>
                <c:pt idx="275">
                  <c:v>1085028.17952238</c:v>
                </c:pt>
                <c:pt idx="276">
                  <c:v>1091641.92373471</c:v>
                </c:pt>
                <c:pt idx="277">
                  <c:v>1098280.0632232</c:v>
                </c:pt>
                <c:pt idx="278">
                  <c:v>1104942.68902939</c:v>
                </c:pt>
                <c:pt idx="279">
                  <c:v>1111629.89253842</c:v>
                </c:pt>
                <c:pt idx="280">
                  <c:v>1118341.76548031</c:v>
                </c:pt>
                <c:pt idx="281">
                  <c:v>1125078.39993131</c:v>
                </c:pt>
                <c:pt idx="282">
                  <c:v>1131839.8883152</c:v>
                </c:pt>
                <c:pt idx="283">
                  <c:v>1138626.32340458</c:v>
                </c:pt>
                <c:pt idx="284">
                  <c:v>1145437.7983223</c:v>
                </c:pt>
                <c:pt idx="285">
                  <c:v>1152274.40654269</c:v>
                </c:pt>
                <c:pt idx="286">
                  <c:v>1159136.24189295</c:v>
                </c:pt>
                <c:pt idx="287">
                  <c:v>1166023.39855451</c:v>
                </c:pt>
                <c:pt idx="288">
                  <c:v>1172935.97106434</c:v>
                </c:pt>
                <c:pt idx="289">
                  <c:v>1179874.05431635</c:v>
                </c:pt>
                <c:pt idx="290">
                  <c:v>1186837.74356271</c:v>
                </c:pt>
                <c:pt idx="291">
                  <c:v>1193827.13441526</c:v>
                </c:pt>
                <c:pt idx="292">
                  <c:v>1200842.32284684</c:v>
                </c:pt>
                <c:pt idx="293">
                  <c:v>1207883.40519269</c:v>
                </c:pt>
                <c:pt idx="294">
                  <c:v>1214950.47815184</c:v>
                </c:pt>
                <c:pt idx="295">
                  <c:v>1222043.63878847</c:v>
                </c:pt>
                <c:pt idx="296">
                  <c:v>1229162.98453335</c:v>
                </c:pt>
                <c:pt idx="297">
                  <c:v>1236308.61318519</c:v>
                </c:pt>
                <c:pt idx="298">
                  <c:v>1243480.62291206</c:v>
                </c:pt>
                <c:pt idx="299">
                  <c:v>1250679.11225282</c:v>
                </c:pt>
                <c:pt idx="300">
                  <c:v>1257904.18011851</c:v>
                </c:pt>
                <c:pt idx="301">
                  <c:v>1265155.92579378</c:v>
                </c:pt>
                <c:pt idx="302">
                  <c:v>1272434.44893832</c:v>
                </c:pt>
                <c:pt idx="303">
                  <c:v>1279739.84958829</c:v>
                </c:pt>
                <c:pt idx="304">
                  <c:v>1287072.22815773</c:v>
                </c:pt>
                <c:pt idx="305">
                  <c:v>1294431.68544006</c:v>
                </c:pt>
                <c:pt idx="306">
                  <c:v>1301818.32260948</c:v>
                </c:pt>
                <c:pt idx="307">
                  <c:v>1309232.24122244</c:v>
                </c:pt>
                <c:pt idx="308">
                  <c:v>1316673.5432191</c:v>
                </c:pt>
                <c:pt idx="309">
                  <c:v>1324142.33092478</c:v>
                </c:pt>
                <c:pt idx="310">
                  <c:v>1331638.70705145</c:v>
                </c:pt>
                <c:pt idx="311">
                  <c:v>1339162.77469922</c:v>
                </c:pt>
                <c:pt idx="312">
                  <c:v>1346714.63735777</c:v>
                </c:pt>
                <c:pt idx="313">
                  <c:v>1354294.3989079</c:v>
                </c:pt>
                <c:pt idx="314">
                  <c:v>1361902.16362295</c:v>
                </c:pt>
                <c:pt idx="315">
                  <c:v>1369538.0361704</c:v>
                </c:pt>
                <c:pt idx="316">
                  <c:v>1377202.12161325</c:v>
                </c:pt>
                <c:pt idx="317">
                  <c:v>1384894.52541166</c:v>
                </c:pt>
                <c:pt idx="318">
                  <c:v>1392615.35342436</c:v>
                </c:pt>
                <c:pt idx="319">
                  <c:v>1400364.71191024</c:v>
                </c:pt>
                <c:pt idx="320">
                  <c:v>1408142.70752983</c:v>
                </c:pt>
                <c:pt idx="321">
                  <c:v>1415949.4473469</c:v>
                </c:pt>
                <c:pt idx="322">
                  <c:v>1423785.03882991</c:v>
                </c:pt>
                <c:pt idx="323">
                  <c:v>1431649.58985363</c:v>
                </c:pt>
                <c:pt idx="324">
                  <c:v>1439543.20870067</c:v>
                </c:pt>
                <c:pt idx="325">
                  <c:v>1447466.00406303</c:v>
                </c:pt>
                <c:pt idx="326">
                  <c:v>1455418.08504367</c:v>
                </c:pt>
                <c:pt idx="327">
                  <c:v>1463399.56115806</c:v>
                </c:pt>
                <c:pt idx="328">
                  <c:v>1471410.5423358</c:v>
                </c:pt>
                <c:pt idx="329">
                  <c:v>1479451.13892216</c:v>
                </c:pt>
                <c:pt idx="330">
                  <c:v>1487521.4616797</c:v>
                </c:pt>
                <c:pt idx="331">
                  <c:v>1495621.62178983</c:v>
                </c:pt>
                <c:pt idx="332">
                  <c:v>1503751.73085444</c:v>
                </c:pt>
                <c:pt idx="333">
                  <c:v>1511911.9008975</c:v>
                </c:pt>
                <c:pt idx="334">
                  <c:v>1520102.24436666</c:v>
                </c:pt>
                <c:pt idx="335">
                  <c:v>1528322.87413488</c:v>
                </c:pt>
                <c:pt idx="336">
                  <c:v>1536573.90350206</c:v>
                </c:pt>
                <c:pt idx="337">
                  <c:v>1544855.44619666</c:v>
                </c:pt>
                <c:pt idx="338">
                  <c:v>1553167.61637734</c:v>
                </c:pt>
                <c:pt idx="339">
                  <c:v>1561510.52863462</c:v>
                </c:pt>
                <c:pt idx="340">
                  <c:v>1569884.29799249</c:v>
                </c:pt>
                <c:pt idx="341">
                  <c:v>1578289.03991013</c:v>
                </c:pt>
                <c:pt idx="342">
                  <c:v>1586724.87028352</c:v>
                </c:pt>
                <c:pt idx="343">
                  <c:v>1595191.90544711</c:v>
                </c:pt>
                <c:pt idx="344">
                  <c:v>1603690.26217555</c:v>
                </c:pt>
                <c:pt idx="345">
                  <c:v>1612220.05768531</c:v>
                </c:pt>
                <c:pt idx="346">
                  <c:v>1620781.40963641</c:v>
                </c:pt>
                <c:pt idx="347">
                  <c:v>1629374.43613408</c:v>
                </c:pt>
                <c:pt idx="348">
                  <c:v>1637999.25573052</c:v>
                </c:pt>
                <c:pt idx="349">
                  <c:v>1646655.98742653</c:v>
                </c:pt>
                <c:pt idx="350">
                  <c:v>1655344.75067331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'Fluxo mensal'!AO4</c:f>
              <c:strCache>
                <c:ptCount val="1"/>
                <c:pt idx="0">
                  <c:v>Promo: CDI na régua da posição (saldo + caixa)</c:v>
                </c:pt>
              </c:strCache>
            </c:strRef>
          </c:tx>
          <c:spPr>
            <a:solidFill>
              <a:srgbClr val="2f6b3a"/>
            </a:solidFill>
            <a:ln w="28440">
              <a:solidFill>
                <a:srgbClr val="2f6b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mensal'!$A$5:$A$355</c:f>
              <c:strCache>
                <c:ptCount val="351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  <c:pt idx="24">
                  <c:v>Oct/28</c:v>
                </c:pt>
                <c:pt idx="25">
                  <c:v>Nov/28</c:v>
                </c:pt>
                <c:pt idx="26">
                  <c:v>Dec/28</c:v>
                </c:pt>
                <c:pt idx="27">
                  <c:v>Jan/29</c:v>
                </c:pt>
                <c:pt idx="28">
                  <c:v>Feb/29</c:v>
                </c:pt>
                <c:pt idx="29">
                  <c:v>Mar/29</c:v>
                </c:pt>
                <c:pt idx="30">
                  <c:v>Apr/29</c:v>
                </c:pt>
                <c:pt idx="31">
                  <c:v>May/29</c:v>
                </c:pt>
                <c:pt idx="32">
                  <c:v>Jun/29</c:v>
                </c:pt>
                <c:pt idx="33">
                  <c:v>Jul/29</c:v>
                </c:pt>
                <c:pt idx="34">
                  <c:v>Aug/29</c:v>
                </c:pt>
                <c:pt idx="35">
                  <c:v>Sep/29</c:v>
                </c:pt>
                <c:pt idx="36">
                  <c:v>Oct/29</c:v>
                </c:pt>
                <c:pt idx="37">
                  <c:v>Nov/29</c:v>
                </c:pt>
                <c:pt idx="38">
                  <c:v>Dec/29</c:v>
                </c:pt>
                <c:pt idx="39">
                  <c:v>Jan/30</c:v>
                </c:pt>
                <c:pt idx="40">
                  <c:v>Feb/30</c:v>
                </c:pt>
                <c:pt idx="41">
                  <c:v>Mar/30</c:v>
                </c:pt>
                <c:pt idx="42">
                  <c:v>Apr/30</c:v>
                </c:pt>
                <c:pt idx="43">
                  <c:v>May/30</c:v>
                </c:pt>
                <c:pt idx="44">
                  <c:v>Jun/30</c:v>
                </c:pt>
                <c:pt idx="45">
                  <c:v>Jul/30</c:v>
                </c:pt>
                <c:pt idx="46">
                  <c:v>Aug/30</c:v>
                </c:pt>
                <c:pt idx="47">
                  <c:v>Sep/30</c:v>
                </c:pt>
                <c:pt idx="48">
                  <c:v>Oct/30</c:v>
                </c:pt>
                <c:pt idx="49">
                  <c:v>Nov/30</c:v>
                </c:pt>
                <c:pt idx="50">
                  <c:v>Dec/30</c:v>
                </c:pt>
                <c:pt idx="51">
                  <c:v>Jan/31</c:v>
                </c:pt>
                <c:pt idx="52">
                  <c:v>Feb/31</c:v>
                </c:pt>
                <c:pt idx="53">
                  <c:v>Mar/31</c:v>
                </c:pt>
                <c:pt idx="54">
                  <c:v>Apr/31</c:v>
                </c:pt>
                <c:pt idx="55">
                  <c:v>May/31</c:v>
                </c:pt>
                <c:pt idx="56">
                  <c:v>Jun/31</c:v>
                </c:pt>
                <c:pt idx="57">
                  <c:v>Jul/31</c:v>
                </c:pt>
                <c:pt idx="58">
                  <c:v>Aug/31</c:v>
                </c:pt>
                <c:pt idx="59">
                  <c:v>Sep/31</c:v>
                </c:pt>
                <c:pt idx="60">
                  <c:v>Oct/31</c:v>
                </c:pt>
                <c:pt idx="61">
                  <c:v>Nov/31</c:v>
                </c:pt>
                <c:pt idx="62">
                  <c:v>Dec/31</c:v>
                </c:pt>
                <c:pt idx="63">
                  <c:v>Jan/32</c:v>
                </c:pt>
                <c:pt idx="64">
                  <c:v>Feb/32</c:v>
                </c:pt>
                <c:pt idx="65">
                  <c:v>Mar/32</c:v>
                </c:pt>
                <c:pt idx="66">
                  <c:v>Apr/32</c:v>
                </c:pt>
                <c:pt idx="67">
                  <c:v>May/32</c:v>
                </c:pt>
                <c:pt idx="68">
                  <c:v>Jun/32</c:v>
                </c:pt>
                <c:pt idx="69">
                  <c:v>Jul/32</c:v>
                </c:pt>
                <c:pt idx="70">
                  <c:v>Aug/32</c:v>
                </c:pt>
                <c:pt idx="71">
                  <c:v>Sep/32</c:v>
                </c:pt>
                <c:pt idx="72">
                  <c:v>Oct/32</c:v>
                </c:pt>
                <c:pt idx="73">
                  <c:v>Nov/32</c:v>
                </c:pt>
                <c:pt idx="74">
                  <c:v>Dec/32</c:v>
                </c:pt>
                <c:pt idx="75">
                  <c:v>Jan/33</c:v>
                </c:pt>
                <c:pt idx="76">
                  <c:v>Feb/33</c:v>
                </c:pt>
                <c:pt idx="77">
                  <c:v>Mar/33</c:v>
                </c:pt>
                <c:pt idx="78">
                  <c:v>Apr/33</c:v>
                </c:pt>
                <c:pt idx="79">
                  <c:v>May/33</c:v>
                </c:pt>
                <c:pt idx="80">
                  <c:v>Jun/33</c:v>
                </c:pt>
                <c:pt idx="81">
                  <c:v>Jul/33</c:v>
                </c:pt>
                <c:pt idx="82">
                  <c:v>Aug/33</c:v>
                </c:pt>
                <c:pt idx="83">
                  <c:v>Sep/33</c:v>
                </c:pt>
                <c:pt idx="84">
                  <c:v>Oct/33</c:v>
                </c:pt>
                <c:pt idx="85">
                  <c:v>Nov/33</c:v>
                </c:pt>
                <c:pt idx="86">
                  <c:v>Dec/33</c:v>
                </c:pt>
                <c:pt idx="87">
                  <c:v>Jan/34</c:v>
                </c:pt>
                <c:pt idx="88">
                  <c:v>Feb/34</c:v>
                </c:pt>
                <c:pt idx="89">
                  <c:v>Mar/34</c:v>
                </c:pt>
                <c:pt idx="90">
                  <c:v>Apr/34</c:v>
                </c:pt>
                <c:pt idx="91">
                  <c:v>May/34</c:v>
                </c:pt>
                <c:pt idx="92">
                  <c:v>Jun/34</c:v>
                </c:pt>
                <c:pt idx="93">
                  <c:v>Jul/34</c:v>
                </c:pt>
                <c:pt idx="94">
                  <c:v>Aug/34</c:v>
                </c:pt>
                <c:pt idx="95">
                  <c:v>Sep/34</c:v>
                </c:pt>
                <c:pt idx="96">
                  <c:v>Oct/34</c:v>
                </c:pt>
                <c:pt idx="97">
                  <c:v>Nov/34</c:v>
                </c:pt>
                <c:pt idx="98">
                  <c:v>Dec/34</c:v>
                </c:pt>
                <c:pt idx="99">
                  <c:v>Jan/35</c:v>
                </c:pt>
                <c:pt idx="100">
                  <c:v>Feb/35</c:v>
                </c:pt>
                <c:pt idx="101">
                  <c:v>Mar/35</c:v>
                </c:pt>
                <c:pt idx="102">
                  <c:v>Apr/35</c:v>
                </c:pt>
                <c:pt idx="103">
                  <c:v>May/35</c:v>
                </c:pt>
                <c:pt idx="104">
                  <c:v>Jun/35</c:v>
                </c:pt>
                <c:pt idx="105">
                  <c:v>Jul/35</c:v>
                </c:pt>
                <c:pt idx="106">
                  <c:v>Aug/35</c:v>
                </c:pt>
                <c:pt idx="107">
                  <c:v>Sep/35</c:v>
                </c:pt>
                <c:pt idx="108">
                  <c:v>Oct/35</c:v>
                </c:pt>
                <c:pt idx="109">
                  <c:v>Nov/35</c:v>
                </c:pt>
                <c:pt idx="110">
                  <c:v>Dec/35</c:v>
                </c:pt>
                <c:pt idx="111">
                  <c:v>Jan/36</c:v>
                </c:pt>
                <c:pt idx="112">
                  <c:v>Feb/36</c:v>
                </c:pt>
                <c:pt idx="113">
                  <c:v>Mar/36</c:v>
                </c:pt>
                <c:pt idx="114">
                  <c:v>Apr/36</c:v>
                </c:pt>
                <c:pt idx="115">
                  <c:v>May/36</c:v>
                </c:pt>
                <c:pt idx="116">
                  <c:v>Jun/36</c:v>
                </c:pt>
                <c:pt idx="117">
                  <c:v>Jul/36</c:v>
                </c:pt>
                <c:pt idx="118">
                  <c:v>Aug/36</c:v>
                </c:pt>
                <c:pt idx="119">
                  <c:v>Sep/36</c:v>
                </c:pt>
                <c:pt idx="120">
                  <c:v>Oct/36</c:v>
                </c:pt>
                <c:pt idx="121">
                  <c:v>Nov/36</c:v>
                </c:pt>
                <c:pt idx="122">
                  <c:v>Dec/36</c:v>
                </c:pt>
                <c:pt idx="123">
                  <c:v>Jan/37</c:v>
                </c:pt>
                <c:pt idx="124">
                  <c:v>Feb/37</c:v>
                </c:pt>
                <c:pt idx="125">
                  <c:v>Mar/37</c:v>
                </c:pt>
                <c:pt idx="126">
                  <c:v>Apr/37</c:v>
                </c:pt>
                <c:pt idx="127">
                  <c:v>May/37</c:v>
                </c:pt>
                <c:pt idx="128">
                  <c:v>Jun/37</c:v>
                </c:pt>
                <c:pt idx="129">
                  <c:v>Jul/37</c:v>
                </c:pt>
                <c:pt idx="130">
                  <c:v>Aug/37</c:v>
                </c:pt>
                <c:pt idx="131">
                  <c:v>Sep/37</c:v>
                </c:pt>
                <c:pt idx="132">
                  <c:v>Oct/37</c:v>
                </c:pt>
                <c:pt idx="133">
                  <c:v>Nov/37</c:v>
                </c:pt>
                <c:pt idx="134">
                  <c:v>Dec/37</c:v>
                </c:pt>
                <c:pt idx="135">
                  <c:v>Jan/38</c:v>
                </c:pt>
                <c:pt idx="136">
                  <c:v>Feb/38</c:v>
                </c:pt>
                <c:pt idx="137">
                  <c:v>Mar/38</c:v>
                </c:pt>
                <c:pt idx="138">
                  <c:v>Apr/38</c:v>
                </c:pt>
                <c:pt idx="139">
                  <c:v>May/38</c:v>
                </c:pt>
                <c:pt idx="140">
                  <c:v>Jun/38</c:v>
                </c:pt>
                <c:pt idx="141">
                  <c:v>Jul/38</c:v>
                </c:pt>
                <c:pt idx="142">
                  <c:v>Aug/38</c:v>
                </c:pt>
                <c:pt idx="143">
                  <c:v>Sep/38</c:v>
                </c:pt>
                <c:pt idx="144">
                  <c:v>Oct/38</c:v>
                </c:pt>
                <c:pt idx="145">
                  <c:v>Nov/38</c:v>
                </c:pt>
                <c:pt idx="146">
                  <c:v>Dec/38</c:v>
                </c:pt>
                <c:pt idx="147">
                  <c:v>Jan/39</c:v>
                </c:pt>
                <c:pt idx="148">
                  <c:v>Feb/39</c:v>
                </c:pt>
                <c:pt idx="149">
                  <c:v>Mar/39</c:v>
                </c:pt>
                <c:pt idx="150">
                  <c:v>Apr/39</c:v>
                </c:pt>
                <c:pt idx="151">
                  <c:v>May/39</c:v>
                </c:pt>
                <c:pt idx="152">
                  <c:v>Jun/39</c:v>
                </c:pt>
                <c:pt idx="153">
                  <c:v>Jul/39</c:v>
                </c:pt>
                <c:pt idx="154">
                  <c:v>Aug/39</c:v>
                </c:pt>
                <c:pt idx="155">
                  <c:v>Sep/39</c:v>
                </c:pt>
                <c:pt idx="156">
                  <c:v>Oct/39</c:v>
                </c:pt>
                <c:pt idx="157">
                  <c:v>Nov/39</c:v>
                </c:pt>
                <c:pt idx="158">
                  <c:v>Dec/39</c:v>
                </c:pt>
                <c:pt idx="159">
                  <c:v>Jan/40</c:v>
                </c:pt>
                <c:pt idx="160">
                  <c:v>Feb/40</c:v>
                </c:pt>
                <c:pt idx="161">
                  <c:v>Mar/40</c:v>
                </c:pt>
                <c:pt idx="162">
                  <c:v>Apr/40</c:v>
                </c:pt>
                <c:pt idx="163">
                  <c:v>May/40</c:v>
                </c:pt>
                <c:pt idx="164">
                  <c:v>Jun/40</c:v>
                </c:pt>
                <c:pt idx="165">
                  <c:v>Jul/40</c:v>
                </c:pt>
                <c:pt idx="166">
                  <c:v>Aug/40</c:v>
                </c:pt>
                <c:pt idx="167">
                  <c:v>Sep/40</c:v>
                </c:pt>
                <c:pt idx="168">
                  <c:v>Oct/40</c:v>
                </c:pt>
                <c:pt idx="169">
                  <c:v>Nov/40</c:v>
                </c:pt>
                <c:pt idx="170">
                  <c:v>Dec/40</c:v>
                </c:pt>
                <c:pt idx="171">
                  <c:v>Jan/41</c:v>
                </c:pt>
                <c:pt idx="172">
                  <c:v>Feb/41</c:v>
                </c:pt>
                <c:pt idx="173">
                  <c:v>Mar/41</c:v>
                </c:pt>
                <c:pt idx="174">
                  <c:v>Apr/41</c:v>
                </c:pt>
                <c:pt idx="175">
                  <c:v>May/41</c:v>
                </c:pt>
                <c:pt idx="176">
                  <c:v>Jun/41</c:v>
                </c:pt>
                <c:pt idx="177">
                  <c:v>Jul/41</c:v>
                </c:pt>
                <c:pt idx="178">
                  <c:v>Aug/41</c:v>
                </c:pt>
                <c:pt idx="179">
                  <c:v>Sep/41</c:v>
                </c:pt>
                <c:pt idx="180">
                  <c:v>Oct/41</c:v>
                </c:pt>
                <c:pt idx="181">
                  <c:v>Nov/41</c:v>
                </c:pt>
                <c:pt idx="182">
                  <c:v>Dec/41</c:v>
                </c:pt>
                <c:pt idx="183">
                  <c:v>Jan/42</c:v>
                </c:pt>
                <c:pt idx="184">
                  <c:v>Feb/42</c:v>
                </c:pt>
                <c:pt idx="185">
                  <c:v>Mar/42</c:v>
                </c:pt>
                <c:pt idx="186">
                  <c:v>Apr/42</c:v>
                </c:pt>
                <c:pt idx="187">
                  <c:v>May/42</c:v>
                </c:pt>
                <c:pt idx="188">
                  <c:v>Jun/42</c:v>
                </c:pt>
                <c:pt idx="189">
                  <c:v>Jul/42</c:v>
                </c:pt>
                <c:pt idx="190">
                  <c:v>Aug/42</c:v>
                </c:pt>
                <c:pt idx="191">
                  <c:v>Sep/42</c:v>
                </c:pt>
                <c:pt idx="192">
                  <c:v>Oct/42</c:v>
                </c:pt>
                <c:pt idx="193">
                  <c:v>Nov/42</c:v>
                </c:pt>
                <c:pt idx="194">
                  <c:v>Dec/42</c:v>
                </c:pt>
                <c:pt idx="195">
                  <c:v>Jan/43</c:v>
                </c:pt>
                <c:pt idx="196">
                  <c:v>Feb/43</c:v>
                </c:pt>
                <c:pt idx="197">
                  <c:v>Mar/43</c:v>
                </c:pt>
                <c:pt idx="198">
                  <c:v>Apr/43</c:v>
                </c:pt>
                <c:pt idx="199">
                  <c:v>May/43</c:v>
                </c:pt>
                <c:pt idx="200">
                  <c:v>Jun/43</c:v>
                </c:pt>
                <c:pt idx="201">
                  <c:v>Jul/43</c:v>
                </c:pt>
                <c:pt idx="202">
                  <c:v>Aug/43</c:v>
                </c:pt>
                <c:pt idx="203">
                  <c:v>Sep/43</c:v>
                </c:pt>
                <c:pt idx="204">
                  <c:v>Oct/43</c:v>
                </c:pt>
                <c:pt idx="205">
                  <c:v>Nov/43</c:v>
                </c:pt>
                <c:pt idx="206">
                  <c:v>Dec/43</c:v>
                </c:pt>
                <c:pt idx="207">
                  <c:v>Jan/44</c:v>
                </c:pt>
                <c:pt idx="208">
                  <c:v>Feb/44</c:v>
                </c:pt>
                <c:pt idx="209">
                  <c:v>Mar/44</c:v>
                </c:pt>
                <c:pt idx="210">
                  <c:v>Apr/44</c:v>
                </c:pt>
                <c:pt idx="211">
                  <c:v>May/44</c:v>
                </c:pt>
                <c:pt idx="212">
                  <c:v>Jun/44</c:v>
                </c:pt>
                <c:pt idx="213">
                  <c:v>Jul/44</c:v>
                </c:pt>
                <c:pt idx="214">
                  <c:v>Aug/44</c:v>
                </c:pt>
                <c:pt idx="215">
                  <c:v>Sep/44</c:v>
                </c:pt>
                <c:pt idx="216">
                  <c:v>Oct/44</c:v>
                </c:pt>
                <c:pt idx="217">
                  <c:v>Nov/44</c:v>
                </c:pt>
                <c:pt idx="218">
                  <c:v>Dec/44</c:v>
                </c:pt>
                <c:pt idx="219">
                  <c:v>Jan/45</c:v>
                </c:pt>
                <c:pt idx="220">
                  <c:v>Feb/45</c:v>
                </c:pt>
                <c:pt idx="221">
                  <c:v>Mar/45</c:v>
                </c:pt>
                <c:pt idx="222">
                  <c:v>Apr/45</c:v>
                </c:pt>
                <c:pt idx="223">
                  <c:v>May/45</c:v>
                </c:pt>
                <c:pt idx="224">
                  <c:v>Jun/45</c:v>
                </c:pt>
                <c:pt idx="225">
                  <c:v>Jul/45</c:v>
                </c:pt>
                <c:pt idx="226">
                  <c:v>Aug/45</c:v>
                </c:pt>
                <c:pt idx="227">
                  <c:v>Sep/45</c:v>
                </c:pt>
                <c:pt idx="228">
                  <c:v>Oct/45</c:v>
                </c:pt>
                <c:pt idx="229">
                  <c:v>Nov/45</c:v>
                </c:pt>
                <c:pt idx="230">
                  <c:v>Dec/45</c:v>
                </c:pt>
                <c:pt idx="231">
                  <c:v>Jan/46</c:v>
                </c:pt>
                <c:pt idx="232">
                  <c:v>Feb/46</c:v>
                </c:pt>
                <c:pt idx="233">
                  <c:v>Mar/46</c:v>
                </c:pt>
                <c:pt idx="234">
                  <c:v>Apr/46</c:v>
                </c:pt>
                <c:pt idx="235">
                  <c:v>May/46</c:v>
                </c:pt>
                <c:pt idx="236">
                  <c:v>Jun/46</c:v>
                </c:pt>
                <c:pt idx="237">
                  <c:v>Jul/46</c:v>
                </c:pt>
                <c:pt idx="238">
                  <c:v>Aug/46</c:v>
                </c:pt>
                <c:pt idx="239">
                  <c:v>Sep/46</c:v>
                </c:pt>
                <c:pt idx="240">
                  <c:v>Oct/46</c:v>
                </c:pt>
                <c:pt idx="241">
                  <c:v>Nov/46</c:v>
                </c:pt>
                <c:pt idx="242">
                  <c:v>Dec/46</c:v>
                </c:pt>
                <c:pt idx="243">
                  <c:v>Jan/47</c:v>
                </c:pt>
                <c:pt idx="244">
                  <c:v>Feb/47</c:v>
                </c:pt>
                <c:pt idx="245">
                  <c:v>Mar/47</c:v>
                </c:pt>
                <c:pt idx="246">
                  <c:v>Apr/47</c:v>
                </c:pt>
                <c:pt idx="247">
                  <c:v>May/47</c:v>
                </c:pt>
                <c:pt idx="248">
                  <c:v>Jun/47</c:v>
                </c:pt>
                <c:pt idx="249">
                  <c:v>Jul/47</c:v>
                </c:pt>
                <c:pt idx="250">
                  <c:v>Aug/47</c:v>
                </c:pt>
                <c:pt idx="251">
                  <c:v>Sep/47</c:v>
                </c:pt>
                <c:pt idx="252">
                  <c:v>Oct/47</c:v>
                </c:pt>
                <c:pt idx="253">
                  <c:v>Nov/47</c:v>
                </c:pt>
                <c:pt idx="254">
                  <c:v>Dec/47</c:v>
                </c:pt>
                <c:pt idx="255">
                  <c:v>Jan/48</c:v>
                </c:pt>
                <c:pt idx="256">
                  <c:v>Feb/48</c:v>
                </c:pt>
                <c:pt idx="257">
                  <c:v>Mar/48</c:v>
                </c:pt>
                <c:pt idx="258">
                  <c:v>Apr/48</c:v>
                </c:pt>
                <c:pt idx="259">
                  <c:v>May/48</c:v>
                </c:pt>
                <c:pt idx="260">
                  <c:v>Jun/48</c:v>
                </c:pt>
                <c:pt idx="261">
                  <c:v>Jul/48</c:v>
                </c:pt>
                <c:pt idx="262">
                  <c:v>Aug/48</c:v>
                </c:pt>
                <c:pt idx="263">
                  <c:v>Sep/48</c:v>
                </c:pt>
                <c:pt idx="264">
                  <c:v>Oct/48</c:v>
                </c:pt>
                <c:pt idx="265">
                  <c:v>Nov/48</c:v>
                </c:pt>
                <c:pt idx="266">
                  <c:v>Dec/48</c:v>
                </c:pt>
                <c:pt idx="267">
                  <c:v>Jan/49</c:v>
                </c:pt>
                <c:pt idx="268">
                  <c:v>Feb/49</c:v>
                </c:pt>
                <c:pt idx="269">
                  <c:v>Mar/49</c:v>
                </c:pt>
                <c:pt idx="270">
                  <c:v>Apr/49</c:v>
                </c:pt>
                <c:pt idx="271">
                  <c:v>May/49</c:v>
                </c:pt>
                <c:pt idx="272">
                  <c:v>Jun/49</c:v>
                </c:pt>
                <c:pt idx="273">
                  <c:v>Jul/49</c:v>
                </c:pt>
                <c:pt idx="274">
                  <c:v>Aug/49</c:v>
                </c:pt>
                <c:pt idx="275">
                  <c:v>Sep/49</c:v>
                </c:pt>
                <c:pt idx="276">
                  <c:v>Oct/49</c:v>
                </c:pt>
                <c:pt idx="277">
                  <c:v>Nov/49</c:v>
                </c:pt>
                <c:pt idx="278">
                  <c:v>Dec/49</c:v>
                </c:pt>
                <c:pt idx="279">
                  <c:v>Jan/50</c:v>
                </c:pt>
                <c:pt idx="280">
                  <c:v>Feb/50</c:v>
                </c:pt>
                <c:pt idx="281">
                  <c:v>Mar/50</c:v>
                </c:pt>
                <c:pt idx="282">
                  <c:v>Apr/50</c:v>
                </c:pt>
                <c:pt idx="283">
                  <c:v>May/50</c:v>
                </c:pt>
                <c:pt idx="284">
                  <c:v>Jun/50</c:v>
                </c:pt>
                <c:pt idx="285">
                  <c:v>Jul/50</c:v>
                </c:pt>
                <c:pt idx="286">
                  <c:v>Aug/50</c:v>
                </c:pt>
                <c:pt idx="287">
                  <c:v>Sep/50</c:v>
                </c:pt>
                <c:pt idx="288">
                  <c:v>Oct/50</c:v>
                </c:pt>
                <c:pt idx="289">
                  <c:v>Nov/50</c:v>
                </c:pt>
                <c:pt idx="290">
                  <c:v>Dec/50</c:v>
                </c:pt>
                <c:pt idx="291">
                  <c:v>Jan/51</c:v>
                </c:pt>
                <c:pt idx="292">
                  <c:v>Feb/51</c:v>
                </c:pt>
                <c:pt idx="293">
                  <c:v>Mar/51</c:v>
                </c:pt>
                <c:pt idx="294">
                  <c:v>Apr/51</c:v>
                </c:pt>
                <c:pt idx="295">
                  <c:v>May/51</c:v>
                </c:pt>
                <c:pt idx="296">
                  <c:v>Jun/51</c:v>
                </c:pt>
                <c:pt idx="297">
                  <c:v>Jul/51</c:v>
                </c:pt>
                <c:pt idx="298">
                  <c:v>Aug/51</c:v>
                </c:pt>
                <c:pt idx="299">
                  <c:v>Sep/51</c:v>
                </c:pt>
                <c:pt idx="300">
                  <c:v>Oct/51</c:v>
                </c:pt>
                <c:pt idx="301">
                  <c:v>Nov/51</c:v>
                </c:pt>
                <c:pt idx="302">
                  <c:v>Dec/51</c:v>
                </c:pt>
                <c:pt idx="303">
                  <c:v>Jan/52</c:v>
                </c:pt>
                <c:pt idx="304">
                  <c:v>Feb/52</c:v>
                </c:pt>
                <c:pt idx="305">
                  <c:v>Mar/52</c:v>
                </c:pt>
                <c:pt idx="306">
                  <c:v>Apr/52</c:v>
                </c:pt>
                <c:pt idx="307">
                  <c:v>May/52</c:v>
                </c:pt>
                <c:pt idx="308">
                  <c:v>Jun/52</c:v>
                </c:pt>
                <c:pt idx="309">
                  <c:v>Jul/52</c:v>
                </c:pt>
                <c:pt idx="310">
                  <c:v>Aug/52</c:v>
                </c:pt>
                <c:pt idx="311">
                  <c:v>Sep/52</c:v>
                </c:pt>
                <c:pt idx="312">
                  <c:v>Oct/52</c:v>
                </c:pt>
                <c:pt idx="313">
                  <c:v>Nov/52</c:v>
                </c:pt>
                <c:pt idx="314">
                  <c:v>Dec/52</c:v>
                </c:pt>
                <c:pt idx="315">
                  <c:v>Jan/53</c:v>
                </c:pt>
                <c:pt idx="316">
                  <c:v>Feb/53</c:v>
                </c:pt>
                <c:pt idx="317">
                  <c:v>Mar/53</c:v>
                </c:pt>
                <c:pt idx="318">
                  <c:v>Apr/53</c:v>
                </c:pt>
                <c:pt idx="319">
                  <c:v>May/53</c:v>
                </c:pt>
                <c:pt idx="320">
                  <c:v>Jun/53</c:v>
                </c:pt>
                <c:pt idx="321">
                  <c:v>Jul/53</c:v>
                </c:pt>
                <c:pt idx="322">
                  <c:v>Aug/53</c:v>
                </c:pt>
                <c:pt idx="323">
                  <c:v>Sep/53</c:v>
                </c:pt>
                <c:pt idx="324">
                  <c:v>Oct/53</c:v>
                </c:pt>
                <c:pt idx="325">
                  <c:v>Nov/53</c:v>
                </c:pt>
                <c:pt idx="326">
                  <c:v>Dec/53</c:v>
                </c:pt>
                <c:pt idx="327">
                  <c:v>Jan/54</c:v>
                </c:pt>
                <c:pt idx="328">
                  <c:v>Feb/54</c:v>
                </c:pt>
                <c:pt idx="329">
                  <c:v>Mar/54</c:v>
                </c:pt>
                <c:pt idx="330">
                  <c:v>Apr/54</c:v>
                </c:pt>
                <c:pt idx="331">
                  <c:v>May/54</c:v>
                </c:pt>
                <c:pt idx="332">
                  <c:v>Jun/54</c:v>
                </c:pt>
                <c:pt idx="333">
                  <c:v>Jul/54</c:v>
                </c:pt>
                <c:pt idx="334">
                  <c:v>Aug/54</c:v>
                </c:pt>
                <c:pt idx="335">
                  <c:v>Sep/54</c:v>
                </c:pt>
                <c:pt idx="336">
                  <c:v>Oct/54</c:v>
                </c:pt>
                <c:pt idx="337">
                  <c:v>Nov/54</c:v>
                </c:pt>
                <c:pt idx="338">
                  <c:v>Dec/54</c:v>
                </c:pt>
                <c:pt idx="339">
                  <c:v>Jan/55</c:v>
                </c:pt>
                <c:pt idx="340">
                  <c:v>Feb/55</c:v>
                </c:pt>
                <c:pt idx="341">
                  <c:v>Mar/55</c:v>
                </c:pt>
                <c:pt idx="342">
                  <c:v>Apr/55</c:v>
                </c:pt>
                <c:pt idx="343">
                  <c:v>May/55</c:v>
                </c:pt>
                <c:pt idx="344">
                  <c:v>Jun/55</c:v>
                </c:pt>
                <c:pt idx="345">
                  <c:v>Jul/55</c:v>
                </c:pt>
                <c:pt idx="346">
                  <c:v>Aug/55</c:v>
                </c:pt>
                <c:pt idx="347">
                  <c:v>Sep/55</c:v>
                </c:pt>
                <c:pt idx="348">
                  <c:v>Oct/55</c:v>
                </c:pt>
                <c:pt idx="349">
                  <c:v>Nov/55</c:v>
                </c:pt>
                <c:pt idx="350">
                  <c:v>Dec/55</c:v>
                </c:pt>
              </c:strCache>
            </c:strRef>
          </c:cat>
          <c:val>
            <c:numRef>
              <c:f>'Fluxo mensal'!$AO$5:$AO$355</c:f>
              <c:numCache>
                <c:formatCode>"R$ "#,##0;"(R$ "#,##0\);\-</c:formatCode>
                <c:ptCount val="351"/>
                <c:pt idx="0">
                  <c:v>0</c:v>
                </c:pt>
                <c:pt idx="1">
                  <c:v>2353.41285161462</c:v>
                </c:pt>
                <c:pt idx="2">
                  <c:v>4728.97991142981</c:v>
                </c:pt>
                <c:pt idx="3">
                  <c:v>6881.48119514549</c:v>
                </c:pt>
                <c:pt idx="4">
                  <c:v>9052.17146457458</c:v>
                </c:pt>
                <c:pt idx="5">
                  <c:v>11241.2044196028</c:v>
                </c:pt>
                <c:pt idx="6">
                  <c:v>13448.7350589048</c:v>
                </c:pt>
                <c:pt idx="7">
                  <c:v>15674.9196909193</c:v>
                </c:pt>
                <c:pt idx="8">
                  <c:v>17919.9159449168</c:v>
                </c:pt>
                <c:pt idx="9">
                  <c:v>20183.8827821607</c:v>
                </c:pt>
                <c:pt idx="10">
                  <c:v>22466.9805071628</c:v>
                </c:pt>
                <c:pt idx="11">
                  <c:v>24769.3707790342</c:v>
                </c:pt>
                <c:pt idx="12">
                  <c:v>27091.2166229318</c:v>
                </c:pt>
                <c:pt idx="13">
                  <c:v>29432.6824416015</c:v>
                </c:pt>
                <c:pt idx="14">
                  <c:v>31793.9340270191</c:v>
                </c:pt>
                <c:pt idx="15">
                  <c:v>33900.7495082066</c:v>
                </c:pt>
                <c:pt idx="16">
                  <c:v>36023.3164692374</c:v>
                </c:pt>
                <c:pt idx="17">
                  <c:v>38161.7526751076</c:v>
                </c:pt>
                <c:pt idx="18">
                  <c:v>40316.1767712766</c:v>
                </c:pt>
                <c:pt idx="19">
                  <c:v>42486.7082902491</c:v>
                </c:pt>
                <c:pt idx="20">
                  <c:v>44673.4676582076</c:v>
                </c:pt>
                <c:pt idx="21">
                  <c:v>46876.5762016938</c:v>
                </c:pt>
                <c:pt idx="22">
                  <c:v>49096.15615434</c:v>
                </c:pt>
                <c:pt idx="23">
                  <c:v>51332.3306636509</c:v>
                </c:pt>
                <c:pt idx="24">
                  <c:v>53585.2237978361</c:v>
                </c:pt>
                <c:pt idx="25">
                  <c:v>55854.9605526937</c:v>
                </c:pt>
                <c:pt idx="26">
                  <c:v>58141.6668585456</c:v>
                </c:pt>
                <c:pt idx="27">
                  <c:v>60243.6531947978</c:v>
                </c:pt>
                <c:pt idx="28">
                  <c:v>62359.978216898</c:v>
                </c:pt>
                <c:pt idx="29">
                  <c:v>64490.7397360967</c:v>
                </c:pt>
                <c:pt idx="30">
                  <c:v>66636.0362308631</c:v>
                </c:pt>
                <c:pt idx="31">
                  <c:v>68795.9668514365</c:v>
                </c:pt>
                <c:pt idx="32">
                  <c:v>70970.6314244091</c:v>
                </c:pt>
                <c:pt idx="33">
                  <c:v>73160.1304573395</c:v>
                </c:pt>
                <c:pt idx="34">
                  <c:v>75364.5651433977</c:v>
                </c:pt>
                <c:pt idx="35">
                  <c:v>77584.0373660426</c:v>
                </c:pt>
                <c:pt idx="36">
                  <c:v>79818.6497037302</c:v>
                </c:pt>
                <c:pt idx="37">
                  <c:v>82068.5054346548</c:v>
                </c:pt>
                <c:pt idx="38">
                  <c:v>84333.7085415223</c:v>
                </c:pt>
                <c:pt idx="39">
                  <c:v>86614.3637163559</c:v>
                </c:pt>
                <c:pt idx="40">
                  <c:v>88910.5763653346</c:v>
                </c:pt>
                <c:pt idx="41">
                  <c:v>91222.4526136652</c:v>
                </c:pt>
                <c:pt idx="42">
                  <c:v>93550.0993104867</c:v>
                </c:pt>
                <c:pt idx="43">
                  <c:v>95893.6240338089</c:v>
                </c:pt>
                <c:pt idx="44">
                  <c:v>98253.1350954842</c:v>
                </c:pt>
                <c:pt idx="45">
                  <c:v>100831.063769461</c:v>
                </c:pt>
                <c:pt idx="46">
                  <c:v>103516.587824455</c:v>
                </c:pt>
                <c:pt idx="47">
                  <c:v>106310.456743721</c:v>
                </c:pt>
                <c:pt idx="48">
                  <c:v>109119.967239785</c:v>
                </c:pt>
                <c:pt idx="49">
                  <c:v>111945.214825906</c:v>
                </c:pt>
                <c:pt idx="50">
                  <c:v>114786.295630265</c:v>
                </c:pt>
                <c:pt idx="51">
                  <c:v>117636.374015699</c:v>
                </c:pt>
                <c:pt idx="52">
                  <c:v>120495.477368453</c:v>
                </c:pt>
                <c:pt idx="53">
                  <c:v>123363.633150314</c:v>
                </c:pt>
                <c:pt idx="54">
                  <c:v>126240.868898757</c:v>
                </c:pt>
                <c:pt idx="55">
                  <c:v>129127.212227095</c:v>
                </c:pt>
                <c:pt idx="56">
                  <c:v>132022.690824635</c:v>
                </c:pt>
                <c:pt idx="57">
                  <c:v>134927.332456824</c:v>
                </c:pt>
                <c:pt idx="58">
                  <c:v>137841.164965402</c:v>
                </c:pt>
                <c:pt idx="59">
                  <c:v>140764.216268548</c:v>
                </c:pt>
                <c:pt idx="60">
                  <c:v>143696.514361036</c:v>
                </c:pt>
                <c:pt idx="61">
                  <c:v>146638.087314379</c:v>
                </c:pt>
                <c:pt idx="62">
                  <c:v>149588.963276983</c:v>
                </c:pt>
                <c:pt idx="63">
                  <c:v>152549.170474294</c:v>
                </c:pt>
                <c:pt idx="64">
                  <c:v>155518.737208946</c:v>
                </c:pt>
                <c:pt idx="65">
                  <c:v>158497.691860914</c:v>
                </c:pt>
                <c:pt idx="66">
                  <c:v>161486.062887658</c:v>
                </c:pt>
                <c:pt idx="67">
                  <c:v>164483.878824274</c:v>
                </c:pt>
                <c:pt idx="68">
                  <c:v>167491.168283644</c:v>
                </c:pt>
                <c:pt idx="69">
                  <c:v>170507.959956579</c:v>
                </c:pt>
                <c:pt idx="70">
                  <c:v>173534.282611972</c:v>
                </c:pt>
                <c:pt idx="71">
                  <c:v>176570.165096941</c:v>
                </c:pt>
                <c:pt idx="72">
                  <c:v>179615.636336982</c:v>
                </c:pt>
                <c:pt idx="73">
                  <c:v>182670.725336107</c:v>
                </c:pt>
                <c:pt idx="74">
                  <c:v>185735.461177002</c:v>
                </c:pt>
                <c:pt idx="75">
                  <c:v>188809.873021164</c:v>
                </c:pt>
                <c:pt idx="76">
                  <c:v>191893.990109052</c:v>
                </c:pt>
                <c:pt idx="77">
                  <c:v>194987.841760231</c:v>
                </c:pt>
                <c:pt idx="78">
                  <c:v>198091.457373519</c:v>
                </c:pt>
                <c:pt idx="79">
                  <c:v>201204.866427132</c:v>
                </c:pt>
                <c:pt idx="80">
                  <c:v>204328.098478829</c:v>
                </c:pt>
                <c:pt idx="81">
                  <c:v>207461.183166054</c:v>
                </c:pt>
                <c:pt idx="82">
                  <c:v>210604.150206085</c:v>
                </c:pt>
                <c:pt idx="83">
                  <c:v>213757.029396175</c:v>
                </c:pt>
                <c:pt idx="84">
                  <c:v>216919.850613697</c:v>
                </c:pt>
                <c:pt idx="85">
                  <c:v>220092.643816287</c:v>
                </c:pt>
                <c:pt idx="86">
                  <c:v>223275.439041986</c:v>
                </c:pt>
                <c:pt idx="87">
                  <c:v>226468.266409384</c:v>
                </c:pt>
                <c:pt idx="88">
                  <c:v>229671.156117764</c:v>
                </c:pt>
                <c:pt idx="89">
                  <c:v>232884.138447239</c:v>
                </c:pt>
                <c:pt idx="90">
                  <c:v>236107.243758899</c:v>
                </c:pt>
                <c:pt idx="91">
                  <c:v>239340.502494949</c:v>
                </c:pt>
                <c:pt idx="92">
                  <c:v>242583.945178851</c:v>
                </c:pt>
                <c:pt idx="93">
                  <c:v>245837.602415464</c:v>
                </c:pt>
                <c:pt idx="94">
                  <c:v>249101.504891185</c:v>
                </c:pt>
                <c:pt idx="95">
                  <c:v>252375.683374087</c:v>
                </c:pt>
                <c:pt idx="96">
                  <c:v>255660.16871406</c:v>
                </c:pt>
                <c:pt idx="97">
                  <c:v>258954.991842949</c:v>
                </c:pt>
                <c:pt idx="98">
                  <c:v>262260.183774694</c:v>
                </c:pt>
                <c:pt idx="99">
                  <c:v>265575.775605464</c:v>
                </c:pt>
                <c:pt idx="100">
                  <c:v>268901.798513798</c:v>
                </c:pt>
                <c:pt idx="101">
                  <c:v>272238.283760743</c:v>
                </c:pt>
                <c:pt idx="102">
                  <c:v>275585.262689986</c:v>
                </c:pt>
                <c:pt idx="103">
                  <c:v>278942.766727995</c:v>
                </c:pt>
                <c:pt idx="104">
                  <c:v>282310.827384152</c:v>
                </c:pt>
                <c:pt idx="105">
                  <c:v>285689.47625089</c:v>
                </c:pt>
                <c:pt idx="106">
                  <c:v>289078.745003826</c:v>
                </c:pt>
                <c:pt idx="107">
                  <c:v>292478.665401895</c:v>
                </c:pt>
                <c:pt idx="108">
                  <c:v>295889.269287486</c:v>
                </c:pt>
                <c:pt idx="109">
                  <c:v>299310.588586574</c:v>
                </c:pt>
                <c:pt idx="110">
                  <c:v>302742.655308852</c:v>
                </c:pt>
                <c:pt idx="111">
                  <c:v>306185.501547866</c:v>
                </c:pt>
                <c:pt idx="112">
                  <c:v>309639.15948114</c:v>
                </c:pt>
                <c:pt idx="113">
                  <c:v>313103.661370318</c:v>
                </c:pt>
                <c:pt idx="114">
                  <c:v>316579.039561282</c:v>
                </c:pt>
                <c:pt idx="115">
                  <c:v>320065.326484292</c:v>
                </c:pt>
                <c:pt idx="116">
                  <c:v>323562.554654112</c:v>
                </c:pt>
                <c:pt idx="117">
                  <c:v>327070.756670136</c:v>
                </c:pt>
                <c:pt idx="118">
                  <c:v>330589.965216521</c:v>
                </c:pt>
                <c:pt idx="119">
                  <c:v>334120.213062311</c:v>
                </c:pt>
                <c:pt idx="120">
                  <c:v>337661.533061566</c:v>
                </c:pt>
                <c:pt idx="121">
                  <c:v>341213.958153489</c:v>
                </c:pt>
                <c:pt idx="122">
                  <c:v>344777.521362551</c:v>
                </c:pt>
                <c:pt idx="123">
                  <c:v>348352.255798613</c:v>
                </c:pt>
                <c:pt idx="124">
                  <c:v>351938.194657058</c:v>
                </c:pt>
                <c:pt idx="125">
                  <c:v>355535.371218907</c:v>
                </c:pt>
                <c:pt idx="126">
                  <c:v>359143.818850948</c:v>
                </c:pt>
                <c:pt idx="127">
                  <c:v>362763.571005856</c:v>
                </c:pt>
                <c:pt idx="128">
                  <c:v>366394.661222315</c:v>
                </c:pt>
                <c:pt idx="129">
                  <c:v>370037.123125139</c:v>
                </c:pt>
                <c:pt idx="130">
                  <c:v>373690.990425393</c:v>
                </c:pt>
                <c:pt idx="131">
                  <c:v>377356.296920516</c:v>
                </c:pt>
                <c:pt idx="132">
                  <c:v>381033.076494433</c:v>
                </c:pt>
                <c:pt idx="133">
                  <c:v>384721.363117678</c:v>
                </c:pt>
                <c:pt idx="134">
                  <c:v>388421.190847515</c:v>
                </c:pt>
                <c:pt idx="135">
                  <c:v>392132.593828045</c:v>
                </c:pt>
                <c:pt idx="136">
                  <c:v>395855.606290332</c:v>
                </c:pt>
                <c:pt idx="137">
                  <c:v>399590.262552515</c:v>
                </c:pt>
                <c:pt idx="138">
                  <c:v>403336.597019918</c:v>
                </c:pt>
                <c:pt idx="139">
                  <c:v>407094.644185173</c:v>
                </c:pt>
                <c:pt idx="140">
                  <c:v>410864.438628323</c:v>
                </c:pt>
                <c:pt idx="141">
                  <c:v>414646.015016942</c:v>
                </c:pt>
                <c:pt idx="142">
                  <c:v>418439.408106243</c:v>
                </c:pt>
                <c:pt idx="143">
                  <c:v>422244.652739189</c:v>
                </c:pt>
                <c:pt idx="144">
                  <c:v>426061.783846602</c:v>
                </c:pt>
                <c:pt idx="145">
                  <c:v>429890.836447274</c:v>
                </c:pt>
                <c:pt idx="146">
                  <c:v>433731.845648071</c:v>
                </c:pt>
                <c:pt idx="147">
                  <c:v>437584.846644045</c:v>
                </c:pt>
                <c:pt idx="148">
                  <c:v>441449.874718537</c:v>
                </c:pt>
                <c:pt idx="149">
                  <c:v>445326.965243283</c:v>
                </c:pt>
                <c:pt idx="150">
                  <c:v>449216.15367852</c:v>
                </c:pt>
                <c:pt idx="151">
                  <c:v>453117.475573088</c:v>
                </c:pt>
                <c:pt idx="152">
                  <c:v>457030.96656453</c:v>
                </c:pt>
                <c:pt idx="153">
                  <c:v>460956.662379199</c:v>
                </c:pt>
                <c:pt idx="154">
                  <c:v>464894.598832357</c:v>
                </c:pt>
                <c:pt idx="155">
                  <c:v>468844.811828271</c:v>
                </c:pt>
                <c:pt idx="156">
                  <c:v>472807.337360316</c:v>
                </c:pt>
                <c:pt idx="157">
                  <c:v>476782.211511072</c:v>
                </c:pt>
                <c:pt idx="158">
                  <c:v>480769.470452418</c:v>
                </c:pt>
                <c:pt idx="159">
                  <c:v>484769.150445633</c:v>
                </c:pt>
                <c:pt idx="160">
                  <c:v>488781.287841483</c:v>
                </c:pt>
                <c:pt idx="161">
                  <c:v>492805.919080323</c:v>
                </c:pt>
                <c:pt idx="162">
                  <c:v>496843.080692184</c:v>
                </c:pt>
                <c:pt idx="163">
                  <c:v>500892.809296866</c:v>
                </c:pt>
                <c:pt idx="164">
                  <c:v>504955.14160403</c:v>
                </c:pt>
                <c:pt idx="165">
                  <c:v>509030.114413285</c:v>
                </c:pt>
                <c:pt idx="166">
                  <c:v>513117.764614277</c:v>
                </c:pt>
                <c:pt idx="167">
                  <c:v>517218.129186778</c:v>
                </c:pt>
                <c:pt idx="168">
                  <c:v>521331.24520077</c:v>
                </c:pt>
                <c:pt idx="169">
                  <c:v>525457.149816528</c:v>
                </c:pt>
                <c:pt idx="170">
                  <c:v>529595.88028471</c:v>
                </c:pt>
                <c:pt idx="171">
                  <c:v>533747.473946433</c:v>
                </c:pt>
                <c:pt idx="172">
                  <c:v>537911.968233359</c:v>
                </c:pt>
                <c:pt idx="173">
                  <c:v>542089.400667769</c:v>
                </c:pt>
                <c:pt idx="174">
                  <c:v>546279.808862652</c:v>
                </c:pt>
                <c:pt idx="175">
                  <c:v>550483.230521772</c:v>
                </c:pt>
                <c:pt idx="176">
                  <c:v>554699.703439753</c:v>
                </c:pt>
                <c:pt idx="177">
                  <c:v>558929.265502146</c:v>
                </c:pt>
                <c:pt idx="178">
                  <c:v>563171.954685511</c:v>
                </c:pt>
                <c:pt idx="179">
                  <c:v>567427.809057487</c:v>
                </c:pt>
                <c:pt idx="180">
                  <c:v>571696.866776858</c:v>
                </c:pt>
                <c:pt idx="181">
                  <c:v>575979.166093633</c:v>
                </c:pt>
                <c:pt idx="182">
                  <c:v>580274.745349104</c:v>
                </c:pt>
                <c:pt idx="183">
                  <c:v>584583.642975923</c:v>
                </c:pt>
                <c:pt idx="184">
                  <c:v>588905.897498161</c:v>
                </c:pt>
                <c:pt idx="185">
                  <c:v>593241.547531378</c:v>
                </c:pt>
                <c:pt idx="186">
                  <c:v>597590.631782679</c:v>
                </c:pt>
                <c:pt idx="187">
                  <c:v>601953.189050787</c:v>
                </c:pt>
                <c:pt idx="188">
                  <c:v>606329.258226091</c:v>
                </c:pt>
                <c:pt idx="189">
                  <c:v>610718.878290713</c:v>
                </c:pt>
                <c:pt idx="190">
                  <c:v>615122.088318565</c:v>
                </c:pt>
                <c:pt idx="191">
                  <c:v>619538.927475403</c:v>
                </c:pt>
                <c:pt idx="192">
                  <c:v>623969.43501888</c:v>
                </c:pt>
                <c:pt idx="193">
                  <c:v>628413.650298603</c:v>
                </c:pt>
                <c:pt idx="194">
                  <c:v>632871.612756183</c:v>
                </c:pt>
                <c:pt idx="195">
                  <c:v>637343.361925285</c:v>
                </c:pt>
                <c:pt idx="196">
                  <c:v>641828.937431675</c:v>
                </c:pt>
                <c:pt idx="197">
                  <c:v>646328.37899327</c:v>
                </c:pt>
                <c:pt idx="198">
                  <c:v>650841.726420181</c:v>
                </c:pt>
                <c:pt idx="199">
                  <c:v>655369.019614757</c:v>
                </c:pt>
                <c:pt idx="200">
                  <c:v>659910.298571629</c:v>
                </c:pt>
                <c:pt idx="201">
                  <c:v>664465.603377748</c:v>
                </c:pt>
                <c:pt idx="202">
                  <c:v>669034.974212424</c:v>
                </c:pt>
                <c:pt idx="203">
                  <c:v>673618.451347366</c:v>
                </c:pt>
                <c:pt idx="204">
                  <c:v>678216.075146716</c:v>
                </c:pt>
                <c:pt idx="205">
                  <c:v>682827.88606708</c:v>
                </c:pt>
                <c:pt idx="206">
                  <c:v>687453.924657564</c:v>
                </c:pt>
                <c:pt idx="207">
                  <c:v>692094.231559802</c:v>
                </c:pt>
                <c:pt idx="208">
                  <c:v>696748.847507988</c:v>
                </c:pt>
                <c:pt idx="209">
                  <c:v>701417.813328896</c:v>
                </c:pt>
                <c:pt idx="210">
                  <c:v>706101.169941913</c:v>
                </c:pt>
                <c:pt idx="211">
                  <c:v>710798.958359056</c:v>
                </c:pt>
                <c:pt idx="212">
                  <c:v>715511.219684996</c:v>
                </c:pt>
                <c:pt idx="213">
                  <c:v>720237.995117077</c:v>
                </c:pt>
                <c:pt idx="214">
                  <c:v>724979.325945336</c:v>
                </c:pt>
                <c:pt idx="215">
                  <c:v>729735.253552513</c:v>
                </c:pt>
                <c:pt idx="216">
                  <c:v>734505.819414072</c:v>
                </c:pt>
                <c:pt idx="217">
                  <c:v>739291.065098205</c:v>
                </c:pt>
                <c:pt idx="218">
                  <c:v>744091.03226585</c:v>
                </c:pt>
                <c:pt idx="219">
                  <c:v>748905.762670693</c:v>
                </c:pt>
                <c:pt idx="220">
                  <c:v>753735.298159176</c:v>
                </c:pt>
                <c:pt idx="221">
                  <c:v>758579.680670503</c:v>
                </c:pt>
                <c:pt idx="222">
                  <c:v>763438.952236637</c:v>
                </c:pt>
                <c:pt idx="223">
                  <c:v>768313.154982305</c:v>
                </c:pt>
                <c:pt idx="224">
                  <c:v>773202.331124993</c:v>
                </c:pt>
                <c:pt idx="225">
                  <c:v>778106.522974942</c:v>
                </c:pt>
                <c:pt idx="226">
                  <c:v>783025.772935143</c:v>
                </c:pt>
                <c:pt idx="227">
                  <c:v>787960.123501326</c:v>
                </c:pt>
                <c:pt idx="228">
                  <c:v>792909.617261952</c:v>
                </c:pt>
                <c:pt idx="229">
                  <c:v>797874.296898197</c:v>
                </c:pt>
                <c:pt idx="230">
                  <c:v>802854.20518394</c:v>
                </c:pt>
                <c:pt idx="231">
                  <c:v>807849.384985745</c:v>
                </c:pt>
                <c:pt idx="232">
                  <c:v>812859.879262839</c:v>
                </c:pt>
                <c:pt idx="233">
                  <c:v>817885.731067095</c:v>
                </c:pt>
                <c:pt idx="234">
                  <c:v>822926.983543002</c:v>
                </c:pt>
                <c:pt idx="235">
                  <c:v>827983.679927644</c:v>
                </c:pt>
                <c:pt idx="236">
                  <c:v>833055.863550665</c:v>
                </c:pt>
                <c:pt idx="237">
                  <c:v>838143.577834247</c:v>
                </c:pt>
                <c:pt idx="238">
                  <c:v>843246.866293066</c:v>
                </c:pt>
                <c:pt idx="239">
                  <c:v>848365.772534266</c:v>
                </c:pt>
                <c:pt idx="240">
                  <c:v>853500.340257413</c:v>
                </c:pt>
                <c:pt idx="241">
                  <c:v>858650.613254457</c:v>
                </c:pt>
                <c:pt idx="242">
                  <c:v>863816.635409691</c:v>
                </c:pt>
                <c:pt idx="243">
                  <c:v>868998.450699702</c:v>
                </c:pt>
                <c:pt idx="244">
                  <c:v>874196.103193324</c:v>
                </c:pt>
                <c:pt idx="245">
                  <c:v>879409.637051586</c:v>
                </c:pt>
                <c:pt idx="246">
                  <c:v>884639.096527663</c:v>
                </c:pt>
                <c:pt idx="247">
                  <c:v>889884.525966814</c:v>
                </c:pt>
                <c:pt idx="248">
                  <c:v>895145.969806325</c:v>
                </c:pt>
                <c:pt idx="249">
                  <c:v>900423.472575453</c:v>
                </c:pt>
                <c:pt idx="250">
                  <c:v>905717.078895355</c:v>
                </c:pt>
                <c:pt idx="251">
                  <c:v>911026.833479023</c:v>
                </c:pt>
                <c:pt idx="252">
                  <c:v>916352.78113122</c:v>
                </c:pt>
                <c:pt idx="253">
                  <c:v>921694.966748401</c:v>
                </c:pt>
                <c:pt idx="254">
                  <c:v>927053.43531864</c:v>
                </c:pt>
                <c:pt idx="255">
                  <c:v>932428.231921557</c:v>
                </c:pt>
                <c:pt idx="256">
                  <c:v>937819.401728229</c:v>
                </c:pt>
                <c:pt idx="257">
                  <c:v>943226.990001115</c:v>
                </c:pt>
                <c:pt idx="258">
                  <c:v>948651.042093964</c:v>
                </c:pt>
                <c:pt idx="259">
                  <c:v>954091.60345173</c:v>
                </c:pt>
                <c:pt idx="260">
                  <c:v>959548.719610475</c:v>
                </c:pt>
                <c:pt idx="261">
                  <c:v>965022.436197278</c:v>
                </c:pt>
                <c:pt idx="262">
                  <c:v>970512.798930136</c:v>
                </c:pt>
                <c:pt idx="263">
                  <c:v>976019.853617862</c:v>
                </c:pt>
                <c:pt idx="264">
                  <c:v>981543.646159982</c:v>
                </c:pt>
                <c:pt idx="265">
                  <c:v>987084.222546626</c:v>
                </c:pt>
                <c:pt idx="266">
                  <c:v>992641.628858419</c:v>
                </c:pt>
                <c:pt idx="267">
                  <c:v>998215.911266367</c:v>
                </c:pt>
                <c:pt idx="268">
                  <c:v>1003807.11603174</c:v>
                </c:pt>
                <c:pt idx="269">
                  <c:v>1009415.28950596</c:v>
                </c:pt>
                <c:pt idx="270">
                  <c:v>1015040.47813046</c:v>
                </c:pt>
                <c:pt idx="271">
                  <c:v>1020682.72843658</c:v>
                </c:pt>
                <c:pt idx="272">
                  <c:v>1026342.08704541</c:v>
                </c:pt>
                <c:pt idx="273">
                  <c:v>1032018.60066768</c:v>
                </c:pt>
                <c:pt idx="274">
                  <c:v>1037712.31610362</c:v>
                </c:pt>
                <c:pt idx="275">
                  <c:v>1043423.28024283</c:v>
                </c:pt>
                <c:pt idx="276">
                  <c:v>1049151.5400641</c:v>
                </c:pt>
                <c:pt idx="277">
                  <c:v>1054897.14263529</c:v>
                </c:pt>
                <c:pt idx="278">
                  <c:v>1060660.13511319</c:v>
                </c:pt>
                <c:pt idx="279">
                  <c:v>1066440.56474335</c:v>
                </c:pt>
                <c:pt idx="280">
                  <c:v>1072238.47885993</c:v>
                </c:pt>
                <c:pt idx="281">
                  <c:v>1078053.92488552</c:v>
                </c:pt>
                <c:pt idx="282">
                  <c:v>1083886.95033101</c:v>
                </c:pt>
                <c:pt idx="283">
                  <c:v>1089737.6027954</c:v>
                </c:pt>
                <c:pt idx="284">
                  <c:v>1095605.92996563</c:v>
                </c:pt>
                <c:pt idx="285">
                  <c:v>1101491.97961641</c:v>
                </c:pt>
                <c:pt idx="286">
                  <c:v>1107395.79961004</c:v>
                </c:pt>
                <c:pt idx="287">
                  <c:v>1113317.43789622</c:v>
                </c:pt>
                <c:pt idx="288">
                  <c:v>1119256.94251189</c:v>
                </c:pt>
                <c:pt idx="289">
                  <c:v>1125214.36158098</c:v>
                </c:pt>
                <c:pt idx="290">
                  <c:v>1131189.74331429</c:v>
                </c:pt>
                <c:pt idx="291">
                  <c:v>1137183.13600925</c:v>
                </c:pt>
                <c:pt idx="292">
                  <c:v>1143194.58804973</c:v>
                </c:pt>
                <c:pt idx="293">
                  <c:v>1149224.1479058</c:v>
                </c:pt>
                <c:pt idx="294">
                  <c:v>1155271.86413358</c:v>
                </c:pt>
                <c:pt idx="295">
                  <c:v>1161337.78537499</c:v>
                </c:pt>
                <c:pt idx="296">
                  <c:v>1167421.96035753</c:v>
                </c:pt>
                <c:pt idx="297">
                  <c:v>1173524.43789407</c:v>
                </c:pt>
                <c:pt idx="298">
                  <c:v>1179645.26688261</c:v>
                </c:pt>
                <c:pt idx="299">
                  <c:v>1185784.49630607</c:v>
                </c:pt>
                <c:pt idx="300">
                  <c:v>1191942.17523203</c:v>
                </c:pt>
                <c:pt idx="301">
                  <c:v>1198118.35281252</c:v>
                </c:pt>
                <c:pt idx="302">
                  <c:v>1204313.07828375</c:v>
                </c:pt>
                <c:pt idx="303">
                  <c:v>1210526.40096587</c:v>
                </c:pt>
                <c:pt idx="304">
                  <c:v>1216758.37026273</c:v>
                </c:pt>
                <c:pt idx="305">
                  <c:v>1223009.03566161</c:v>
                </c:pt>
                <c:pt idx="306">
                  <c:v>1229278.44673296</c:v>
                </c:pt>
                <c:pt idx="307">
                  <c:v>1235566.65313013</c:v>
                </c:pt>
                <c:pt idx="308">
                  <c:v>1241873.70458914</c:v>
                </c:pt>
                <c:pt idx="309">
                  <c:v>1248199.65092834</c:v>
                </c:pt>
                <c:pt idx="310">
                  <c:v>1254544.54204818</c:v>
                </c:pt>
                <c:pt idx="311">
                  <c:v>1260908.4279309</c:v>
                </c:pt>
                <c:pt idx="312">
                  <c:v>1267291.35864027</c:v>
                </c:pt>
                <c:pt idx="313">
                  <c:v>1273693.38432124</c:v>
                </c:pt>
                <c:pt idx="314">
                  <c:v>1280114.55519973</c:v>
                </c:pt>
                <c:pt idx="315">
                  <c:v>1286554.92158224</c:v>
                </c:pt>
                <c:pt idx="316">
                  <c:v>1293014.5338556</c:v>
                </c:pt>
                <c:pt idx="317">
                  <c:v>1299493.44248662</c:v>
                </c:pt>
                <c:pt idx="318">
                  <c:v>1305991.6980218</c:v>
                </c:pt>
                <c:pt idx="319">
                  <c:v>1312509.351087</c:v>
                </c:pt>
                <c:pt idx="320">
                  <c:v>1319046.45238709</c:v>
                </c:pt>
                <c:pt idx="321">
                  <c:v>1325603.05270567</c:v>
                </c:pt>
                <c:pt idx="322">
                  <c:v>1332179.20290465</c:v>
                </c:pt>
                <c:pt idx="323">
                  <c:v>1338774.953924</c:v>
                </c:pt>
                <c:pt idx="324">
                  <c:v>1345390.35678134</c:v>
                </c:pt>
                <c:pt idx="325">
                  <c:v>1352025.46257159</c:v>
                </c:pt>
                <c:pt idx="326">
                  <c:v>1358680.32246664</c:v>
                </c:pt>
                <c:pt idx="327">
                  <c:v>1365354.98771498</c:v>
                </c:pt>
                <c:pt idx="328">
                  <c:v>1372049.50964128</c:v>
                </c:pt>
                <c:pt idx="329">
                  <c:v>1378763.93964611</c:v>
                </c:pt>
                <c:pt idx="330">
                  <c:v>1385498.32920546</c:v>
                </c:pt>
                <c:pt idx="331">
                  <c:v>1392252.72987043</c:v>
                </c:pt>
                <c:pt idx="332">
                  <c:v>1399027.19326679</c:v>
                </c:pt>
                <c:pt idx="333">
                  <c:v>1405821.7710946</c:v>
                </c:pt>
                <c:pt idx="334">
                  <c:v>1412636.51512782</c:v>
                </c:pt>
                <c:pt idx="335">
                  <c:v>1419471.47721388</c:v>
                </c:pt>
                <c:pt idx="336">
                  <c:v>1426326.70927328</c:v>
                </c:pt>
                <c:pt idx="337">
                  <c:v>1433202.26329914</c:v>
                </c:pt>
                <c:pt idx="338">
                  <c:v>1440098.19135685</c:v>
                </c:pt>
                <c:pt idx="339">
                  <c:v>1447014.54558353</c:v>
                </c:pt>
                <c:pt idx="340">
                  <c:v>1453951.37818767</c:v>
                </c:pt>
                <c:pt idx="341">
                  <c:v>1460908.74144869</c:v>
                </c:pt>
                <c:pt idx="342">
                  <c:v>1467886.68771641</c:v>
                </c:pt>
                <c:pt idx="343">
                  <c:v>1474885.2694107</c:v>
                </c:pt>
                <c:pt idx="344">
                  <c:v>1481904.53902093</c:v>
                </c:pt>
                <c:pt idx="345">
                  <c:v>1488944.54910556</c:v>
                </c:pt>
                <c:pt idx="346">
                  <c:v>1496005.35229162</c:v>
                </c:pt>
                <c:pt idx="347">
                  <c:v>1503087.00127426</c:v>
                </c:pt>
                <c:pt idx="348">
                  <c:v>1510189.54881625</c:v>
                </c:pt>
                <c:pt idx="349">
                  <c:v>1517313.0477475</c:v>
                </c:pt>
                <c:pt idx="350">
                  <c:v>1524457.55096454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398450"/>
        <c:axId val="87865445"/>
      </c:lineChart>
      <c:catAx>
        <c:axId val="1439845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65445"/>
        <c:crosses val="autoZero"/>
        <c:auto val="1"/>
        <c:lblAlgn val="ctr"/>
        <c:lblOffset val="100"/>
        <c:noMultiLvlLbl val="0"/>
      </c:catAx>
      <c:valAx>
        <c:axId val="87865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98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370080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1178244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tr">
        <f aca="false">Premissas!$C$6</f>
        <v>308</v>
      </c>
    </row>
    <row r="5" customFormat="false" ht="15" hidden="false" customHeight="false" outlineLevel="0" collapsed="false">
      <c r="A5" s="3" t="s">
        <v>3</v>
      </c>
      <c r="B5" s="5" t="n">
        <f aca="false">Premissas!$C$7</f>
        <v>18.09</v>
      </c>
    </row>
    <row r="6" customFormat="false" ht="15" hidden="false" customHeight="false" outlineLevel="0" collapsed="false">
      <c r="A6" s="3" t="s">
        <v>4</v>
      </c>
      <c r="B6" s="6" t="n">
        <f aca="false">Premissas!$C$8</f>
        <v>432401</v>
      </c>
    </row>
    <row r="7" customFormat="false" ht="15" hidden="false" customHeight="false" outlineLevel="0" collapsed="false">
      <c r="A7" s="3" t="s">
        <v>5</v>
      </c>
      <c r="B7" s="6" t="n">
        <f aca="false">Premissas!$C$60</f>
        <v>411668.057791027</v>
      </c>
    </row>
    <row r="8" customFormat="false" ht="15" hidden="false" customHeight="false" outlineLevel="0" collapsed="false">
      <c r="A8" s="3" t="s">
        <v>6</v>
      </c>
      <c r="B8" s="6" t="n">
        <f aca="false">Premissas!$C$61</f>
        <v>22756.6643333901</v>
      </c>
    </row>
    <row r="9" customFormat="false" ht="15" hidden="false" customHeight="false" outlineLevel="0" collapsed="false">
      <c r="A9" s="3" t="s">
        <v>7</v>
      </c>
      <c r="B9" s="7" t="n">
        <f aca="false">Premissas!$C$18</f>
        <v>47635</v>
      </c>
    </row>
    <row r="10" customFormat="false" ht="15" hidden="false" customHeight="false" outlineLevel="0" collapsed="false">
      <c r="A10" s="3" t="s">
        <v>8</v>
      </c>
      <c r="B10" s="7" t="n">
        <f aca="false">Premissas!$C$20</f>
        <v>47727</v>
      </c>
    </row>
    <row r="11" customFormat="false" ht="15" hidden="false" customHeight="false" outlineLevel="0" collapsed="false">
      <c r="A11" s="3" t="s">
        <v>9</v>
      </c>
      <c r="B11" s="6" t="n">
        <f aca="false">INDEX('Fluxo mensal'!$L$5:$L$355,MATCH(EDATE(Premissas!$C$20,Premissas!$C$33),'Fluxo mensal'!$A$5:$A$355,0))</f>
        <v>1522.07621232282</v>
      </c>
    </row>
    <row r="13" customFormat="false" ht="15" hidden="false" customHeight="false" outlineLevel="0" collapsed="false">
      <c r="A13" s="8" t="s">
        <v>10</v>
      </c>
      <c r="B13" s="9" t="s">
        <v>11</v>
      </c>
      <c r="C13" s="9" t="s">
        <v>12</v>
      </c>
      <c r="D13" s="9" t="s">
        <v>13</v>
      </c>
      <c r="E13" s="9" t="s">
        <v>14</v>
      </c>
    </row>
    <row r="14" customFormat="false" ht="15" hidden="false" customHeight="false" outlineLevel="0" collapsed="false">
      <c r="A14" s="3" t="s">
        <v>15</v>
      </c>
      <c r="B14" s="10" t="n">
        <f aca="false">SUM('Fluxo mensal'!$Q$5:$Q$355)</f>
        <v>250000</v>
      </c>
      <c r="C14" s="10" t="n">
        <f aca="false">SUM('Fluxo mensal'!$W$5:$W$355)</f>
        <v>280928</v>
      </c>
      <c r="D14" s="10" t="n">
        <f aca="false">SUM('Fluxo mensal'!$AC$5:$AC$355)</f>
        <v>288548.463880025</v>
      </c>
      <c r="E14" s="10" t="n">
        <f aca="false">SUM('Fluxo mensal'!$AI$5:$AI$355)</f>
        <v>334412.949298087</v>
      </c>
    </row>
    <row r="15" customFormat="false" ht="15" hidden="false" customHeight="false" outlineLevel="0" collapsed="false">
      <c r="A15" s="3" t="s">
        <v>16</v>
      </c>
      <c r="B15" s="10" t="n">
        <f aca="false">-INDEX('Fluxo mensal'!$S$5:$S$355,MATCH(Premissas!$C$20,'Fluxo mensal'!$A$5:$A$355,0))</f>
        <v>305551.044153273</v>
      </c>
      <c r="C15" s="10" t="n">
        <f aca="false">-INDEX('Fluxo mensal'!$Y$5:$Y$355,MATCH(Premissas!$C$20,'Fluxo mensal'!$A$5:$A$355,0))</f>
        <v>336479.044153273</v>
      </c>
      <c r="D15" s="10" t="n">
        <f aca="false">-INDEX('Fluxo mensal'!$AE$5:$AE$355,MATCH(Premissas!$C$20,'Fluxo mensal'!$A$5:$A$355,0))</f>
        <v>344099.508033298</v>
      </c>
      <c r="E15" s="10" t="n">
        <f aca="false">-INDEX('Fluxo mensal'!$AK$5:$AK$355,MATCH(Premissas!$C$20,'Fluxo mensal'!$A$5:$A$355,0))</f>
        <v>389963.99345136</v>
      </c>
    </row>
    <row r="16" customFormat="false" ht="15" hidden="false" customHeight="false" outlineLevel="0" collapsed="false">
      <c r="A16" s="3" t="s">
        <v>17</v>
      </c>
      <c r="B16" s="10" t="n">
        <f aca="false">INDEX('Fluxo mensal'!$U$5:$U$355,MATCH(EDATE(Premissas!$C$18,0),'Fluxo mensal'!$A$5:$A$355,0))</f>
        <v>89233.2658870355</v>
      </c>
      <c r="C16" s="10" t="n">
        <f aca="false">INDEX('Fluxo mensal'!$AA$5:$AA$355,MATCH(EDATE(Premissas!$C$18,0),'Fluxo mensal'!$A$5:$A$355,0))</f>
        <v>62944.4658870355</v>
      </c>
      <c r="D16" s="10" t="n">
        <f aca="false">INDEX('Fluxo mensal'!$AG$5:$AG$355,MATCH(EDATE(Premissas!$C$18,0),'Fluxo mensal'!$A$5:$A$355,0))</f>
        <v>56467.0715890143</v>
      </c>
      <c r="E16" s="10" t="n">
        <f aca="false">INDEX('Fluxo mensal'!$AM$5:$AM$355,MATCH(EDATE(Premissas!$C$18,0),'Fluxo mensal'!$A$5:$A$355,0))</f>
        <v>17482.2589836618</v>
      </c>
    </row>
    <row r="17" customFormat="false" ht="15" hidden="false" customHeight="false" outlineLevel="0" collapsed="false">
      <c r="A17" s="3" t="s">
        <v>18</v>
      </c>
      <c r="B17" s="11" t="n">
        <f aca="false">12*INDEX('Fluxo mensal'!$L$5:$L$355,MATCH(EDATE(Premissas!$C$20,Premissas!$C$33),'Fluxo mensal'!$A$5:$A$355,0))/-INDEX('Fluxo mensal'!$S$5:$S$355,MATCH(Premissas!$C$20,'Fluxo mensal'!$A$5:$A$355,0))</f>
        <v>0.05977696655722</v>
      </c>
      <c r="C17" s="11" t="n">
        <f aca="false">12*INDEX('Fluxo mensal'!$L$5:$L$355,MATCH(EDATE(Premissas!$C$20,Premissas!$C$33),'Fluxo mensal'!$A$5:$A$355,0))/-INDEX('Fluxo mensal'!$Y$5:$Y$355,MATCH(Premissas!$C$20,'Fluxo mensal'!$A$5:$A$355,0))</f>
        <v>0.0542824727579582</v>
      </c>
      <c r="D17" s="11" t="n">
        <f aca="false">12*INDEX('Fluxo mensal'!$L$5:$L$355,MATCH(EDATE(Premissas!$C$20,Premissas!$C$33),'Fluxo mensal'!$A$5:$A$355,0))/-INDEX('Fluxo mensal'!$AE$5:$AE$355,MATCH(Premissas!$C$20,'Fluxo mensal'!$A$5:$A$355,0))</f>
        <v>0.0530803274095538</v>
      </c>
      <c r="E17" s="11" t="n">
        <f aca="false">12*INDEX('Fluxo mensal'!$L$5:$L$355,MATCH(EDATE(Premissas!$C$20,Premissas!$C$33),'Fluxo mensal'!$A$5:$A$355,0))/-INDEX('Fluxo mensal'!$AK$5:$AK$355,MATCH(Premissas!$C$20,'Fluxo mensal'!$A$5:$A$355,0))</f>
        <v>0.0468374384676416</v>
      </c>
    </row>
    <row r="18" customFormat="false" ht="15" hidden="false" customHeight="false" outlineLevel="0" collapsed="false">
      <c r="A18" s="3" t="s">
        <v>19</v>
      </c>
      <c r="B18" s="12" t="n">
        <f aca="false">IFERROR(INDEX('Fluxo mensal'!$A$5:$A$355,MATCH(1,INDEX(('Fluxo mensal'!$S$5:$S$355&gt;=0)*('Fluxo mensal'!$A$5:$A$355&gt;=Premissas!$C$20),0),0)),"Não atinge até 2055")</f>
        <v>52505</v>
      </c>
      <c r="C18" s="12" t="n">
        <f aca="false">IFERROR(INDEX('Fluxo mensal'!$A$5:$A$355,MATCH(1,INDEX(('Fluxo mensal'!$Y$5:$Y$355&gt;=0)*('Fluxo mensal'!$A$5:$A$355&gt;=Premissas!$C$20),0),0)),"Não atinge até 2055")</f>
        <v>52871</v>
      </c>
      <c r="D18" s="12" t="n">
        <f aca="false">IFERROR(INDEX('Fluxo mensal'!$A$5:$A$355,MATCH(1,INDEX(('Fluxo mensal'!$AE$5:$AE$355&gt;=0)*('Fluxo mensal'!$A$5:$A$355&gt;=Premissas!$C$20),0),0)),"Não atinge até 2055")</f>
        <v>52963</v>
      </c>
      <c r="E18" s="12" t="n">
        <f aca="false">IFERROR(INDEX('Fluxo mensal'!$A$5:$A$355,MATCH(1,INDEX(('Fluxo mensal'!$AK$5:$AK$355&gt;=0)*('Fluxo mensal'!$A$5:$A$355&gt;=Premissas!$C$20),0),0)),"Não atinge até 2055")</f>
        <v>53448</v>
      </c>
    </row>
    <row r="19" customFormat="false" ht="15" hidden="false" customHeight="false" outlineLevel="0" collapsed="false">
      <c r="A19" s="3" t="s">
        <v>20</v>
      </c>
      <c r="B19" s="10" t="n">
        <f aca="false">INDEX('Fluxo mensal'!$U$5:$U$355,MATCH(EDATE(Premissas!$C$18,60),'Fluxo mensal'!$A$5:$A$355,0))</f>
        <v>246784.307337376</v>
      </c>
      <c r="C19" s="10" t="n">
        <f aca="false">INDEX('Fluxo mensal'!$AA$5:$AA$355,MATCH(EDATE(Premissas!$C$18,60),'Fluxo mensal'!$A$5:$A$355,0))</f>
        <v>220495.507337376</v>
      </c>
      <c r="D19" s="10" t="n">
        <f aca="false">INDEX('Fluxo mensal'!$AG$5:$AG$355,MATCH(EDATE(Premissas!$C$18,60),'Fluxo mensal'!$A$5:$A$355,0))</f>
        <v>214018.113039355</v>
      </c>
      <c r="E19" s="10" t="n">
        <f aca="false">INDEX('Fluxo mensal'!$AM$5:$AM$355,MATCH(EDATE(Premissas!$C$18,60),'Fluxo mensal'!$A$5:$A$355,0))</f>
        <v>175033.300434002</v>
      </c>
    </row>
    <row r="20" customFormat="false" ht="15" hidden="false" customHeight="false" outlineLevel="0" collapsed="false">
      <c r="A20" s="13" t="s">
        <v>21</v>
      </c>
      <c r="B20" s="14" t="n">
        <f aca="false">INDEX('Fluxo mensal'!$V$5:$V$355,MATCH(EDATE(Premissas!$C$18,60),'Fluxo mensal'!$A$5:$A$355,0))+INDEX('Fluxo mensal'!$S$5:$S$355,MATCH(EDATE(Premissas!$C$18,60),'Fluxo mensal'!$A$5:$A$355,0))</f>
        <v>282310.827384152</v>
      </c>
      <c r="C20" s="14" t="n">
        <f aca="false">INDEX('Fluxo mensal'!$AB$5:$AB$355,MATCH(EDATE(Premissas!$C$18,60),'Fluxo mensal'!$A$5:$A$355,0))+INDEX('Fluxo mensal'!$Y$5:$Y$355,MATCH(EDATE(Premissas!$C$18,60),'Fluxo mensal'!$A$5:$A$355,0))</f>
        <v>316165.006676358</v>
      </c>
      <c r="D20" s="14" t="n">
        <f aca="false">INDEX('Fluxo mensal'!$AH$5:$AH$355,MATCH(EDATE(Premissas!$C$18,60),'Fluxo mensal'!$A$5:$A$355,0))+INDEX('Fluxo mensal'!$AE$5:$AE$355,MATCH(EDATE(Premissas!$C$18,60),'Fluxo mensal'!$A$5:$A$355,0))</f>
        <v>318870.772195161</v>
      </c>
      <c r="E20" s="14" t="n">
        <f aca="false">INDEX('Fluxo mensal'!$AN$5:$AN$355,MATCH(EDATE(Premissas!$C$18,60),'Fluxo mensal'!$A$5:$A$355,0))+INDEX('Fluxo mensal'!$AK$5:$AK$355,MATCH(EDATE(Premissas!$C$18,60),'Fluxo mensal'!$A$5:$A$355,0))</f>
        <v>282641.249997918</v>
      </c>
    </row>
    <row r="21" customFormat="false" ht="15" hidden="false" customHeight="false" outlineLevel="0" collapsed="false">
      <c r="A21" s="3" t="s">
        <v>22</v>
      </c>
      <c r="B21" s="10" t="n">
        <f aca="false">INDEX('Fluxo mensal'!$U$5:$U$355,MATCH(EDATE(Premissas!$C$18,120),'Fluxo mensal'!$A$5:$A$355,0))</f>
        <v>483333.157317404</v>
      </c>
      <c r="C21" s="10" t="n">
        <f aca="false">INDEX('Fluxo mensal'!$AA$5:$AA$355,MATCH(EDATE(Premissas!$C$18,120),'Fluxo mensal'!$A$5:$A$355,0))</f>
        <v>457044.357317404</v>
      </c>
      <c r="D21" s="10" t="n">
        <f aca="false">INDEX('Fluxo mensal'!$AG$5:$AG$355,MATCH(EDATE(Premissas!$C$18,120),'Fluxo mensal'!$A$5:$A$355,0))</f>
        <v>450566.963019383</v>
      </c>
      <c r="E21" s="10" t="n">
        <f aca="false">INDEX('Fluxo mensal'!$AM$5:$AM$355,MATCH(EDATE(Premissas!$C$18,120),'Fluxo mensal'!$A$5:$A$355,0))</f>
        <v>411582.15041403</v>
      </c>
    </row>
    <row r="22" customFormat="false" ht="15" hidden="false" customHeight="false" outlineLevel="0" collapsed="false">
      <c r="A22" s="13" t="s">
        <v>23</v>
      </c>
      <c r="B22" s="14" t="n">
        <f aca="false">INDEX('Fluxo mensal'!$V$5:$V$355,MATCH(EDATE(Premissas!$C$18,120),'Fluxo mensal'!$A$5:$A$355,0))+INDEX('Fluxo mensal'!$S$5:$S$355,MATCH(EDATE(Premissas!$C$18,120),'Fluxo mensal'!$A$5:$A$355,0))</f>
        <v>504955.14160403</v>
      </c>
      <c r="C22" s="14" t="n">
        <f aca="false">INDEX('Fluxo mensal'!$AB$5:$AB$355,MATCH(EDATE(Premissas!$C$18,120),'Fluxo mensal'!$A$5:$A$355,0))+INDEX('Fluxo mensal'!$Y$5:$Y$355,MATCH(EDATE(Premissas!$C$18,120),'Fluxo mensal'!$A$5:$A$355,0))</f>
        <v>571437.298901073</v>
      </c>
      <c r="D22" s="14" t="n">
        <f aca="false">INDEX('Fluxo mensal'!$AH$5:$AH$355,MATCH(EDATE(Premissas!$C$18,120),'Fluxo mensal'!$A$5:$A$355,0))+INDEX('Fluxo mensal'!$AE$5:$AE$355,MATCH(EDATE(Premissas!$C$18,120),'Fluxo mensal'!$A$5:$A$355,0))</f>
        <v>579343.93894091</v>
      </c>
      <c r="E22" s="14" t="n">
        <f aca="false">INDEX('Fluxo mensal'!$AN$5:$AN$355,MATCH(EDATE(Premissas!$C$18,120),'Fluxo mensal'!$A$5:$A$355,0))+INDEX('Fluxo mensal'!$AK$5:$AK$355,MATCH(EDATE(Premissas!$C$18,120),'Fluxo mensal'!$A$5:$A$355,0))</f>
        <v>547967.130429453</v>
      </c>
    </row>
    <row r="23" customFormat="false" ht="15" hidden="false" customHeight="false" outlineLevel="0" collapsed="false">
      <c r="A23" s="3" t="s">
        <v>24</v>
      </c>
      <c r="B23" s="10" t="n">
        <f aca="false">INDEX('Fluxo mensal'!$U$5:$U$355,MATCH(EDATE(Premissas!$C$18,240),'Fluxo mensal'!$A$5:$A$355,0))</f>
        <v>1145437.7983223</v>
      </c>
      <c r="C23" s="10" t="n">
        <f aca="false">INDEX('Fluxo mensal'!$AA$5:$AA$355,MATCH(EDATE(Premissas!$C$18,240),'Fluxo mensal'!$A$5:$A$355,0))</f>
        <v>1119148.9983223</v>
      </c>
      <c r="D23" s="10" t="n">
        <f aca="false">INDEX('Fluxo mensal'!$AG$5:$AG$355,MATCH(EDATE(Premissas!$C$18,240),'Fluxo mensal'!$A$5:$A$355,0))</f>
        <v>1112671.60402428</v>
      </c>
      <c r="E23" s="10" t="n">
        <f aca="false">INDEX('Fluxo mensal'!$AM$5:$AM$355,MATCH(EDATE(Premissas!$C$18,240),'Fluxo mensal'!$A$5:$A$355,0))</f>
        <v>1073686.79141893</v>
      </c>
    </row>
    <row r="24" customFormat="false" ht="15" hidden="false" customHeight="false" outlineLevel="0" collapsed="false">
      <c r="A24" s="13" t="s">
        <v>25</v>
      </c>
      <c r="B24" s="14" t="n">
        <f aca="false">INDEX('Fluxo mensal'!$V$5:$V$355,MATCH(EDATE(Premissas!$C$18,240),'Fluxo mensal'!$A$5:$A$355,0))+INDEX('Fluxo mensal'!$S$5:$S$355,MATCH(EDATE(Premissas!$C$18,240),'Fluxo mensal'!$A$5:$A$355,0))</f>
        <v>1095605.92996563</v>
      </c>
      <c r="C24" s="14" t="n">
        <f aca="false">INDEX('Fluxo mensal'!$AB$5:$AB$355,MATCH(EDATE(Premissas!$C$18,240),'Fluxo mensal'!$A$5:$A$355,0))+INDEX('Fluxo mensal'!$Y$5:$Y$355,MATCH(EDATE(Premissas!$C$18,240),'Fluxo mensal'!$A$5:$A$355,0))</f>
        <v>1284920.68268882</v>
      </c>
      <c r="D24" s="14" t="n">
        <f aca="false">INDEX('Fluxo mensal'!$AH$5:$AH$355,MATCH(EDATE(Premissas!$C$18,240),'Fluxo mensal'!$A$5:$A$355,0))+INDEX('Fluxo mensal'!$AE$5:$AE$355,MATCH(EDATE(Premissas!$C$18,240),'Fluxo mensal'!$A$5:$A$355,0))</f>
        <v>1312406.74367253</v>
      </c>
      <c r="E24" s="14" t="n">
        <f aca="false">INDEX('Fluxo mensal'!$AN$5:$AN$355,MATCH(EDATE(Premissas!$C$18,240),'Fluxo mensal'!$A$5:$A$355,0))+INDEX('Fluxo mensal'!$AK$5:$AK$355,MATCH(EDATE(Premissas!$C$18,240),'Fluxo mensal'!$A$5:$A$355,0))</f>
        <v>1299298.65585215</v>
      </c>
    </row>
    <row r="26" customFormat="false" ht="15" hidden="false" customHeight="false" outlineLevel="0" collapsed="false">
      <c r="A26" s="15" t="s">
        <v>26</v>
      </c>
    </row>
    <row r="27" customFormat="false" ht="15" hidden="false" customHeight="false" outlineLevel="0" collapsed="false">
      <c r="A27" s="16" t="s">
        <v>27</v>
      </c>
    </row>
    <row r="28" customFormat="false" ht="15" hidden="false" customHeight="false" outlineLevel="0" collapsed="false">
      <c r="A28" s="16" t="s">
        <v>28</v>
      </c>
    </row>
    <row r="29" customFormat="false" ht="15" hidden="false" customHeight="false" outlineLevel="0" collapsed="false">
      <c r="A29" s="16" t="s">
        <v>29</v>
      </c>
    </row>
    <row r="30" customFormat="false" ht="15" hidden="false" customHeight="false" outlineLevel="0" collapsed="false">
      <c r="A30" s="1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"/>
    <col collapsed="false" customWidth="true" hidden="false" outlineLevel="0" max="3" min="3" style="0" width="16"/>
    <col collapsed="false" customWidth="true" hidden="false" outlineLevel="0" max="4" min="4" style="0" width="9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5" customFormat="false" ht="15" hidden="false" customHeight="false" outlineLevel="0" collapsed="false">
      <c r="A5" s="17" t="s">
        <v>33</v>
      </c>
      <c r="B5" s="18"/>
      <c r="C5" s="18"/>
      <c r="D5" s="18"/>
    </row>
    <row r="6" customFormat="false" ht="15" hidden="false" customHeight="false" outlineLevel="0" collapsed="false">
      <c r="A6" s="3" t="s">
        <v>34</v>
      </c>
      <c r="C6" s="19" t="s">
        <v>35</v>
      </c>
      <c r="D6" s="20" t="s">
        <v>36</v>
      </c>
    </row>
    <row r="7" customFormat="false" ht="15" hidden="false" customHeight="false" outlineLevel="0" collapsed="false">
      <c r="A7" s="3" t="s">
        <v>3</v>
      </c>
      <c r="C7" s="21" t="n">
        <f aca="false">INDEX('Tabela SCP'!$D$4:$D$125,MATCH(Premissas!$C$6,'Tabela SCP'!$A$4:$A$125,0))</f>
        <v>18.09</v>
      </c>
    </row>
    <row r="8" customFormat="false" ht="15" hidden="false" customHeight="false" outlineLevel="0" collapsed="false">
      <c r="A8" s="3" t="s">
        <v>4</v>
      </c>
      <c r="C8" s="22" t="n">
        <f aca="false">INDEX('Tabela SCP'!$E$4:$E$125,MATCH(Premissas!$C$6,'Tabela SCP'!$A$4:$A$125,0))</f>
        <v>432401</v>
      </c>
    </row>
    <row r="9" customFormat="false" ht="15" hidden="false" customHeight="false" outlineLevel="0" collapsed="false">
      <c r="A9" s="3" t="s">
        <v>37</v>
      </c>
      <c r="C9" s="22" t="n">
        <f aca="false">INDEX('Tabela SCP'!$F$4:$F$125,MATCH(Premissas!$C$6,'Tabela SCP'!$A$4:$A$125,0))</f>
        <v>280928</v>
      </c>
    </row>
    <row r="10" customFormat="false" ht="15" hidden="false" customHeight="false" outlineLevel="0" collapsed="false">
      <c r="A10" s="3" t="s">
        <v>38</v>
      </c>
      <c r="C10" s="22" t="n">
        <f aca="false">INDEX('Tabela SCP'!$G$4:$G$125,MATCH(Premissas!$C$6,'Tabela SCP'!$A$4:$A$125,0))</f>
        <v>287262</v>
      </c>
    </row>
    <row r="11" customFormat="false" ht="15" hidden="false" customHeight="false" outlineLevel="0" collapsed="false">
      <c r="A11" s="3" t="s">
        <v>39</v>
      </c>
      <c r="C11" s="22" t="n">
        <f aca="false">INDEX('Tabela SCP'!$H$4:$H$125,MATCH(Premissas!$C$6,'Tabela SCP'!$A$4:$A$125,0))</f>
        <v>308538</v>
      </c>
    </row>
    <row r="12" customFormat="false" ht="15" hidden="false" customHeight="false" outlineLevel="0" collapsed="false">
      <c r="A12" s="3" t="s">
        <v>40</v>
      </c>
      <c r="C12" s="22" t="n">
        <f aca="false">N(INDEX('Tabela SCP'!$I$4:$I$125,MATCH(Premissas!$C$6,'Tabela SCP'!$A$4:$A$125,0)))</f>
        <v>250000</v>
      </c>
    </row>
    <row r="13" customFormat="false" ht="15" hidden="false" customHeight="false" outlineLevel="0" collapsed="false">
      <c r="A13" s="3" t="s">
        <v>41</v>
      </c>
      <c r="C13" s="22" t="n">
        <f aca="false">IF(Premissas!$C$12&gt;0,Premissas!$C$12,Premissas!$C$9)</f>
        <v>250000</v>
      </c>
      <c r="D13" s="20" t="s">
        <v>42</v>
      </c>
    </row>
    <row r="15" customFormat="false" ht="15" hidden="false" customHeight="false" outlineLevel="0" collapsed="false">
      <c r="A15" s="17" t="s">
        <v>43</v>
      </c>
      <c r="B15" s="18"/>
      <c r="C15" s="18"/>
      <c r="D15" s="18"/>
    </row>
    <row r="16" customFormat="false" ht="15" hidden="false" customHeight="false" outlineLevel="0" collapsed="false">
      <c r="A16" s="3" t="s">
        <v>44</v>
      </c>
      <c r="C16" s="23" t="n">
        <v>46296</v>
      </c>
      <c r="D16" s="20" t="s">
        <v>45</v>
      </c>
    </row>
    <row r="17" customFormat="false" ht="15" hidden="false" customHeight="false" outlineLevel="0" collapsed="false">
      <c r="A17" s="3" t="s">
        <v>46</v>
      </c>
      <c r="C17" s="24" t="n">
        <v>46447</v>
      </c>
      <c r="D17" s="20" t="s">
        <v>47</v>
      </c>
    </row>
    <row r="18" customFormat="false" ht="15" hidden="false" customHeight="false" outlineLevel="0" collapsed="false">
      <c r="A18" s="3" t="s">
        <v>48</v>
      </c>
      <c r="C18" s="23" t="n">
        <v>47635</v>
      </c>
      <c r="D18" s="20" t="s">
        <v>49</v>
      </c>
    </row>
    <row r="19" customFormat="false" ht="15" hidden="false" customHeight="false" outlineLevel="0" collapsed="false">
      <c r="A19" s="3" t="s">
        <v>50</v>
      </c>
      <c r="C19" s="25" t="n">
        <v>2</v>
      </c>
    </row>
    <row r="20" customFormat="false" ht="15" hidden="false" customHeight="false" outlineLevel="0" collapsed="false">
      <c r="A20" s="3" t="s">
        <v>8</v>
      </c>
      <c r="C20" s="26" t="n">
        <f aca="false">DATE(YEAR(Premissas!$C$18),MONTH(Premissas!$C$18)+Premissas!$C$19+1,1)</f>
        <v>47727</v>
      </c>
    </row>
    <row r="22" customFormat="false" ht="15" hidden="false" customHeight="false" outlineLevel="0" collapsed="false">
      <c r="A22" s="17" t="s">
        <v>51</v>
      </c>
      <c r="B22" s="18"/>
      <c r="C22" s="18"/>
      <c r="D22" s="18"/>
    </row>
    <row r="23" customFormat="false" ht="15" hidden="false" customHeight="false" outlineLevel="0" collapsed="false">
      <c r="A23" s="3" t="s">
        <v>52</v>
      </c>
      <c r="C23" s="27" t="n">
        <v>0.055</v>
      </c>
      <c r="D23" s="20" t="s">
        <v>53</v>
      </c>
    </row>
    <row r="24" customFormat="false" ht="15" hidden="false" customHeight="false" outlineLevel="0" collapsed="false">
      <c r="A24" s="3" t="s">
        <v>54</v>
      </c>
      <c r="C24" s="28" t="n">
        <v>0.055</v>
      </c>
    </row>
    <row r="25" customFormat="false" ht="15" hidden="false" customHeight="false" outlineLevel="0" collapsed="false">
      <c r="A25" s="3" t="s">
        <v>55</v>
      </c>
      <c r="C25" s="27" t="n">
        <v>0.8</v>
      </c>
      <c r="D25" s="20" t="s">
        <v>56</v>
      </c>
    </row>
    <row r="26" customFormat="false" ht="15" hidden="false" customHeight="false" outlineLevel="0" collapsed="false">
      <c r="A26" s="3" t="s">
        <v>57</v>
      </c>
      <c r="C26" s="28" t="n">
        <v>0.04</v>
      </c>
      <c r="D26" s="20" t="s">
        <v>58</v>
      </c>
    </row>
    <row r="27" customFormat="false" ht="15" hidden="false" customHeight="false" outlineLevel="0" collapsed="false">
      <c r="A27" s="3" t="s">
        <v>59</v>
      </c>
      <c r="C27" s="29" t="n">
        <v>25000</v>
      </c>
      <c r="D27" s="20" t="s">
        <v>60</v>
      </c>
    </row>
    <row r="29" customFormat="false" ht="15" hidden="false" customHeight="false" outlineLevel="0" collapsed="false">
      <c r="A29" s="17" t="s">
        <v>61</v>
      </c>
      <c r="B29" s="18"/>
      <c r="C29" s="18"/>
      <c r="D29" s="18"/>
    </row>
    <row r="30" customFormat="false" ht="15" hidden="false" customHeight="false" outlineLevel="0" collapsed="false">
      <c r="A30" s="3" t="s">
        <v>62</v>
      </c>
      <c r="C30" s="29" t="n">
        <v>250</v>
      </c>
      <c r="D30" s="20" t="s">
        <v>63</v>
      </c>
    </row>
    <row r="31" customFormat="false" ht="15" hidden="false" customHeight="false" outlineLevel="0" collapsed="false">
      <c r="A31" s="3" t="s">
        <v>64</v>
      </c>
      <c r="C31" s="27" t="n">
        <v>0.62</v>
      </c>
      <c r="D31" s="20" t="s">
        <v>65</v>
      </c>
    </row>
    <row r="32" customFormat="false" ht="15" hidden="false" customHeight="false" outlineLevel="0" collapsed="false">
      <c r="A32" s="3" t="s">
        <v>66</v>
      </c>
      <c r="C32" s="25" t="n">
        <v>30</v>
      </c>
    </row>
    <row r="33" customFormat="false" ht="15" hidden="false" customHeight="false" outlineLevel="0" collapsed="false">
      <c r="A33" s="3" t="s">
        <v>67</v>
      </c>
      <c r="C33" s="25" t="n">
        <v>3</v>
      </c>
    </row>
    <row r="34" customFormat="false" ht="15" hidden="false" customHeight="false" outlineLevel="0" collapsed="false">
      <c r="A34" s="3" t="s">
        <v>68</v>
      </c>
      <c r="C34" s="28" t="n">
        <v>0.6</v>
      </c>
    </row>
    <row r="35" customFormat="false" ht="15" hidden="false" customHeight="false" outlineLevel="0" collapsed="false">
      <c r="A35" s="3" t="s">
        <v>69</v>
      </c>
      <c r="C35" s="28" t="n">
        <v>0.16</v>
      </c>
    </row>
    <row r="36" customFormat="false" ht="15" hidden="false" customHeight="false" outlineLevel="0" collapsed="false">
      <c r="A36" s="3" t="s">
        <v>70</v>
      </c>
      <c r="C36" s="28" t="n">
        <v>0.2</v>
      </c>
    </row>
    <row r="37" customFormat="false" ht="15" hidden="false" customHeight="false" outlineLevel="0" collapsed="false">
      <c r="A37" s="3" t="s">
        <v>71</v>
      </c>
      <c r="C37" s="29" t="n">
        <v>600</v>
      </c>
      <c r="D37" s="20" t="s">
        <v>72</v>
      </c>
    </row>
    <row r="38" customFormat="false" ht="15" hidden="false" customHeight="false" outlineLevel="0" collapsed="false">
      <c r="A38" s="3" t="s">
        <v>73</v>
      </c>
      <c r="C38" s="30" t="n">
        <v>280</v>
      </c>
    </row>
    <row r="39" customFormat="false" ht="15" hidden="false" customHeight="false" outlineLevel="0" collapsed="false">
      <c r="A39" s="3" t="s">
        <v>74</v>
      </c>
      <c r="C39" s="30" t="n">
        <v>150</v>
      </c>
    </row>
    <row r="40" customFormat="false" ht="15" hidden="false" customHeight="false" outlineLevel="0" collapsed="false">
      <c r="A40" s="3" t="s">
        <v>75</v>
      </c>
      <c r="C40" s="28" t="n">
        <v>0.04</v>
      </c>
    </row>
    <row r="41" customFormat="false" ht="15" hidden="false" customHeight="false" outlineLevel="0" collapsed="false">
      <c r="A41" s="3" t="s">
        <v>76</v>
      </c>
      <c r="C41" s="28" t="n">
        <v>0.275</v>
      </c>
      <c r="D41" s="20" t="s">
        <v>77</v>
      </c>
    </row>
    <row r="43" customFormat="false" ht="15" hidden="false" customHeight="false" outlineLevel="0" collapsed="false">
      <c r="A43" s="17" t="s">
        <v>78</v>
      </c>
      <c r="B43" s="18"/>
      <c r="C43" s="18"/>
      <c r="D43" s="18"/>
    </row>
    <row r="44" customFormat="false" ht="15" hidden="false" customHeight="false" outlineLevel="0" collapsed="false">
      <c r="A44" s="3" t="s">
        <v>79</v>
      </c>
      <c r="C44" s="27" t="n">
        <v>0.05</v>
      </c>
      <c r="D44" s="20" t="s">
        <v>80</v>
      </c>
    </row>
    <row r="45" customFormat="false" ht="15" hidden="false" customHeight="false" outlineLevel="0" collapsed="false">
      <c r="A45" s="3" t="s">
        <v>81</v>
      </c>
      <c r="C45" s="28" t="n">
        <v>0.06</v>
      </c>
    </row>
    <row r="46" customFormat="false" ht="15" hidden="false" customHeight="false" outlineLevel="0" collapsed="false">
      <c r="A46" s="3" t="s">
        <v>82</v>
      </c>
      <c r="C46" s="28" t="n">
        <v>0.15</v>
      </c>
    </row>
    <row r="48" customFormat="false" ht="15" hidden="false" customHeight="false" outlineLevel="0" collapsed="false">
      <c r="A48" s="17" t="s">
        <v>83</v>
      </c>
      <c r="B48" s="18"/>
      <c r="C48" s="18"/>
      <c r="D48" s="18"/>
    </row>
    <row r="49" customFormat="false" ht="15" hidden="false" customHeight="false" outlineLevel="0" collapsed="false">
      <c r="A49" s="3" t="s">
        <v>84</v>
      </c>
      <c r="C49" s="28" t="n">
        <v>0.14</v>
      </c>
      <c r="D49" s="20" t="s">
        <v>85</v>
      </c>
    </row>
    <row r="50" customFormat="false" ht="15" hidden="false" customHeight="false" outlineLevel="0" collapsed="false">
      <c r="A50" s="3" t="s">
        <v>86</v>
      </c>
      <c r="C50" s="28" t="n">
        <v>0.125</v>
      </c>
      <c r="D50" s="20" t="s">
        <v>87</v>
      </c>
    </row>
    <row r="51" customFormat="false" ht="15" hidden="false" customHeight="false" outlineLevel="0" collapsed="false">
      <c r="A51" s="3" t="s">
        <v>88</v>
      </c>
      <c r="C51" s="28" t="n">
        <v>0.11</v>
      </c>
      <c r="D51" s="20" t="s">
        <v>89</v>
      </c>
    </row>
    <row r="52" customFormat="false" ht="15" hidden="false" customHeight="false" outlineLevel="0" collapsed="false">
      <c r="A52" s="3" t="s">
        <v>90</v>
      </c>
      <c r="C52" s="27" t="n">
        <v>0.1</v>
      </c>
      <c r="D52" s="20" t="s">
        <v>91</v>
      </c>
    </row>
    <row r="53" customFormat="false" ht="15" hidden="false" customHeight="false" outlineLevel="0" collapsed="false">
      <c r="A53" s="3" t="s">
        <v>92</v>
      </c>
      <c r="C53" s="28" t="n">
        <v>0.15</v>
      </c>
    </row>
    <row r="55" customFormat="false" ht="15" hidden="false" customHeight="false" outlineLevel="0" collapsed="false">
      <c r="A55" s="17" t="s">
        <v>93</v>
      </c>
      <c r="B55" s="18"/>
      <c r="C55" s="18"/>
      <c r="D55" s="18"/>
    </row>
    <row r="56" customFormat="false" ht="15" hidden="false" customHeight="false" outlineLevel="0" collapsed="false">
      <c r="A56" s="3" t="s">
        <v>94</v>
      </c>
      <c r="C56" s="31" t="n">
        <f aca="false">(1+Premissas!$C$23)^(1/12)-1</f>
        <v>0.00447169891704302</v>
      </c>
    </row>
    <row r="57" customFormat="false" ht="15" hidden="false" customHeight="false" outlineLevel="0" collapsed="false">
      <c r="A57" s="3" t="s">
        <v>95</v>
      </c>
      <c r="C57" s="31" t="n">
        <f aca="false">(1+Premissas!$C$24)^(1/12)-1</f>
        <v>0.00447169891704302</v>
      </c>
    </row>
    <row r="58" customFormat="false" ht="15" hidden="false" customHeight="false" outlineLevel="0" collapsed="false">
      <c r="A58" s="3" t="s">
        <v>96</v>
      </c>
      <c r="C58" s="31" t="n">
        <f aca="false">(1+Premissas!$C$40)^(1/12)-1</f>
        <v>0.00327373978219891</v>
      </c>
    </row>
    <row r="59" customFormat="false" ht="15" hidden="false" customHeight="false" outlineLevel="0" collapsed="false">
      <c r="A59" s="3" t="s">
        <v>97</v>
      </c>
      <c r="C59" s="31" t="n">
        <f aca="false">(1+Premissas!$C$44)^(1/12)-1</f>
        <v>0.00407412378364835</v>
      </c>
    </row>
    <row r="60" customFormat="false" ht="15" hidden="false" customHeight="false" outlineLevel="0" collapsed="false">
      <c r="A60" s="3" t="s">
        <v>5</v>
      </c>
      <c r="C60" s="22" t="n">
        <f aca="false">Premissas!$C$8*(1+Premissas!$C$57)^((YEAR(Premissas!$C$18)-YEAR(Premissas!$C$17))*12+MONTH(Premissas!$C$18)-MONTH(Premissas!$C$17))*Premissas!$C$25</f>
        <v>411668.057791027</v>
      </c>
    </row>
    <row r="61" customFormat="false" ht="15" hidden="false" customHeight="false" outlineLevel="0" collapsed="false">
      <c r="A61" s="3" t="s">
        <v>98</v>
      </c>
      <c r="C61" s="22" t="n">
        <f aca="false">Premissas!$C$60/Premissas!$C$7</f>
        <v>22756.6643333901</v>
      </c>
    </row>
  </sheetData>
  <dataValidations count="1">
    <dataValidation allowBlank="false" errorStyle="stop" operator="between" showDropDown="false" showErrorMessage="false" showInputMessage="false" sqref="C6" type="list">
      <formula1>'Tabela SCP'!$A$4:$A$125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1" min="9" style="0" width="12"/>
  </cols>
  <sheetData>
    <row r="1" customFormat="false" ht="17.35" hidden="false" customHeight="false" outlineLevel="0" collapsed="false">
      <c r="A1" s="1" t="s">
        <v>99</v>
      </c>
    </row>
    <row r="3" customFormat="false" ht="42" hidden="false" customHeight="true" outlineLevel="0" collapsed="false">
      <c r="A3" s="32" t="s">
        <v>2</v>
      </c>
      <c r="B3" s="32" t="s">
        <v>100</v>
      </c>
      <c r="C3" s="32" t="s">
        <v>101</v>
      </c>
      <c r="D3" s="32" t="s">
        <v>3</v>
      </c>
      <c r="E3" s="32" t="s">
        <v>102</v>
      </c>
      <c r="F3" s="32" t="s">
        <v>103</v>
      </c>
      <c r="G3" s="32" t="s">
        <v>104</v>
      </c>
      <c r="H3" s="32" t="s">
        <v>105</v>
      </c>
      <c r="I3" s="32" t="s">
        <v>11</v>
      </c>
      <c r="J3" s="32" t="s">
        <v>106</v>
      </c>
      <c r="K3" s="32" t="s">
        <v>107</v>
      </c>
    </row>
    <row r="4" customFormat="false" ht="15" hidden="false" customHeight="false" outlineLevel="0" collapsed="false">
      <c r="A4" s="3" t="s">
        <v>108</v>
      </c>
      <c r="B4" s="3" t="s">
        <v>109</v>
      </c>
      <c r="C4" s="3" t="n">
        <v>1</v>
      </c>
      <c r="D4" s="21" t="n">
        <v>16.47</v>
      </c>
      <c r="E4" s="22" t="n">
        <v>393679</v>
      </c>
      <c r="F4" s="22" t="n">
        <v>255770</v>
      </c>
      <c r="G4" s="22" t="n">
        <v>261537</v>
      </c>
      <c r="H4" s="22" t="n">
        <v>280908</v>
      </c>
      <c r="I4" s="22"/>
      <c r="J4" s="22" t="n">
        <v>15529</v>
      </c>
      <c r="K4" s="33" t="n">
        <f aca="false">1-MIN(F4,IF(I4&gt;0,I4,F4))/E4</f>
        <v>0.350308246058337</v>
      </c>
    </row>
    <row r="5" customFormat="false" ht="15" hidden="false" customHeight="false" outlineLevel="0" collapsed="false">
      <c r="A5" s="3" t="s">
        <v>110</v>
      </c>
      <c r="B5" s="3" t="s">
        <v>109</v>
      </c>
      <c r="C5" s="3" t="n">
        <v>1</v>
      </c>
      <c r="D5" s="21" t="n">
        <v>17.73</v>
      </c>
      <c r="E5" s="22" t="n">
        <v>423796</v>
      </c>
      <c r="F5" s="22" t="n">
        <v>275337</v>
      </c>
      <c r="G5" s="22" t="n">
        <v>281545</v>
      </c>
      <c r="H5" s="22" t="n">
        <v>302398</v>
      </c>
      <c r="I5" s="22"/>
      <c r="J5" s="22" t="n">
        <v>15529</v>
      </c>
      <c r="K5" s="33" t="n">
        <f aca="false">1-MIN(F5,IF(I5&gt;0,I5,F5))/E5</f>
        <v>0.350307695211847</v>
      </c>
    </row>
    <row r="6" customFormat="false" ht="15" hidden="false" customHeight="false" outlineLevel="0" collapsed="false">
      <c r="A6" s="3" t="s">
        <v>111</v>
      </c>
      <c r="B6" s="3" t="s">
        <v>109</v>
      </c>
      <c r="C6" s="3" t="n">
        <v>1</v>
      </c>
      <c r="D6" s="21" t="n">
        <v>18.16</v>
      </c>
      <c r="E6" s="22" t="n">
        <v>434075</v>
      </c>
      <c r="F6" s="22" t="n">
        <v>282015</v>
      </c>
      <c r="G6" s="22" t="n">
        <v>288373</v>
      </c>
      <c r="H6" s="22" t="n">
        <v>309732</v>
      </c>
      <c r="I6" s="22"/>
      <c r="J6" s="22" t="n">
        <v>15529</v>
      </c>
      <c r="K6" s="33" t="n">
        <f aca="false">1-MIN(F6,IF(I6&gt;0,I6,F6))/E6</f>
        <v>0.350308126475839</v>
      </c>
    </row>
    <row r="7" customFormat="false" ht="15" hidden="false" customHeight="false" outlineLevel="0" collapsed="false">
      <c r="A7" s="3" t="s">
        <v>112</v>
      </c>
      <c r="B7" s="3" t="s">
        <v>109</v>
      </c>
      <c r="C7" s="3" t="n">
        <v>1</v>
      </c>
      <c r="D7" s="21" t="n">
        <v>18.16</v>
      </c>
      <c r="E7" s="22" t="n">
        <v>434075</v>
      </c>
      <c r="F7" s="22" t="n">
        <v>282015</v>
      </c>
      <c r="G7" s="22" t="n">
        <v>288373</v>
      </c>
      <c r="H7" s="22" t="n">
        <v>309732</v>
      </c>
      <c r="I7" s="22"/>
      <c r="J7" s="22" t="n">
        <v>15529</v>
      </c>
      <c r="K7" s="33" t="n">
        <f aca="false">1-MIN(F7,IF(I7&gt;0,I7,F7))/E7</f>
        <v>0.350308126475839</v>
      </c>
    </row>
    <row r="8" customFormat="false" ht="15" hidden="false" customHeight="false" outlineLevel="0" collapsed="false">
      <c r="A8" s="3" t="s">
        <v>113</v>
      </c>
      <c r="B8" s="3" t="s">
        <v>109</v>
      </c>
      <c r="C8" s="3" t="n">
        <v>1</v>
      </c>
      <c r="D8" s="21" t="n">
        <v>17.73</v>
      </c>
      <c r="E8" s="22" t="n">
        <v>423796</v>
      </c>
      <c r="F8" s="22" t="n">
        <v>275337</v>
      </c>
      <c r="G8" s="22" t="n">
        <v>281545</v>
      </c>
      <c r="H8" s="22" t="n">
        <v>302398</v>
      </c>
      <c r="I8" s="22"/>
      <c r="J8" s="22" t="n">
        <v>15529</v>
      </c>
      <c r="K8" s="33" t="n">
        <f aca="false">1-MIN(F8,IF(I8&gt;0,I8,F8))/E8</f>
        <v>0.350307695211847</v>
      </c>
    </row>
    <row r="9" customFormat="false" ht="15" hidden="false" customHeight="false" outlineLevel="0" collapsed="false">
      <c r="A9" s="3" t="s">
        <v>114</v>
      </c>
      <c r="B9" s="3" t="s">
        <v>109</v>
      </c>
      <c r="C9" s="3" t="n">
        <v>1</v>
      </c>
      <c r="D9" s="21" t="n">
        <v>18.09</v>
      </c>
      <c r="E9" s="22" t="n">
        <v>432401</v>
      </c>
      <c r="F9" s="22" t="n">
        <v>280928</v>
      </c>
      <c r="G9" s="22" t="n">
        <v>287262</v>
      </c>
      <c r="H9" s="22" t="n">
        <v>308538</v>
      </c>
      <c r="I9" s="22"/>
      <c r="J9" s="22" t="n">
        <v>15529</v>
      </c>
      <c r="K9" s="33" t="n">
        <f aca="false">1-MIN(F9,IF(I9&gt;0,I9,F9))/E9</f>
        <v>0.350306775423739</v>
      </c>
    </row>
    <row r="10" customFormat="false" ht="15" hidden="false" customHeight="false" outlineLevel="0" collapsed="false">
      <c r="A10" s="3" t="s">
        <v>115</v>
      </c>
      <c r="B10" s="3" t="s">
        <v>109</v>
      </c>
      <c r="C10" s="3" t="n">
        <v>1</v>
      </c>
      <c r="D10" s="21" t="n">
        <v>18.09</v>
      </c>
      <c r="E10" s="22" t="n">
        <v>432401</v>
      </c>
      <c r="F10" s="22" t="n">
        <v>280928</v>
      </c>
      <c r="G10" s="22" t="n">
        <v>287262</v>
      </c>
      <c r="H10" s="22" t="n">
        <v>308538</v>
      </c>
      <c r="I10" s="22"/>
      <c r="J10" s="22" t="n">
        <v>15529</v>
      </c>
      <c r="K10" s="33" t="n">
        <f aca="false">1-MIN(F10,IF(I10&gt;0,I10,F10))/E10</f>
        <v>0.350306775423739</v>
      </c>
    </row>
    <row r="11" customFormat="false" ht="15" hidden="false" customHeight="false" outlineLevel="0" collapsed="false">
      <c r="A11" s="3" t="s">
        <v>116</v>
      </c>
      <c r="B11" s="3" t="s">
        <v>109</v>
      </c>
      <c r="C11" s="3" t="n">
        <v>2</v>
      </c>
      <c r="D11" s="21" t="n">
        <v>16.47</v>
      </c>
      <c r="E11" s="22" t="n">
        <v>393679</v>
      </c>
      <c r="F11" s="22" t="n">
        <v>255770</v>
      </c>
      <c r="G11" s="22" t="n">
        <v>261537</v>
      </c>
      <c r="H11" s="22" t="n">
        <v>280908</v>
      </c>
      <c r="I11" s="22"/>
      <c r="J11" s="22" t="n">
        <v>15529</v>
      </c>
      <c r="K11" s="33" t="n">
        <f aca="false">1-MIN(F11,IF(I11&gt;0,I11,F11))/E11</f>
        <v>0.350308246058337</v>
      </c>
    </row>
    <row r="12" customFormat="false" ht="15" hidden="false" customHeight="false" outlineLevel="0" collapsed="false">
      <c r="A12" s="3" t="s">
        <v>117</v>
      </c>
      <c r="B12" s="3" t="s">
        <v>109</v>
      </c>
      <c r="C12" s="3" t="n">
        <v>2</v>
      </c>
      <c r="D12" s="21" t="n">
        <v>17.73</v>
      </c>
      <c r="E12" s="22" t="n">
        <v>423796</v>
      </c>
      <c r="F12" s="22" t="n">
        <v>275337</v>
      </c>
      <c r="G12" s="22" t="n">
        <v>281545</v>
      </c>
      <c r="H12" s="22" t="n">
        <v>302398</v>
      </c>
      <c r="I12" s="22"/>
      <c r="J12" s="22" t="n">
        <v>15529</v>
      </c>
      <c r="K12" s="33" t="n">
        <f aca="false">1-MIN(F12,IF(I12&gt;0,I12,F12))/E12</f>
        <v>0.350307695211847</v>
      </c>
    </row>
    <row r="13" customFormat="false" ht="15" hidden="false" customHeight="false" outlineLevel="0" collapsed="false">
      <c r="A13" s="3" t="s">
        <v>118</v>
      </c>
      <c r="B13" s="3" t="s">
        <v>109</v>
      </c>
      <c r="C13" s="3" t="n">
        <v>2</v>
      </c>
      <c r="D13" s="21" t="n">
        <v>17.76</v>
      </c>
      <c r="E13" s="22" t="n">
        <v>424513</v>
      </c>
      <c r="F13" s="22" t="n">
        <v>275803</v>
      </c>
      <c r="G13" s="22" t="n">
        <v>282022</v>
      </c>
      <c r="H13" s="22" t="n">
        <v>302909</v>
      </c>
      <c r="I13" s="22"/>
      <c r="J13" s="22" t="n">
        <v>15529</v>
      </c>
      <c r="K13" s="33" t="n">
        <f aca="false">1-MIN(F13,IF(I13&gt;0,I13,F13))/E13</f>
        <v>0.350307293298438</v>
      </c>
    </row>
    <row r="14" customFormat="false" ht="15" hidden="false" customHeight="false" outlineLevel="0" collapsed="false">
      <c r="A14" s="3" t="s">
        <v>119</v>
      </c>
      <c r="B14" s="3" t="s">
        <v>109</v>
      </c>
      <c r="C14" s="3" t="n">
        <v>2</v>
      </c>
      <c r="D14" s="21" t="n">
        <v>20.72</v>
      </c>
      <c r="E14" s="22" t="n">
        <v>460712</v>
      </c>
      <c r="F14" s="22" t="n">
        <v>299321</v>
      </c>
      <c r="G14" s="22" t="n">
        <v>306070</v>
      </c>
      <c r="H14" s="22" t="n">
        <v>328739</v>
      </c>
      <c r="I14" s="22"/>
      <c r="J14" s="22" t="n">
        <v>14446</v>
      </c>
      <c r="K14" s="33" t="n">
        <f aca="false">1-MIN(F14,IF(I14&gt;0,I14,F14))/E14</f>
        <v>0.350307784472729</v>
      </c>
    </row>
    <row r="15" customFormat="false" ht="15" hidden="false" customHeight="false" outlineLevel="0" collapsed="false">
      <c r="A15" s="3" t="s">
        <v>120</v>
      </c>
      <c r="B15" s="3" t="s">
        <v>109</v>
      </c>
      <c r="C15" s="3" t="n">
        <v>2</v>
      </c>
      <c r="D15" s="21" t="n">
        <v>17.78</v>
      </c>
      <c r="E15" s="22" t="n">
        <v>424991</v>
      </c>
      <c r="F15" s="22" t="n">
        <v>276114</v>
      </c>
      <c r="G15" s="22" t="n">
        <v>282339</v>
      </c>
      <c r="H15" s="22" t="n">
        <v>303251</v>
      </c>
      <c r="I15" s="22"/>
      <c r="J15" s="22" t="n">
        <v>15529</v>
      </c>
      <c r="K15" s="33" t="n">
        <f aca="false">1-MIN(F15,IF(I15&gt;0,I15,F15))/E15</f>
        <v>0.350306241779238</v>
      </c>
    </row>
    <row r="16" customFormat="false" ht="15" hidden="false" customHeight="false" outlineLevel="0" collapsed="false">
      <c r="A16" s="3" t="s">
        <v>121</v>
      </c>
      <c r="B16" s="3" t="s">
        <v>109</v>
      </c>
      <c r="C16" s="3" t="n">
        <v>2</v>
      </c>
      <c r="D16" s="21" t="n">
        <v>17.73</v>
      </c>
      <c r="E16" s="22" t="n">
        <v>423796</v>
      </c>
      <c r="F16" s="22" t="n">
        <v>275337</v>
      </c>
      <c r="G16" s="22" t="n">
        <v>281545</v>
      </c>
      <c r="H16" s="22" t="n">
        <v>302398</v>
      </c>
      <c r="I16" s="22"/>
      <c r="J16" s="22" t="n">
        <v>15529</v>
      </c>
      <c r="K16" s="33" t="n">
        <f aca="false">1-MIN(F16,IF(I16&gt;0,I16,F16))/E16</f>
        <v>0.350307695211847</v>
      </c>
    </row>
    <row r="17" customFormat="false" ht="15" hidden="false" customHeight="false" outlineLevel="0" collapsed="false">
      <c r="A17" s="3" t="s">
        <v>122</v>
      </c>
      <c r="B17" s="3" t="s">
        <v>109</v>
      </c>
      <c r="C17" s="3" t="n">
        <v>2</v>
      </c>
      <c r="D17" s="21" t="n">
        <v>18.09</v>
      </c>
      <c r="E17" s="22" t="n">
        <v>432401</v>
      </c>
      <c r="F17" s="22" t="n">
        <v>280928</v>
      </c>
      <c r="G17" s="22" t="n">
        <v>287262</v>
      </c>
      <c r="H17" s="22" t="n">
        <v>308538</v>
      </c>
      <c r="I17" s="22"/>
      <c r="J17" s="22" t="n">
        <v>15529</v>
      </c>
      <c r="K17" s="33" t="n">
        <f aca="false">1-MIN(F17,IF(I17&gt;0,I17,F17))/E17</f>
        <v>0.350306775423739</v>
      </c>
    </row>
    <row r="18" customFormat="false" ht="15" hidden="false" customHeight="false" outlineLevel="0" collapsed="false">
      <c r="A18" s="3" t="s">
        <v>123</v>
      </c>
      <c r="B18" s="3" t="s">
        <v>109</v>
      </c>
      <c r="C18" s="3" t="n">
        <v>2</v>
      </c>
      <c r="D18" s="21" t="n">
        <v>18.09</v>
      </c>
      <c r="E18" s="22" t="n">
        <v>432401</v>
      </c>
      <c r="F18" s="22" t="n">
        <v>280928</v>
      </c>
      <c r="G18" s="22" t="n">
        <v>287262</v>
      </c>
      <c r="H18" s="22" t="n">
        <v>308538</v>
      </c>
      <c r="I18" s="22"/>
      <c r="J18" s="22" t="n">
        <v>15529</v>
      </c>
      <c r="K18" s="33" t="n">
        <f aca="false">1-MIN(F18,IF(I18&gt;0,I18,F18))/E18</f>
        <v>0.350306775423739</v>
      </c>
    </row>
    <row r="19" customFormat="false" ht="15" hidden="false" customHeight="false" outlineLevel="0" collapsed="false">
      <c r="A19" s="3" t="s">
        <v>124</v>
      </c>
      <c r="B19" s="3" t="s">
        <v>109</v>
      </c>
      <c r="C19" s="3" t="n">
        <v>3</v>
      </c>
      <c r="D19" s="21" t="n">
        <v>17.08</v>
      </c>
      <c r="E19" s="22" t="n">
        <v>408260</v>
      </c>
      <c r="F19" s="22" t="n">
        <v>265243</v>
      </c>
      <c r="G19" s="22" t="n">
        <v>271223</v>
      </c>
      <c r="H19" s="22" t="n">
        <v>291312</v>
      </c>
      <c r="I19" s="22" t="n">
        <v>250000</v>
      </c>
      <c r="J19" s="22" t="n">
        <v>14637</v>
      </c>
      <c r="K19" s="33" t="n">
        <f aca="false">1-MIN(F19,IF(I19&gt;0,I19,F19))/E19</f>
        <v>0.387645128104639</v>
      </c>
    </row>
    <row r="20" customFormat="false" ht="15" hidden="false" customHeight="false" outlineLevel="0" collapsed="false">
      <c r="A20" s="3" t="s">
        <v>125</v>
      </c>
      <c r="B20" s="3" t="s">
        <v>109</v>
      </c>
      <c r="C20" s="3" t="n">
        <v>3</v>
      </c>
      <c r="D20" s="21" t="n">
        <v>16.47</v>
      </c>
      <c r="E20" s="22" t="n">
        <v>393679</v>
      </c>
      <c r="F20" s="22" t="n">
        <v>255770</v>
      </c>
      <c r="G20" s="22" t="n">
        <v>261537</v>
      </c>
      <c r="H20" s="22" t="n">
        <v>280908</v>
      </c>
      <c r="I20" s="22" t="n">
        <v>250000</v>
      </c>
      <c r="J20" s="22" t="n">
        <v>15179</v>
      </c>
      <c r="K20" s="33" t="n">
        <f aca="false">1-MIN(F20,IF(I20&gt;0,I20,F20))/E20</f>
        <v>0.364964857155195</v>
      </c>
    </row>
    <row r="21" customFormat="false" ht="15" hidden="false" customHeight="false" outlineLevel="0" collapsed="false">
      <c r="A21" s="3" t="s">
        <v>126</v>
      </c>
      <c r="B21" s="3" t="s">
        <v>109</v>
      </c>
      <c r="C21" s="3" t="n">
        <v>3</v>
      </c>
      <c r="D21" s="21" t="n">
        <v>17.73</v>
      </c>
      <c r="E21" s="22" t="n">
        <v>423796</v>
      </c>
      <c r="F21" s="22" t="n">
        <v>275337</v>
      </c>
      <c r="G21" s="22" t="n">
        <v>281545</v>
      </c>
      <c r="H21" s="22" t="n">
        <v>302398</v>
      </c>
      <c r="I21" s="22" t="n">
        <v>250000</v>
      </c>
      <c r="J21" s="22" t="n">
        <v>14100</v>
      </c>
      <c r="K21" s="33" t="n">
        <f aca="false">1-MIN(F21,IF(I21&gt;0,I21,F21))/E21</f>
        <v>0.410093535569</v>
      </c>
    </row>
    <row r="22" customFormat="false" ht="15" hidden="false" customHeight="false" outlineLevel="0" collapsed="false">
      <c r="A22" s="3" t="s">
        <v>127</v>
      </c>
      <c r="B22" s="3" t="s">
        <v>109</v>
      </c>
      <c r="C22" s="3" t="n">
        <v>3</v>
      </c>
      <c r="D22" s="21" t="n">
        <v>17.76</v>
      </c>
      <c r="E22" s="22" t="n">
        <v>424513</v>
      </c>
      <c r="F22" s="22" t="n">
        <v>275803</v>
      </c>
      <c r="G22" s="22" t="n">
        <v>282022</v>
      </c>
      <c r="H22" s="22" t="n">
        <v>302909</v>
      </c>
      <c r="I22" s="22" t="n">
        <v>250000</v>
      </c>
      <c r="J22" s="22" t="n">
        <v>14077</v>
      </c>
      <c r="K22" s="33" t="n">
        <f aca="false">1-MIN(F22,IF(I22&gt;0,I22,F22))/E22</f>
        <v>0.411089884173158</v>
      </c>
    </row>
    <row r="23" customFormat="false" ht="15" hidden="false" customHeight="false" outlineLevel="0" collapsed="false">
      <c r="A23" s="3" t="s">
        <v>128</v>
      </c>
      <c r="B23" s="3" t="s">
        <v>109</v>
      </c>
      <c r="C23" s="3" t="n">
        <v>3</v>
      </c>
      <c r="D23" s="21" t="n">
        <v>17.78</v>
      </c>
      <c r="E23" s="22" t="n">
        <v>424991</v>
      </c>
      <c r="F23" s="22" t="n">
        <v>276114</v>
      </c>
      <c r="G23" s="22" t="n">
        <v>282339</v>
      </c>
      <c r="H23" s="22" t="n">
        <v>303251</v>
      </c>
      <c r="I23" s="22" t="n">
        <v>250000</v>
      </c>
      <c r="J23" s="22" t="n">
        <v>14061</v>
      </c>
      <c r="K23" s="33" t="n">
        <f aca="false">1-MIN(F23,IF(I23&gt;0,I23,F23))/E23</f>
        <v>0.411752248871153</v>
      </c>
    </row>
    <row r="24" customFormat="false" ht="15" hidden="false" customHeight="false" outlineLevel="0" collapsed="false">
      <c r="A24" s="3" t="s">
        <v>129</v>
      </c>
      <c r="B24" s="3" t="s">
        <v>109</v>
      </c>
      <c r="C24" s="3" t="n">
        <v>3</v>
      </c>
      <c r="D24" s="21" t="n">
        <v>17.73</v>
      </c>
      <c r="E24" s="22" t="n">
        <v>423796</v>
      </c>
      <c r="F24" s="22" t="n">
        <v>275337</v>
      </c>
      <c r="G24" s="22" t="n">
        <v>281545</v>
      </c>
      <c r="H24" s="22" t="n">
        <v>302398</v>
      </c>
      <c r="I24" s="22" t="n">
        <v>250000</v>
      </c>
      <c r="J24" s="22" t="n">
        <v>14100</v>
      </c>
      <c r="K24" s="33" t="n">
        <f aca="false">1-MIN(F24,IF(I24&gt;0,I24,F24))/E24</f>
        <v>0.410093535569</v>
      </c>
    </row>
    <row r="25" customFormat="false" ht="15" hidden="false" customHeight="false" outlineLevel="0" collapsed="false">
      <c r="A25" s="3" t="s">
        <v>35</v>
      </c>
      <c r="B25" s="3" t="s">
        <v>109</v>
      </c>
      <c r="C25" s="3" t="n">
        <v>3</v>
      </c>
      <c r="D25" s="21" t="n">
        <v>18.09</v>
      </c>
      <c r="E25" s="22" t="n">
        <v>432401</v>
      </c>
      <c r="F25" s="22" t="n">
        <v>280928</v>
      </c>
      <c r="G25" s="22" t="n">
        <v>287262</v>
      </c>
      <c r="H25" s="22" t="n">
        <v>308538</v>
      </c>
      <c r="I25" s="22" t="n">
        <v>250000</v>
      </c>
      <c r="J25" s="22" t="n">
        <v>13820</v>
      </c>
      <c r="K25" s="33" t="n">
        <f aca="false">1-MIN(F25,IF(I25&gt;0,I25,F25))/E25</f>
        <v>0.421832974484333</v>
      </c>
    </row>
    <row r="26" customFormat="false" ht="15" hidden="false" customHeight="false" outlineLevel="0" collapsed="false">
      <c r="A26" s="3" t="s">
        <v>130</v>
      </c>
      <c r="B26" s="3" t="s">
        <v>109</v>
      </c>
      <c r="C26" s="3" t="n">
        <v>3</v>
      </c>
      <c r="D26" s="21" t="n">
        <v>18.09</v>
      </c>
      <c r="E26" s="22" t="n">
        <v>432401</v>
      </c>
      <c r="F26" s="22" t="n">
        <v>280928</v>
      </c>
      <c r="G26" s="22" t="n">
        <v>287262</v>
      </c>
      <c r="H26" s="22" t="n">
        <v>308538</v>
      </c>
      <c r="I26" s="22" t="n">
        <v>250000</v>
      </c>
      <c r="J26" s="22" t="n">
        <v>13820</v>
      </c>
      <c r="K26" s="33" t="n">
        <f aca="false">1-MIN(F26,IF(I26&gt;0,I26,F26))/E26</f>
        <v>0.421832974484333</v>
      </c>
    </row>
    <row r="27" customFormat="false" ht="15" hidden="false" customHeight="false" outlineLevel="0" collapsed="false">
      <c r="A27" s="3" t="s">
        <v>131</v>
      </c>
      <c r="B27" s="3" t="s">
        <v>109</v>
      </c>
      <c r="C27" s="3" t="n">
        <v>4</v>
      </c>
      <c r="D27" s="21" t="n">
        <v>17.08</v>
      </c>
      <c r="E27" s="22" t="n">
        <v>408260</v>
      </c>
      <c r="F27" s="22" t="n">
        <v>265243</v>
      </c>
      <c r="G27" s="22" t="n">
        <v>271223</v>
      </c>
      <c r="H27" s="22" t="n">
        <v>291312</v>
      </c>
      <c r="I27" s="22" t="n">
        <v>250000</v>
      </c>
      <c r="J27" s="22" t="n">
        <v>14637</v>
      </c>
      <c r="K27" s="33" t="n">
        <f aca="false">1-MIN(F27,IF(I27&gt;0,I27,F27))/E27</f>
        <v>0.387645128104639</v>
      </c>
    </row>
    <row r="28" customFormat="false" ht="15" hidden="false" customHeight="false" outlineLevel="0" collapsed="false">
      <c r="A28" s="3" t="s">
        <v>132</v>
      </c>
      <c r="B28" s="3" t="s">
        <v>109</v>
      </c>
      <c r="C28" s="3" t="n">
        <v>4</v>
      </c>
      <c r="D28" s="21" t="n">
        <v>17.73</v>
      </c>
      <c r="E28" s="22" t="n">
        <v>423796</v>
      </c>
      <c r="F28" s="22" t="n">
        <v>275337</v>
      </c>
      <c r="G28" s="22" t="n">
        <v>281545</v>
      </c>
      <c r="H28" s="22" t="n">
        <v>302398</v>
      </c>
      <c r="I28" s="22" t="n">
        <v>250000</v>
      </c>
      <c r="J28" s="22" t="n">
        <v>14100</v>
      </c>
      <c r="K28" s="33" t="n">
        <f aca="false">1-MIN(F28,IF(I28&gt;0,I28,F28))/E28</f>
        <v>0.410093535569</v>
      </c>
    </row>
    <row r="29" customFormat="false" ht="15" hidden="false" customHeight="false" outlineLevel="0" collapsed="false">
      <c r="A29" s="3" t="s">
        <v>133</v>
      </c>
      <c r="B29" s="3" t="s">
        <v>109</v>
      </c>
      <c r="C29" s="3" t="n">
        <v>4</v>
      </c>
      <c r="D29" s="21" t="n">
        <v>20.72</v>
      </c>
      <c r="E29" s="22" t="n">
        <v>460712</v>
      </c>
      <c r="F29" s="22" t="n">
        <v>299321</v>
      </c>
      <c r="G29" s="22" t="n">
        <v>306070</v>
      </c>
      <c r="H29" s="22" t="n">
        <v>328739</v>
      </c>
      <c r="I29" s="22"/>
      <c r="J29" s="22" t="n">
        <v>14446</v>
      </c>
      <c r="K29" s="33" t="n">
        <f aca="false">1-MIN(F29,IF(I29&gt;0,I29,F29))/E29</f>
        <v>0.350307784472729</v>
      </c>
    </row>
    <row r="30" customFormat="false" ht="15" hidden="false" customHeight="false" outlineLevel="0" collapsed="false">
      <c r="A30" s="3" t="s">
        <v>134</v>
      </c>
      <c r="B30" s="3" t="s">
        <v>109</v>
      </c>
      <c r="C30" s="3" t="n">
        <v>4</v>
      </c>
      <c r="D30" s="21" t="n">
        <v>17.78</v>
      </c>
      <c r="E30" s="22" t="n">
        <v>424991</v>
      </c>
      <c r="F30" s="22" t="n">
        <v>276114</v>
      </c>
      <c r="G30" s="22" t="n">
        <v>282339</v>
      </c>
      <c r="H30" s="22" t="n">
        <v>303251</v>
      </c>
      <c r="I30" s="22" t="n">
        <v>250000</v>
      </c>
      <c r="J30" s="22" t="n">
        <v>14061</v>
      </c>
      <c r="K30" s="33" t="n">
        <f aca="false">1-MIN(F30,IF(I30&gt;0,I30,F30))/E30</f>
        <v>0.411752248871153</v>
      </c>
    </row>
    <row r="31" customFormat="false" ht="15" hidden="false" customHeight="false" outlineLevel="0" collapsed="false">
      <c r="A31" s="3" t="s">
        <v>135</v>
      </c>
      <c r="B31" s="3" t="s">
        <v>109</v>
      </c>
      <c r="C31" s="3" t="n">
        <v>4</v>
      </c>
      <c r="D31" s="21" t="n">
        <v>18.09</v>
      </c>
      <c r="E31" s="22" t="n">
        <v>432401</v>
      </c>
      <c r="F31" s="22" t="n">
        <v>280928</v>
      </c>
      <c r="G31" s="22" t="n">
        <v>287262</v>
      </c>
      <c r="H31" s="22" t="n">
        <v>308538</v>
      </c>
      <c r="I31" s="22" t="n">
        <v>250000</v>
      </c>
      <c r="J31" s="22" t="n">
        <v>13820</v>
      </c>
      <c r="K31" s="33" t="n">
        <f aca="false">1-MIN(F31,IF(I31&gt;0,I31,F31))/E31</f>
        <v>0.421832974484333</v>
      </c>
    </row>
    <row r="32" customFormat="false" ht="15" hidden="false" customHeight="false" outlineLevel="0" collapsed="false">
      <c r="A32" s="3" t="s">
        <v>136</v>
      </c>
      <c r="B32" s="3" t="s">
        <v>109</v>
      </c>
      <c r="C32" s="3" t="n">
        <v>4</v>
      </c>
      <c r="D32" s="21" t="n">
        <v>18.09</v>
      </c>
      <c r="E32" s="22" t="n">
        <v>432401</v>
      </c>
      <c r="F32" s="22" t="n">
        <v>280928</v>
      </c>
      <c r="G32" s="22" t="n">
        <v>287262</v>
      </c>
      <c r="H32" s="22" t="n">
        <v>308538</v>
      </c>
      <c r="I32" s="22" t="n">
        <v>250000</v>
      </c>
      <c r="J32" s="22" t="n">
        <v>13820</v>
      </c>
      <c r="K32" s="33" t="n">
        <f aca="false">1-MIN(F32,IF(I32&gt;0,I32,F32))/E32</f>
        <v>0.421832974484333</v>
      </c>
    </row>
    <row r="33" customFormat="false" ht="15" hidden="false" customHeight="false" outlineLevel="0" collapsed="false">
      <c r="A33" s="3" t="s">
        <v>137</v>
      </c>
      <c r="B33" s="3" t="s">
        <v>109</v>
      </c>
      <c r="C33" s="3" t="n">
        <v>5</v>
      </c>
      <c r="D33" s="21" t="n">
        <v>17.08</v>
      </c>
      <c r="E33" s="22" t="n">
        <v>415115</v>
      </c>
      <c r="F33" s="22" t="n">
        <v>269697</v>
      </c>
      <c r="G33" s="22" t="n">
        <v>275778</v>
      </c>
      <c r="H33" s="22" t="n">
        <v>296203</v>
      </c>
      <c r="I33" s="22" t="n">
        <v>250000</v>
      </c>
      <c r="J33" s="22" t="n">
        <v>14637</v>
      </c>
      <c r="K33" s="33" t="n">
        <f aca="false">1-MIN(F33,IF(I33&gt;0,I33,F33))/E33</f>
        <v>0.39775724799152</v>
      </c>
    </row>
    <row r="34" customFormat="false" ht="15" hidden="false" customHeight="false" outlineLevel="0" collapsed="false">
      <c r="A34" s="3" t="s">
        <v>138</v>
      </c>
      <c r="B34" s="3" t="s">
        <v>109</v>
      </c>
      <c r="C34" s="3" t="n">
        <v>5</v>
      </c>
      <c r="D34" s="21" t="n">
        <v>16.47</v>
      </c>
      <c r="E34" s="22" t="n">
        <v>400289</v>
      </c>
      <c r="F34" s="22" t="n">
        <v>260065</v>
      </c>
      <c r="G34" s="22" t="n">
        <v>265928</v>
      </c>
      <c r="H34" s="22" t="n">
        <v>285624</v>
      </c>
      <c r="I34" s="22"/>
      <c r="J34" s="22" t="n">
        <v>15790</v>
      </c>
      <c r="K34" s="33" t="n">
        <f aca="false">1-MIN(F34,IF(I34&gt;0,I34,F34))/E34</f>
        <v>0.350306903262393</v>
      </c>
    </row>
    <row r="35" customFormat="false" ht="15" hidden="false" customHeight="false" outlineLevel="0" collapsed="false">
      <c r="A35" s="3" t="s">
        <v>139</v>
      </c>
      <c r="B35" s="3" t="s">
        <v>109</v>
      </c>
      <c r="C35" s="3" t="n">
        <v>5</v>
      </c>
      <c r="D35" s="21" t="n">
        <v>17.76</v>
      </c>
      <c r="E35" s="22" t="n">
        <v>431642</v>
      </c>
      <c r="F35" s="22" t="n">
        <v>280434</v>
      </c>
      <c r="G35" s="22" t="n">
        <v>286757</v>
      </c>
      <c r="H35" s="22" t="n">
        <v>307996</v>
      </c>
      <c r="I35" s="22" t="n">
        <v>250000</v>
      </c>
      <c r="J35" s="22" t="n">
        <v>14077</v>
      </c>
      <c r="K35" s="33" t="n">
        <f aca="false">1-MIN(F35,IF(I35&gt;0,I35,F35))/E35</f>
        <v>0.4208163246394</v>
      </c>
    </row>
    <row r="36" customFormat="false" ht="15" hidden="false" customHeight="false" outlineLevel="0" collapsed="false">
      <c r="A36" s="3" t="s">
        <v>140</v>
      </c>
      <c r="B36" s="3" t="s">
        <v>109</v>
      </c>
      <c r="C36" s="3" t="n">
        <v>5</v>
      </c>
      <c r="D36" s="21" t="n">
        <v>20.72</v>
      </c>
      <c r="E36" s="22" t="n">
        <v>468448</v>
      </c>
      <c r="F36" s="22" t="n">
        <v>304347</v>
      </c>
      <c r="G36" s="22" t="n">
        <v>311209</v>
      </c>
      <c r="H36" s="22" t="n">
        <v>334259</v>
      </c>
      <c r="I36" s="22" t="n">
        <v>250000</v>
      </c>
      <c r="J36" s="22" t="n">
        <v>12066</v>
      </c>
      <c r="K36" s="33" t="n">
        <f aca="false">1-MIN(F36,IF(I36&gt;0,I36,F36))/E36</f>
        <v>0.466322836259307</v>
      </c>
    </row>
    <row r="37" customFormat="false" ht="15" hidden="false" customHeight="false" outlineLevel="0" collapsed="false">
      <c r="A37" s="3" t="s">
        <v>141</v>
      </c>
      <c r="B37" s="3" t="s">
        <v>109</v>
      </c>
      <c r="C37" s="3" t="n">
        <v>5</v>
      </c>
      <c r="D37" s="21" t="n">
        <v>17.73</v>
      </c>
      <c r="E37" s="22" t="n">
        <v>430912</v>
      </c>
      <c r="F37" s="22" t="n">
        <v>279961</v>
      </c>
      <c r="G37" s="22" t="n">
        <v>286273</v>
      </c>
      <c r="H37" s="22" t="n">
        <v>307475</v>
      </c>
      <c r="I37" s="22" t="n">
        <v>250000</v>
      </c>
      <c r="J37" s="22" t="n">
        <v>14100</v>
      </c>
      <c r="K37" s="33" t="n">
        <f aca="false">1-MIN(F37,IF(I37&gt;0,I37,F37))/E37</f>
        <v>0.419835140353483</v>
      </c>
    </row>
    <row r="38" customFormat="false" ht="15" hidden="false" customHeight="false" outlineLevel="0" collapsed="false">
      <c r="A38" s="3" t="s">
        <v>142</v>
      </c>
      <c r="B38" s="3" t="s">
        <v>109</v>
      </c>
      <c r="C38" s="3" t="n">
        <v>5</v>
      </c>
      <c r="D38" s="21" t="n">
        <v>18.09</v>
      </c>
      <c r="E38" s="22" t="n">
        <v>439662</v>
      </c>
      <c r="F38" s="22" t="n">
        <v>285645</v>
      </c>
      <c r="G38" s="22" t="n">
        <v>292085</v>
      </c>
      <c r="H38" s="22" t="n">
        <v>313719</v>
      </c>
      <c r="I38" s="22" t="n">
        <v>250000</v>
      </c>
      <c r="J38" s="22" t="n">
        <v>13820</v>
      </c>
      <c r="K38" s="33" t="n">
        <f aca="false">1-MIN(F38,IF(I38&gt;0,I38,F38))/E38</f>
        <v>0.431381379332305</v>
      </c>
    </row>
    <row r="39" customFormat="false" ht="15" hidden="false" customHeight="false" outlineLevel="0" collapsed="false">
      <c r="A39" s="3" t="s">
        <v>143</v>
      </c>
      <c r="B39" s="3" t="s">
        <v>109</v>
      </c>
      <c r="C39" s="3" t="n">
        <v>6</v>
      </c>
      <c r="D39" s="21" t="n">
        <v>16.47</v>
      </c>
      <c r="E39" s="22" t="n">
        <v>400289</v>
      </c>
      <c r="F39" s="22" t="n">
        <v>260065</v>
      </c>
      <c r="G39" s="22" t="n">
        <v>265928</v>
      </c>
      <c r="H39" s="22" t="n">
        <v>285624</v>
      </c>
      <c r="I39" s="22" t="n">
        <v>250000</v>
      </c>
      <c r="J39" s="22" t="n">
        <v>15179</v>
      </c>
      <c r="K39" s="33" t="n">
        <f aca="false">1-MIN(F39,IF(I39&gt;0,I39,F39))/E39</f>
        <v>0.375451236481642</v>
      </c>
    </row>
    <row r="40" customFormat="false" ht="15" hidden="false" customHeight="false" outlineLevel="0" collapsed="false">
      <c r="A40" s="3" t="s">
        <v>144</v>
      </c>
      <c r="B40" s="3" t="s">
        <v>109</v>
      </c>
      <c r="C40" s="3" t="n">
        <v>6</v>
      </c>
      <c r="D40" s="21" t="n">
        <v>20.72</v>
      </c>
      <c r="E40" s="22" t="n">
        <v>468448</v>
      </c>
      <c r="F40" s="22" t="n">
        <v>304347</v>
      </c>
      <c r="G40" s="22" t="n">
        <v>311209</v>
      </c>
      <c r="H40" s="22" t="n">
        <v>334259</v>
      </c>
      <c r="I40" s="22"/>
      <c r="J40" s="22" t="n">
        <v>14689</v>
      </c>
      <c r="K40" s="33" t="n">
        <f aca="false">1-MIN(F40,IF(I40&gt;0,I40,F40))/E40</f>
        <v>0.350307824988046</v>
      </c>
    </row>
    <row r="41" customFormat="false" ht="15" hidden="false" customHeight="false" outlineLevel="0" collapsed="false">
      <c r="A41" s="3" t="s">
        <v>145</v>
      </c>
      <c r="B41" s="3" t="s">
        <v>109</v>
      </c>
      <c r="C41" s="3" t="n">
        <v>6</v>
      </c>
      <c r="D41" s="21" t="n">
        <v>17.73</v>
      </c>
      <c r="E41" s="22" t="n">
        <v>430912</v>
      </c>
      <c r="F41" s="22" t="n">
        <v>279961</v>
      </c>
      <c r="G41" s="22" t="n">
        <v>286273</v>
      </c>
      <c r="H41" s="22" t="n">
        <v>307475</v>
      </c>
      <c r="I41" s="22" t="n">
        <v>250000</v>
      </c>
      <c r="J41" s="22" t="n">
        <v>14100</v>
      </c>
      <c r="K41" s="33" t="n">
        <f aca="false">1-MIN(F41,IF(I41&gt;0,I41,F41))/E41</f>
        <v>0.419835140353483</v>
      </c>
    </row>
    <row r="42" customFormat="false" ht="15" hidden="false" customHeight="false" outlineLevel="0" collapsed="false">
      <c r="A42" s="3" t="s">
        <v>146</v>
      </c>
      <c r="B42" s="3" t="s">
        <v>109</v>
      </c>
      <c r="C42" s="3" t="n">
        <v>7</v>
      </c>
      <c r="D42" s="21" t="n">
        <v>17.73</v>
      </c>
      <c r="E42" s="22" t="n">
        <v>430912</v>
      </c>
      <c r="F42" s="22" t="n">
        <v>279961</v>
      </c>
      <c r="G42" s="22" t="n">
        <v>286273</v>
      </c>
      <c r="H42" s="22" t="n">
        <v>307475</v>
      </c>
      <c r="I42" s="22"/>
      <c r="J42" s="22" t="n">
        <v>15790</v>
      </c>
      <c r="K42" s="33" t="n">
        <f aca="false">1-MIN(F42,IF(I42&gt;0,I42,F42))/E42</f>
        <v>0.350305862914006</v>
      </c>
    </row>
    <row r="43" customFormat="false" ht="15" hidden="false" customHeight="false" outlineLevel="0" collapsed="false">
      <c r="A43" s="3" t="s">
        <v>147</v>
      </c>
      <c r="B43" s="3" t="s">
        <v>109</v>
      </c>
      <c r="C43" s="3" t="n">
        <v>7</v>
      </c>
      <c r="D43" s="21" t="n">
        <v>20.72</v>
      </c>
      <c r="E43" s="22" t="n">
        <v>468448</v>
      </c>
      <c r="F43" s="22" t="n">
        <v>304347</v>
      </c>
      <c r="G43" s="22" t="n">
        <v>311209</v>
      </c>
      <c r="H43" s="22" t="n">
        <v>334259</v>
      </c>
      <c r="I43" s="22"/>
      <c r="J43" s="22" t="n">
        <v>14689</v>
      </c>
      <c r="K43" s="33" t="n">
        <f aca="false">1-MIN(F43,IF(I43&gt;0,I43,F43))/E43</f>
        <v>0.350307824988046</v>
      </c>
    </row>
    <row r="44" customFormat="false" ht="15" hidden="false" customHeight="false" outlineLevel="0" collapsed="false">
      <c r="A44" s="3" t="s">
        <v>148</v>
      </c>
      <c r="B44" s="3" t="s">
        <v>109</v>
      </c>
      <c r="C44" s="3" t="n">
        <v>7</v>
      </c>
      <c r="D44" s="21" t="n">
        <v>17.78</v>
      </c>
      <c r="E44" s="22" t="n">
        <v>432128</v>
      </c>
      <c r="F44" s="22" t="n">
        <v>280750</v>
      </c>
      <c r="G44" s="22" t="n">
        <v>287080</v>
      </c>
      <c r="H44" s="22" t="n">
        <v>308342</v>
      </c>
      <c r="I44" s="22"/>
      <c r="J44" s="22" t="n">
        <v>15790</v>
      </c>
      <c r="K44" s="33" t="n">
        <f aca="false">1-MIN(F44,IF(I44&gt;0,I44,F44))/E44</f>
        <v>0.35030824200237</v>
      </c>
    </row>
    <row r="45" customFormat="false" ht="15" hidden="false" customHeight="false" outlineLevel="0" collapsed="false">
      <c r="A45" s="3" t="s">
        <v>149</v>
      </c>
      <c r="B45" s="3" t="s">
        <v>109</v>
      </c>
      <c r="C45" s="3" t="n">
        <v>8</v>
      </c>
      <c r="D45" s="21" t="n">
        <v>17.76</v>
      </c>
      <c r="E45" s="22" t="n">
        <v>431642</v>
      </c>
      <c r="F45" s="22" t="n">
        <v>280434</v>
      </c>
      <c r="G45" s="22" t="n">
        <v>286757</v>
      </c>
      <c r="H45" s="22" t="n">
        <v>307996</v>
      </c>
      <c r="I45" s="22"/>
      <c r="J45" s="22" t="n">
        <v>15790</v>
      </c>
      <c r="K45" s="33" t="n">
        <f aca="false">1-MIN(F45,IF(I45&gt;0,I45,F45))/E45</f>
        <v>0.350308820735702</v>
      </c>
    </row>
    <row r="46" customFormat="false" ht="15" hidden="false" customHeight="false" outlineLevel="0" collapsed="false">
      <c r="A46" s="3" t="s">
        <v>150</v>
      </c>
      <c r="B46" s="3" t="s">
        <v>109</v>
      </c>
      <c r="C46" s="3" t="n">
        <v>8</v>
      </c>
      <c r="D46" s="21" t="n">
        <v>18.09</v>
      </c>
      <c r="E46" s="22" t="n">
        <v>439662</v>
      </c>
      <c r="F46" s="22" t="n">
        <v>285645</v>
      </c>
      <c r="G46" s="22" t="n">
        <v>292085</v>
      </c>
      <c r="H46" s="22" t="n">
        <v>313719</v>
      </c>
      <c r="I46" s="22"/>
      <c r="J46" s="22" t="n">
        <v>15790</v>
      </c>
      <c r="K46" s="33" t="n">
        <f aca="false">1-MIN(F46,IF(I46&gt;0,I46,F46))/E46</f>
        <v>0.350307736397505</v>
      </c>
    </row>
    <row r="47" customFormat="false" ht="15" hidden="false" customHeight="false" outlineLevel="0" collapsed="false">
      <c r="A47" s="3" t="s">
        <v>151</v>
      </c>
      <c r="B47" s="3" t="s">
        <v>109</v>
      </c>
      <c r="C47" s="3" t="n">
        <v>9</v>
      </c>
      <c r="D47" s="21" t="n">
        <v>16.47</v>
      </c>
      <c r="E47" s="22" t="n">
        <v>406900</v>
      </c>
      <c r="F47" s="22" t="n">
        <v>264360</v>
      </c>
      <c r="G47" s="22" t="n">
        <v>270320</v>
      </c>
      <c r="H47" s="22" t="n">
        <v>290341</v>
      </c>
      <c r="I47" s="22"/>
      <c r="J47" s="22" t="n">
        <v>16051</v>
      </c>
      <c r="K47" s="33" t="n">
        <f aca="false">1-MIN(F47,IF(I47&gt;0,I47,F47))/E47</f>
        <v>0.350307200786434</v>
      </c>
    </row>
    <row r="48" customFormat="false" ht="15" hidden="false" customHeight="false" outlineLevel="0" collapsed="false">
      <c r="A48" s="3" t="s">
        <v>152</v>
      </c>
      <c r="B48" s="3" t="s">
        <v>109</v>
      </c>
      <c r="C48" s="3" t="n">
        <v>9</v>
      </c>
      <c r="D48" s="21" t="n">
        <v>17.76</v>
      </c>
      <c r="E48" s="22" t="n">
        <v>438770</v>
      </c>
      <c r="F48" s="22" t="n">
        <v>285065</v>
      </c>
      <c r="G48" s="22" t="n">
        <v>291493</v>
      </c>
      <c r="H48" s="22" t="n">
        <v>313082</v>
      </c>
      <c r="I48" s="22"/>
      <c r="J48" s="22" t="n">
        <v>16051</v>
      </c>
      <c r="K48" s="33" t="n">
        <f aca="false">1-MIN(F48,IF(I48&gt;0,I48,F48))/E48</f>
        <v>0.350308817831666</v>
      </c>
    </row>
    <row r="49" customFormat="false" ht="15" hidden="false" customHeight="false" outlineLevel="0" collapsed="false">
      <c r="A49" s="3" t="s">
        <v>153</v>
      </c>
      <c r="B49" s="3" t="s">
        <v>109</v>
      </c>
      <c r="C49" s="3" t="n">
        <v>10</v>
      </c>
      <c r="D49" s="21" t="n">
        <v>16.47</v>
      </c>
      <c r="E49" s="22" t="n">
        <v>406900</v>
      </c>
      <c r="F49" s="22" t="n">
        <v>264360</v>
      </c>
      <c r="G49" s="22" t="n">
        <v>270320</v>
      </c>
      <c r="H49" s="22" t="n">
        <v>290341</v>
      </c>
      <c r="I49" s="22"/>
      <c r="J49" s="22" t="n">
        <v>16051</v>
      </c>
      <c r="K49" s="33" t="n">
        <f aca="false">1-MIN(F49,IF(I49&gt;0,I49,F49))/E49</f>
        <v>0.350307200786434</v>
      </c>
    </row>
    <row r="50" customFormat="false" ht="15" hidden="false" customHeight="false" outlineLevel="0" collapsed="false">
      <c r="A50" s="3" t="s">
        <v>154</v>
      </c>
      <c r="B50" s="3" t="s">
        <v>109</v>
      </c>
      <c r="C50" s="3" t="n">
        <v>10</v>
      </c>
      <c r="D50" s="21" t="n">
        <v>17.73</v>
      </c>
      <c r="E50" s="22" t="n">
        <v>438029</v>
      </c>
      <c r="F50" s="22" t="n">
        <v>284584</v>
      </c>
      <c r="G50" s="22" t="n">
        <v>291000</v>
      </c>
      <c r="H50" s="22" t="n">
        <v>312553</v>
      </c>
      <c r="I50" s="22"/>
      <c r="J50" s="22" t="n">
        <v>16051</v>
      </c>
      <c r="K50" s="33" t="n">
        <f aca="false">1-MIN(F50,IF(I50&gt;0,I50,F50))/E50</f>
        <v>0.350307856329147</v>
      </c>
    </row>
    <row r="51" customFormat="false" ht="15" hidden="false" customHeight="false" outlineLevel="0" collapsed="false">
      <c r="A51" s="3" t="s">
        <v>155</v>
      </c>
      <c r="B51" s="3" t="s">
        <v>109</v>
      </c>
      <c r="C51" s="3" t="n">
        <v>10</v>
      </c>
      <c r="D51" s="21" t="n">
        <v>17.76</v>
      </c>
      <c r="E51" s="22" t="n">
        <v>438770</v>
      </c>
      <c r="F51" s="22" t="n">
        <v>285065</v>
      </c>
      <c r="G51" s="22" t="n">
        <v>291493</v>
      </c>
      <c r="H51" s="22" t="n">
        <v>313082</v>
      </c>
      <c r="I51" s="22"/>
      <c r="J51" s="22" t="n">
        <v>16051</v>
      </c>
      <c r="K51" s="33" t="n">
        <f aca="false">1-MIN(F51,IF(I51&gt;0,I51,F51))/E51</f>
        <v>0.350308817831666</v>
      </c>
    </row>
    <row r="52" customFormat="false" ht="15" hidden="false" customHeight="false" outlineLevel="0" collapsed="false">
      <c r="A52" s="3" t="s">
        <v>156</v>
      </c>
      <c r="B52" s="3" t="s">
        <v>109</v>
      </c>
      <c r="C52" s="3" t="n">
        <v>10</v>
      </c>
      <c r="D52" s="21" t="n">
        <v>17.78</v>
      </c>
      <c r="E52" s="22" t="n">
        <v>439264</v>
      </c>
      <c r="F52" s="22" t="n">
        <v>285386</v>
      </c>
      <c r="G52" s="22" t="n">
        <v>291821</v>
      </c>
      <c r="H52" s="22" t="n">
        <v>313434</v>
      </c>
      <c r="I52" s="22"/>
      <c r="J52" s="22" t="n">
        <v>16051</v>
      </c>
      <c r="K52" s="33" t="n">
        <f aca="false">1-MIN(F52,IF(I52&gt;0,I52,F52))/E52</f>
        <v>0.350308698186057</v>
      </c>
    </row>
    <row r="53" customFormat="false" ht="15" hidden="false" customHeight="false" outlineLevel="0" collapsed="false">
      <c r="A53" s="3" t="s">
        <v>157</v>
      </c>
      <c r="B53" s="3" t="s">
        <v>109</v>
      </c>
      <c r="C53" s="3" t="n">
        <v>11</v>
      </c>
      <c r="D53" s="21" t="n">
        <v>17.08</v>
      </c>
      <c r="E53" s="22" t="n">
        <v>421970</v>
      </c>
      <c r="F53" s="22" t="n">
        <v>274151</v>
      </c>
      <c r="G53" s="22" t="n">
        <v>280332</v>
      </c>
      <c r="H53" s="22" t="n">
        <v>301095</v>
      </c>
      <c r="I53" s="22"/>
      <c r="J53" s="22" t="n">
        <v>16051</v>
      </c>
      <c r="K53" s="33" t="n">
        <f aca="false">1-MIN(F53,IF(I53&gt;0,I53,F53))/E53</f>
        <v>0.350306893855013</v>
      </c>
    </row>
    <row r="54" customFormat="false" ht="15" hidden="false" customHeight="false" outlineLevel="0" collapsed="false">
      <c r="A54" s="3" t="s">
        <v>158</v>
      </c>
      <c r="B54" s="3" t="s">
        <v>109</v>
      </c>
      <c r="C54" s="3" t="n">
        <v>11</v>
      </c>
      <c r="D54" s="21" t="n">
        <v>16.47</v>
      </c>
      <c r="E54" s="22" t="n">
        <v>406900</v>
      </c>
      <c r="F54" s="22" t="n">
        <v>264360</v>
      </c>
      <c r="G54" s="22" t="n">
        <v>270320</v>
      </c>
      <c r="H54" s="22" t="n">
        <v>290341</v>
      </c>
      <c r="I54" s="22"/>
      <c r="J54" s="22" t="n">
        <v>16051</v>
      </c>
      <c r="K54" s="33" t="n">
        <f aca="false">1-MIN(F54,IF(I54&gt;0,I54,F54))/E54</f>
        <v>0.350307200786434</v>
      </c>
    </row>
    <row r="55" customFormat="false" ht="15" hidden="false" customHeight="false" outlineLevel="0" collapsed="false">
      <c r="A55" s="3" t="s">
        <v>159</v>
      </c>
      <c r="B55" s="3" t="s">
        <v>109</v>
      </c>
      <c r="C55" s="3" t="n">
        <v>11</v>
      </c>
      <c r="D55" s="21" t="n">
        <v>17.73</v>
      </c>
      <c r="E55" s="22" t="n">
        <v>438029</v>
      </c>
      <c r="F55" s="22" t="n">
        <v>284584</v>
      </c>
      <c r="G55" s="22" t="n">
        <v>291000</v>
      </c>
      <c r="H55" s="22" t="n">
        <v>312553</v>
      </c>
      <c r="I55" s="22"/>
      <c r="J55" s="22" t="n">
        <v>16051</v>
      </c>
      <c r="K55" s="33" t="n">
        <f aca="false">1-MIN(F55,IF(I55&gt;0,I55,F55))/E55</f>
        <v>0.350307856329147</v>
      </c>
    </row>
    <row r="56" customFormat="false" ht="15" hidden="false" customHeight="false" outlineLevel="0" collapsed="false">
      <c r="A56" s="3" t="s">
        <v>160</v>
      </c>
      <c r="B56" s="3" t="s">
        <v>109</v>
      </c>
      <c r="C56" s="3" t="n">
        <v>11</v>
      </c>
      <c r="D56" s="21" t="n">
        <v>17.76</v>
      </c>
      <c r="E56" s="22" t="n">
        <v>438770</v>
      </c>
      <c r="F56" s="22" t="n">
        <v>285065</v>
      </c>
      <c r="G56" s="22" t="n">
        <v>291493</v>
      </c>
      <c r="H56" s="22" t="n">
        <v>313082</v>
      </c>
      <c r="I56" s="22"/>
      <c r="J56" s="22" t="n">
        <v>16051</v>
      </c>
      <c r="K56" s="33" t="n">
        <f aca="false">1-MIN(F56,IF(I56&gt;0,I56,F56))/E56</f>
        <v>0.350308817831666</v>
      </c>
    </row>
    <row r="57" customFormat="false" ht="15" hidden="false" customHeight="false" outlineLevel="0" collapsed="false">
      <c r="A57" s="3" t="s">
        <v>161</v>
      </c>
      <c r="B57" s="3" t="s">
        <v>109</v>
      </c>
      <c r="C57" s="3" t="n">
        <v>11</v>
      </c>
      <c r="D57" s="21" t="n">
        <v>20.72</v>
      </c>
      <c r="E57" s="22" t="n">
        <v>476184</v>
      </c>
      <c r="F57" s="22" t="n">
        <v>309373</v>
      </c>
      <c r="G57" s="22" t="n">
        <v>316349</v>
      </c>
      <c r="H57" s="22" t="n">
        <v>339779</v>
      </c>
      <c r="I57" s="22"/>
      <c r="J57" s="22" t="n">
        <v>14931</v>
      </c>
      <c r="K57" s="33" t="n">
        <f aca="false">1-MIN(F57,IF(I57&gt;0,I57,F57))/E57</f>
        <v>0.350307864186953</v>
      </c>
    </row>
    <row r="58" customFormat="false" ht="15" hidden="false" customHeight="false" outlineLevel="0" collapsed="false">
      <c r="A58" s="3" t="s">
        <v>162</v>
      </c>
      <c r="B58" s="3" t="s">
        <v>109</v>
      </c>
      <c r="C58" s="3" t="n">
        <v>11</v>
      </c>
      <c r="D58" s="21" t="n">
        <v>17.78</v>
      </c>
      <c r="E58" s="22" t="n">
        <v>439264</v>
      </c>
      <c r="F58" s="22" t="n">
        <v>285386</v>
      </c>
      <c r="G58" s="22" t="n">
        <v>291821</v>
      </c>
      <c r="H58" s="22" t="n">
        <v>313434</v>
      </c>
      <c r="I58" s="22"/>
      <c r="J58" s="22" t="n">
        <v>16051</v>
      </c>
      <c r="K58" s="33" t="n">
        <f aca="false">1-MIN(F58,IF(I58&gt;0,I58,F58))/E58</f>
        <v>0.350308698186057</v>
      </c>
    </row>
    <row r="59" customFormat="false" ht="15" hidden="false" customHeight="false" outlineLevel="0" collapsed="false">
      <c r="A59" s="3" t="s">
        <v>163</v>
      </c>
      <c r="B59" s="3" t="s">
        <v>109</v>
      </c>
      <c r="C59" s="3" t="n">
        <v>12</v>
      </c>
      <c r="D59" s="21" t="n">
        <v>17.08</v>
      </c>
      <c r="E59" s="22" t="n">
        <v>421970</v>
      </c>
      <c r="F59" s="22" t="n">
        <v>274151</v>
      </c>
      <c r="G59" s="22" t="n">
        <v>280332</v>
      </c>
      <c r="H59" s="22" t="n">
        <v>301095</v>
      </c>
      <c r="I59" s="22"/>
      <c r="J59" s="22" t="n">
        <v>16051</v>
      </c>
      <c r="K59" s="33" t="n">
        <f aca="false">1-MIN(F59,IF(I59&gt;0,I59,F59))/E59</f>
        <v>0.350306893855013</v>
      </c>
    </row>
    <row r="60" customFormat="false" ht="15" hidden="false" customHeight="false" outlineLevel="0" collapsed="false">
      <c r="A60" s="3" t="s">
        <v>164</v>
      </c>
      <c r="B60" s="3" t="s">
        <v>109</v>
      </c>
      <c r="C60" s="3" t="n">
        <v>12</v>
      </c>
      <c r="D60" s="21" t="n">
        <v>16.47</v>
      </c>
      <c r="E60" s="22" t="n">
        <v>406900</v>
      </c>
      <c r="F60" s="22" t="n">
        <v>264360</v>
      </c>
      <c r="G60" s="22" t="n">
        <v>270320</v>
      </c>
      <c r="H60" s="22" t="n">
        <v>290341</v>
      </c>
      <c r="I60" s="22"/>
      <c r="J60" s="22" t="n">
        <v>16051</v>
      </c>
      <c r="K60" s="33" t="n">
        <f aca="false">1-MIN(F60,IF(I60&gt;0,I60,F60))/E60</f>
        <v>0.350307200786434</v>
      </c>
    </row>
    <row r="61" customFormat="false" ht="15" hidden="false" customHeight="false" outlineLevel="0" collapsed="false">
      <c r="A61" s="3" t="s">
        <v>165</v>
      </c>
      <c r="B61" s="3" t="s">
        <v>109</v>
      </c>
      <c r="C61" s="3" t="n">
        <v>12</v>
      </c>
      <c r="D61" s="21" t="n">
        <v>17.73</v>
      </c>
      <c r="E61" s="22" t="n">
        <v>438029</v>
      </c>
      <c r="F61" s="22" t="n">
        <v>284584</v>
      </c>
      <c r="G61" s="22" t="n">
        <v>291000</v>
      </c>
      <c r="H61" s="22" t="n">
        <v>312553</v>
      </c>
      <c r="I61" s="22"/>
      <c r="J61" s="22" t="n">
        <v>16051</v>
      </c>
      <c r="K61" s="33" t="n">
        <f aca="false">1-MIN(F61,IF(I61&gt;0,I61,F61))/E61</f>
        <v>0.350307856329147</v>
      </c>
    </row>
    <row r="62" customFormat="false" ht="15" hidden="false" customHeight="false" outlineLevel="0" collapsed="false">
      <c r="A62" s="3" t="s">
        <v>166</v>
      </c>
      <c r="B62" s="3" t="s">
        <v>109</v>
      </c>
      <c r="C62" s="3" t="n">
        <v>12</v>
      </c>
      <c r="D62" s="21" t="n">
        <v>17.76</v>
      </c>
      <c r="E62" s="22" t="n">
        <v>438770</v>
      </c>
      <c r="F62" s="22" t="n">
        <v>285065</v>
      </c>
      <c r="G62" s="22" t="n">
        <v>291493</v>
      </c>
      <c r="H62" s="22" t="n">
        <v>313082</v>
      </c>
      <c r="I62" s="22"/>
      <c r="J62" s="22" t="n">
        <v>16051</v>
      </c>
      <c r="K62" s="33" t="n">
        <f aca="false">1-MIN(F62,IF(I62&gt;0,I62,F62))/E62</f>
        <v>0.350308817831666</v>
      </c>
    </row>
    <row r="63" customFormat="false" ht="15" hidden="false" customHeight="false" outlineLevel="0" collapsed="false">
      <c r="A63" s="3" t="s">
        <v>167</v>
      </c>
      <c r="B63" s="3" t="s">
        <v>109</v>
      </c>
      <c r="C63" s="3" t="n">
        <v>13</v>
      </c>
      <c r="D63" s="21" t="n">
        <v>17.08</v>
      </c>
      <c r="E63" s="22" t="n">
        <v>428825</v>
      </c>
      <c r="F63" s="22" t="n">
        <v>278604</v>
      </c>
      <c r="G63" s="22" t="n">
        <v>284886</v>
      </c>
      <c r="H63" s="22" t="n">
        <v>305986</v>
      </c>
      <c r="I63" s="22"/>
      <c r="J63" s="22" t="n">
        <v>16312</v>
      </c>
      <c r="K63" s="33" t="n">
        <f aca="false">1-MIN(F63,IF(I63&gt;0,I63,F63))/E63</f>
        <v>0.350308400862823</v>
      </c>
    </row>
    <row r="64" customFormat="false" ht="15" hidden="false" customHeight="false" outlineLevel="0" collapsed="false">
      <c r="A64" s="3" t="s">
        <v>168</v>
      </c>
      <c r="B64" s="3" t="s">
        <v>109</v>
      </c>
      <c r="C64" s="3" t="n">
        <v>13</v>
      </c>
      <c r="D64" s="21" t="n">
        <v>17.73</v>
      </c>
      <c r="E64" s="22" t="n">
        <v>445145</v>
      </c>
      <c r="F64" s="22" t="n">
        <v>289207</v>
      </c>
      <c r="G64" s="22" t="n">
        <v>295728</v>
      </c>
      <c r="H64" s="22" t="n">
        <v>317631</v>
      </c>
      <c r="I64" s="22"/>
      <c r="J64" s="22" t="n">
        <v>16312</v>
      </c>
      <c r="K64" s="33" t="n">
        <f aca="false">1-MIN(F64,IF(I64&gt;0,I64,F64))/E64</f>
        <v>0.350308326500354</v>
      </c>
    </row>
    <row r="65" customFormat="false" ht="15" hidden="false" customHeight="false" outlineLevel="0" collapsed="false">
      <c r="A65" s="3" t="s">
        <v>169</v>
      </c>
      <c r="B65" s="3" t="s">
        <v>109</v>
      </c>
      <c r="C65" s="3" t="n">
        <v>13</v>
      </c>
      <c r="D65" s="21" t="n">
        <v>17.76</v>
      </c>
      <c r="E65" s="22" t="n">
        <v>445898</v>
      </c>
      <c r="F65" s="22" t="n">
        <v>289696</v>
      </c>
      <c r="G65" s="22" t="n">
        <v>296228</v>
      </c>
      <c r="H65" s="22" t="n">
        <v>318168</v>
      </c>
      <c r="I65" s="22"/>
      <c r="J65" s="22" t="n">
        <v>16312</v>
      </c>
      <c r="K65" s="33" t="n">
        <f aca="false">1-MIN(F65,IF(I65&gt;0,I65,F65))/E65</f>
        <v>0.350308815020476</v>
      </c>
    </row>
    <row r="66" customFormat="false" ht="15" hidden="false" customHeight="false" outlineLevel="0" collapsed="false">
      <c r="A66" s="3" t="s">
        <v>170</v>
      </c>
      <c r="B66" s="3" t="s">
        <v>109</v>
      </c>
      <c r="C66" s="3" t="n">
        <v>14</v>
      </c>
      <c r="D66" s="21" t="n">
        <v>17.73</v>
      </c>
      <c r="E66" s="22" t="n">
        <v>445145</v>
      </c>
      <c r="F66" s="22" t="n">
        <v>289207</v>
      </c>
      <c r="G66" s="22" t="n">
        <v>295728</v>
      </c>
      <c r="H66" s="22" t="n">
        <v>317631</v>
      </c>
      <c r="I66" s="22"/>
      <c r="J66" s="22" t="n">
        <v>16312</v>
      </c>
      <c r="K66" s="33" t="n">
        <f aca="false">1-MIN(F66,IF(I66&gt;0,I66,F66))/E66</f>
        <v>0.350308326500354</v>
      </c>
    </row>
    <row r="67" customFormat="false" ht="15" hidden="false" customHeight="false" outlineLevel="0" collapsed="false">
      <c r="A67" s="3" t="s">
        <v>171</v>
      </c>
      <c r="B67" s="3" t="s">
        <v>109</v>
      </c>
      <c r="C67" s="3" t="n">
        <v>14</v>
      </c>
      <c r="D67" s="21" t="n">
        <v>17.76</v>
      </c>
      <c r="E67" s="22" t="n">
        <v>445898</v>
      </c>
      <c r="F67" s="22" t="n">
        <v>289696</v>
      </c>
      <c r="G67" s="22" t="n">
        <v>296228</v>
      </c>
      <c r="H67" s="22" t="n">
        <v>318168</v>
      </c>
      <c r="I67" s="22"/>
      <c r="J67" s="22" t="n">
        <v>16312</v>
      </c>
      <c r="K67" s="33" t="n">
        <f aca="false">1-MIN(F67,IF(I67&gt;0,I67,F67))/E67</f>
        <v>0.350308815020476</v>
      </c>
    </row>
    <row r="68" customFormat="false" ht="15" hidden="false" customHeight="false" outlineLevel="0" collapsed="false">
      <c r="A68" s="3" t="s">
        <v>172</v>
      </c>
      <c r="B68" s="3" t="s">
        <v>109</v>
      </c>
      <c r="C68" s="3" t="n">
        <v>14</v>
      </c>
      <c r="D68" s="21" t="n">
        <v>20.72</v>
      </c>
      <c r="E68" s="22" t="n">
        <v>483920</v>
      </c>
      <c r="F68" s="22" t="n">
        <v>314399</v>
      </c>
      <c r="G68" s="22" t="n">
        <v>321488</v>
      </c>
      <c r="H68" s="22" t="n">
        <v>345299</v>
      </c>
      <c r="I68" s="22"/>
      <c r="J68" s="22" t="n">
        <v>15174</v>
      </c>
      <c r="K68" s="33" t="n">
        <f aca="false">1-MIN(F68,IF(I68&gt;0,I68,F68))/E68</f>
        <v>0.350307902132584</v>
      </c>
    </row>
    <row r="69" customFormat="false" ht="15" hidden="false" customHeight="false" outlineLevel="0" collapsed="false">
      <c r="A69" s="3" t="s">
        <v>173</v>
      </c>
      <c r="B69" s="3" t="s">
        <v>109</v>
      </c>
      <c r="C69" s="3" t="n">
        <v>15</v>
      </c>
      <c r="D69" s="21" t="n">
        <v>17.73</v>
      </c>
      <c r="E69" s="22" t="n">
        <v>445145</v>
      </c>
      <c r="F69" s="22" t="n">
        <v>289207</v>
      </c>
      <c r="G69" s="22" t="n">
        <v>295728</v>
      </c>
      <c r="H69" s="22" t="n">
        <v>317631</v>
      </c>
      <c r="I69" s="22"/>
      <c r="J69" s="22" t="n">
        <v>16312</v>
      </c>
      <c r="K69" s="33" t="n">
        <f aca="false">1-MIN(F69,IF(I69&gt;0,I69,F69))/E69</f>
        <v>0.350308326500354</v>
      </c>
    </row>
    <row r="70" customFormat="false" ht="15" hidden="false" customHeight="false" outlineLevel="0" collapsed="false">
      <c r="A70" s="3" t="s">
        <v>174</v>
      </c>
      <c r="B70" s="3" t="s">
        <v>109</v>
      </c>
      <c r="C70" s="3" t="n">
        <v>15</v>
      </c>
      <c r="D70" s="21" t="n">
        <v>17.76</v>
      </c>
      <c r="E70" s="22" t="n">
        <v>445898</v>
      </c>
      <c r="F70" s="22" t="n">
        <v>289696</v>
      </c>
      <c r="G70" s="22" t="n">
        <v>296228</v>
      </c>
      <c r="H70" s="22" t="n">
        <v>318168</v>
      </c>
      <c r="I70" s="22"/>
      <c r="J70" s="22" t="n">
        <v>16312</v>
      </c>
      <c r="K70" s="33" t="n">
        <f aca="false">1-MIN(F70,IF(I70&gt;0,I70,F70))/E70</f>
        <v>0.350308815020476</v>
      </c>
    </row>
    <row r="71" customFormat="false" ht="15" hidden="false" customHeight="false" outlineLevel="0" collapsed="false">
      <c r="A71" s="3" t="s">
        <v>175</v>
      </c>
      <c r="B71" s="3" t="s">
        <v>109</v>
      </c>
      <c r="C71" s="3" t="n">
        <v>15</v>
      </c>
      <c r="D71" s="21" t="n">
        <v>20.72</v>
      </c>
      <c r="E71" s="22" t="n">
        <v>483920</v>
      </c>
      <c r="F71" s="22" t="n">
        <v>314399</v>
      </c>
      <c r="G71" s="22" t="n">
        <v>321488</v>
      </c>
      <c r="H71" s="22" t="n">
        <v>345299</v>
      </c>
      <c r="I71" s="22"/>
      <c r="J71" s="22" t="n">
        <v>15174</v>
      </c>
      <c r="K71" s="33" t="n">
        <f aca="false">1-MIN(F71,IF(I71&gt;0,I71,F71))/E71</f>
        <v>0.350307902132584</v>
      </c>
    </row>
    <row r="72" customFormat="false" ht="15" hidden="false" customHeight="false" outlineLevel="0" collapsed="false">
      <c r="A72" s="3" t="s">
        <v>176</v>
      </c>
      <c r="B72" s="3" t="s">
        <v>109</v>
      </c>
      <c r="C72" s="3" t="n">
        <v>15</v>
      </c>
      <c r="D72" s="21" t="n">
        <v>17.78</v>
      </c>
      <c r="E72" s="22" t="n">
        <v>446400</v>
      </c>
      <c r="F72" s="22" t="n">
        <v>290023</v>
      </c>
      <c r="G72" s="22" t="n">
        <v>296562</v>
      </c>
      <c r="H72" s="22" t="n">
        <v>318526</v>
      </c>
      <c r="I72" s="22"/>
      <c r="J72" s="22" t="n">
        <v>16312</v>
      </c>
      <c r="K72" s="33" t="n">
        <f aca="false">1-MIN(F72,IF(I72&gt;0,I72,F72))/E72</f>
        <v>0.350306899641577</v>
      </c>
    </row>
    <row r="73" customFormat="false" ht="15" hidden="false" customHeight="false" outlineLevel="0" collapsed="false">
      <c r="A73" s="3" t="s">
        <v>177</v>
      </c>
      <c r="B73" s="3" t="s">
        <v>109</v>
      </c>
      <c r="C73" s="3" t="n">
        <v>16</v>
      </c>
      <c r="D73" s="21" t="n">
        <v>17.73</v>
      </c>
      <c r="E73" s="22" t="n">
        <v>445145</v>
      </c>
      <c r="F73" s="22" t="n">
        <v>289207</v>
      </c>
      <c r="G73" s="22" t="n">
        <v>295728</v>
      </c>
      <c r="H73" s="22" t="n">
        <v>317631</v>
      </c>
      <c r="I73" s="22"/>
      <c r="J73" s="22" t="n">
        <v>16312</v>
      </c>
      <c r="K73" s="33" t="n">
        <f aca="false">1-MIN(F73,IF(I73&gt;0,I73,F73))/E73</f>
        <v>0.350308326500354</v>
      </c>
    </row>
    <row r="74" customFormat="false" ht="15" hidden="false" customHeight="false" outlineLevel="0" collapsed="false">
      <c r="A74" s="3" t="s">
        <v>178</v>
      </c>
      <c r="B74" s="3" t="s">
        <v>109</v>
      </c>
      <c r="C74" s="3" t="n">
        <v>16</v>
      </c>
      <c r="D74" s="21" t="n">
        <v>17.76</v>
      </c>
      <c r="E74" s="22" t="n">
        <v>445898</v>
      </c>
      <c r="F74" s="22" t="n">
        <v>289696</v>
      </c>
      <c r="G74" s="22" t="n">
        <v>296228</v>
      </c>
      <c r="H74" s="22" t="n">
        <v>318168</v>
      </c>
      <c r="I74" s="22"/>
      <c r="J74" s="22" t="n">
        <v>16312</v>
      </c>
      <c r="K74" s="33" t="n">
        <f aca="false">1-MIN(F74,IF(I74&gt;0,I74,F74))/E74</f>
        <v>0.350308815020476</v>
      </c>
    </row>
    <row r="75" customFormat="false" ht="15" hidden="false" customHeight="false" outlineLevel="0" collapsed="false">
      <c r="A75" s="3" t="s">
        <v>179</v>
      </c>
      <c r="B75" s="3" t="s">
        <v>109</v>
      </c>
      <c r="C75" s="3" t="n">
        <v>16</v>
      </c>
      <c r="D75" s="21" t="n">
        <v>20.72</v>
      </c>
      <c r="E75" s="22" t="n">
        <v>483920</v>
      </c>
      <c r="F75" s="22" t="n">
        <v>314399</v>
      </c>
      <c r="G75" s="22" t="n">
        <v>321488</v>
      </c>
      <c r="H75" s="22" t="n">
        <v>345299</v>
      </c>
      <c r="I75" s="22"/>
      <c r="J75" s="22" t="n">
        <v>15174</v>
      </c>
      <c r="K75" s="33" t="n">
        <f aca="false">1-MIN(F75,IF(I75&gt;0,I75,F75))/E75</f>
        <v>0.350307902132584</v>
      </c>
    </row>
    <row r="76" customFormat="false" ht="15" hidden="false" customHeight="false" outlineLevel="0" collapsed="false">
      <c r="A76" s="3" t="s">
        <v>180</v>
      </c>
      <c r="B76" s="3" t="s">
        <v>109</v>
      </c>
      <c r="C76" s="3" t="n">
        <v>17</v>
      </c>
      <c r="D76" s="21" t="n">
        <v>17.73</v>
      </c>
      <c r="E76" s="22" t="n">
        <v>452261</v>
      </c>
      <c r="F76" s="22" t="n">
        <v>293830</v>
      </c>
      <c r="G76" s="22" t="n">
        <v>300455</v>
      </c>
      <c r="H76" s="22" t="n">
        <v>322708</v>
      </c>
      <c r="I76" s="22"/>
      <c r="J76" s="22" t="n">
        <v>16572</v>
      </c>
      <c r="K76" s="33" t="n">
        <f aca="false">1-MIN(F76,IF(I76&gt;0,I76,F76))/E76</f>
        <v>0.350308781875952</v>
      </c>
    </row>
    <row r="77" customFormat="false" ht="15" hidden="false" customHeight="false" outlineLevel="0" collapsed="false">
      <c r="A77" s="3" t="s">
        <v>181</v>
      </c>
      <c r="B77" s="3" t="s">
        <v>109</v>
      </c>
      <c r="C77" s="3" t="n">
        <v>17</v>
      </c>
      <c r="D77" s="21" t="n">
        <v>17.76</v>
      </c>
      <c r="E77" s="22" t="n">
        <v>453026</v>
      </c>
      <c r="F77" s="22" t="n">
        <v>294328</v>
      </c>
      <c r="G77" s="22" t="n">
        <v>300964</v>
      </c>
      <c r="H77" s="22" t="n">
        <v>323254</v>
      </c>
      <c r="I77" s="22"/>
      <c r="J77" s="22" t="n">
        <v>16572</v>
      </c>
      <c r="K77" s="33" t="n">
        <f aca="false">1-MIN(F77,IF(I77&gt;0,I77,F77))/E77</f>
        <v>0.350306604918923</v>
      </c>
    </row>
    <row r="78" customFormat="false" ht="15" hidden="false" customHeight="false" outlineLevel="0" collapsed="false">
      <c r="A78" s="3" t="s">
        <v>182</v>
      </c>
      <c r="B78" s="3" t="s">
        <v>109</v>
      </c>
      <c r="C78" s="3" t="n">
        <v>17</v>
      </c>
      <c r="D78" s="21" t="n">
        <v>20.72</v>
      </c>
      <c r="E78" s="22" t="n">
        <v>491656</v>
      </c>
      <c r="F78" s="22" t="n">
        <v>319425</v>
      </c>
      <c r="G78" s="22" t="n">
        <v>326627</v>
      </c>
      <c r="H78" s="22" t="n">
        <v>350819</v>
      </c>
      <c r="I78" s="22"/>
      <c r="J78" s="22" t="n">
        <v>15416</v>
      </c>
      <c r="K78" s="33" t="n">
        <f aca="false">1-MIN(F78,IF(I78&gt;0,I78,F78))/E78</f>
        <v>0.350307938884098</v>
      </c>
    </row>
    <row r="79" customFormat="false" ht="15" hidden="false" customHeight="false" outlineLevel="0" collapsed="false">
      <c r="A79" s="3" t="s">
        <v>183</v>
      </c>
      <c r="B79" s="3" t="s">
        <v>109</v>
      </c>
      <c r="C79" s="3" t="n">
        <v>17</v>
      </c>
      <c r="D79" s="21" t="n">
        <v>17.78</v>
      </c>
      <c r="E79" s="22" t="n">
        <v>453536</v>
      </c>
      <c r="F79" s="22" t="n">
        <v>294659</v>
      </c>
      <c r="G79" s="22" t="n">
        <v>301303</v>
      </c>
      <c r="H79" s="22" t="n">
        <v>323618</v>
      </c>
      <c r="I79" s="22"/>
      <c r="J79" s="22" t="n">
        <v>16572</v>
      </c>
      <c r="K79" s="33" t="n">
        <f aca="false">1-MIN(F79,IF(I79&gt;0,I79,F79))/E79</f>
        <v>0.350307362590842</v>
      </c>
    </row>
    <row r="80" customFormat="false" ht="15" hidden="false" customHeight="false" outlineLevel="0" collapsed="false">
      <c r="A80" s="3" t="s">
        <v>184</v>
      </c>
      <c r="B80" s="3" t="s">
        <v>109</v>
      </c>
      <c r="C80" s="3" t="n">
        <v>18</v>
      </c>
      <c r="D80" s="21" t="n">
        <v>17.76</v>
      </c>
      <c r="E80" s="22" t="n">
        <v>453026</v>
      </c>
      <c r="F80" s="22" t="n">
        <v>294328</v>
      </c>
      <c r="G80" s="22" t="n">
        <v>300964</v>
      </c>
      <c r="H80" s="22" t="n">
        <v>323254</v>
      </c>
      <c r="I80" s="22"/>
      <c r="J80" s="22" t="n">
        <v>16572</v>
      </c>
      <c r="K80" s="33" t="n">
        <f aca="false">1-MIN(F80,IF(I80&gt;0,I80,F80))/E80</f>
        <v>0.350306604918923</v>
      </c>
    </row>
    <row r="81" customFormat="false" ht="15" hidden="false" customHeight="false" outlineLevel="0" collapsed="false">
      <c r="A81" s="3" t="s">
        <v>185</v>
      </c>
      <c r="B81" s="3" t="s">
        <v>109</v>
      </c>
      <c r="C81" s="3" t="n">
        <v>18</v>
      </c>
      <c r="D81" s="21" t="n">
        <v>20.72</v>
      </c>
      <c r="E81" s="22" t="n">
        <v>491656</v>
      </c>
      <c r="F81" s="22" t="n">
        <v>319425</v>
      </c>
      <c r="G81" s="22" t="n">
        <v>326627</v>
      </c>
      <c r="H81" s="22" t="n">
        <v>350819</v>
      </c>
      <c r="I81" s="22"/>
      <c r="J81" s="22" t="n">
        <v>15416</v>
      </c>
      <c r="K81" s="33" t="n">
        <f aca="false">1-MIN(F81,IF(I81&gt;0,I81,F81))/E81</f>
        <v>0.350307938884098</v>
      </c>
    </row>
    <row r="82" customFormat="false" ht="15" hidden="false" customHeight="false" outlineLevel="0" collapsed="false">
      <c r="A82" s="3" t="s">
        <v>186</v>
      </c>
      <c r="B82" s="3" t="s">
        <v>109</v>
      </c>
      <c r="C82" s="3" t="n">
        <v>18</v>
      </c>
      <c r="D82" s="21" t="n">
        <v>17.78</v>
      </c>
      <c r="E82" s="22" t="n">
        <v>453536</v>
      </c>
      <c r="F82" s="22" t="n">
        <v>294659</v>
      </c>
      <c r="G82" s="22" t="n">
        <v>301303</v>
      </c>
      <c r="H82" s="22" t="n">
        <v>323618</v>
      </c>
      <c r="I82" s="22"/>
      <c r="J82" s="22" t="n">
        <v>16572</v>
      </c>
      <c r="K82" s="33" t="n">
        <f aca="false">1-MIN(F82,IF(I82&gt;0,I82,F82))/E82</f>
        <v>0.350307362590842</v>
      </c>
    </row>
    <row r="83" customFormat="false" ht="15" hidden="false" customHeight="false" outlineLevel="0" collapsed="false">
      <c r="A83" s="3" t="s">
        <v>187</v>
      </c>
      <c r="B83" s="3" t="s">
        <v>109</v>
      </c>
      <c r="C83" s="3" t="n">
        <v>19</v>
      </c>
      <c r="D83" s="21" t="n">
        <v>18.16</v>
      </c>
      <c r="E83" s="22" t="n">
        <v>463229</v>
      </c>
      <c r="F83" s="22" t="n">
        <v>300957</v>
      </c>
      <c r="G83" s="22" t="n">
        <v>307742</v>
      </c>
      <c r="H83" s="22" t="n">
        <v>330535</v>
      </c>
      <c r="I83" s="22"/>
      <c r="J83" s="22" t="n">
        <v>16572</v>
      </c>
      <c r="K83" s="33" t="n">
        <f aca="false">1-MIN(F83,IF(I83&gt;0,I83,F83))/E83</f>
        <v>0.35030622003372</v>
      </c>
    </row>
    <row r="84" customFormat="false" ht="15" hidden="false" customHeight="false" outlineLevel="0" collapsed="false">
      <c r="A84" s="3" t="s">
        <v>188</v>
      </c>
      <c r="B84" s="3" t="s">
        <v>109</v>
      </c>
      <c r="C84" s="3" t="n">
        <v>19</v>
      </c>
      <c r="D84" s="21" t="n">
        <v>17.76</v>
      </c>
      <c r="E84" s="22" t="n">
        <v>453026</v>
      </c>
      <c r="F84" s="22" t="n">
        <v>294328</v>
      </c>
      <c r="G84" s="22" t="n">
        <v>300964</v>
      </c>
      <c r="H84" s="22" t="n">
        <v>323254</v>
      </c>
      <c r="I84" s="22"/>
      <c r="J84" s="22" t="n">
        <v>16572</v>
      </c>
      <c r="K84" s="33" t="n">
        <f aca="false">1-MIN(F84,IF(I84&gt;0,I84,F84))/E84</f>
        <v>0.350306604918923</v>
      </c>
    </row>
    <row r="85" customFormat="false" ht="15" hidden="false" customHeight="false" outlineLevel="0" collapsed="false">
      <c r="A85" s="3" t="s">
        <v>189</v>
      </c>
      <c r="B85" s="3" t="s">
        <v>109</v>
      </c>
      <c r="C85" s="3" t="n">
        <v>19</v>
      </c>
      <c r="D85" s="21" t="n">
        <v>20.72</v>
      </c>
      <c r="E85" s="22" t="n">
        <v>491656</v>
      </c>
      <c r="F85" s="22" t="n">
        <v>319425</v>
      </c>
      <c r="G85" s="22" t="n">
        <v>326627</v>
      </c>
      <c r="H85" s="22" t="n">
        <v>350819</v>
      </c>
      <c r="I85" s="22"/>
      <c r="J85" s="22" t="n">
        <v>15416</v>
      </c>
      <c r="K85" s="33" t="n">
        <f aca="false">1-MIN(F85,IF(I85&gt;0,I85,F85))/E85</f>
        <v>0.350307938884098</v>
      </c>
    </row>
    <row r="86" customFormat="false" ht="15" hidden="false" customHeight="false" outlineLevel="0" collapsed="false">
      <c r="A86" s="3" t="s">
        <v>190</v>
      </c>
      <c r="B86" s="3" t="s">
        <v>109</v>
      </c>
      <c r="C86" s="3" t="n">
        <v>19</v>
      </c>
      <c r="D86" s="21" t="n">
        <v>17.78</v>
      </c>
      <c r="E86" s="22" t="n">
        <v>453536</v>
      </c>
      <c r="F86" s="22" t="n">
        <v>294659</v>
      </c>
      <c r="G86" s="22" t="n">
        <v>301303</v>
      </c>
      <c r="H86" s="22" t="n">
        <v>323618</v>
      </c>
      <c r="I86" s="22"/>
      <c r="J86" s="22" t="n">
        <v>16572</v>
      </c>
      <c r="K86" s="33" t="n">
        <f aca="false">1-MIN(F86,IF(I86&gt;0,I86,F86))/E86</f>
        <v>0.350307362590842</v>
      </c>
    </row>
    <row r="87" customFormat="false" ht="15" hidden="false" customHeight="false" outlineLevel="0" collapsed="false">
      <c r="A87" s="3" t="s">
        <v>191</v>
      </c>
      <c r="B87" s="3" t="s">
        <v>109</v>
      </c>
      <c r="C87" s="3" t="n">
        <v>20</v>
      </c>
      <c r="D87" s="21" t="n">
        <v>18.16</v>
      </c>
      <c r="E87" s="22" t="n">
        <v>463229</v>
      </c>
      <c r="F87" s="22" t="n">
        <v>300957</v>
      </c>
      <c r="G87" s="22" t="n">
        <v>307742</v>
      </c>
      <c r="H87" s="22" t="n">
        <v>330535</v>
      </c>
      <c r="I87" s="22"/>
      <c r="J87" s="22" t="n">
        <v>16572</v>
      </c>
      <c r="K87" s="33" t="n">
        <f aca="false">1-MIN(F87,IF(I87&gt;0,I87,F87))/E87</f>
        <v>0.35030622003372</v>
      </c>
    </row>
    <row r="88" customFormat="false" ht="15" hidden="false" customHeight="false" outlineLevel="0" collapsed="false">
      <c r="A88" s="3" t="s">
        <v>192</v>
      </c>
      <c r="B88" s="3" t="s">
        <v>109</v>
      </c>
      <c r="C88" s="3" t="n">
        <v>20</v>
      </c>
      <c r="D88" s="21" t="n">
        <v>17.76</v>
      </c>
      <c r="E88" s="22" t="n">
        <v>453026</v>
      </c>
      <c r="F88" s="22" t="n">
        <v>294328</v>
      </c>
      <c r="G88" s="22" t="n">
        <v>300964</v>
      </c>
      <c r="H88" s="22" t="n">
        <v>323254</v>
      </c>
      <c r="I88" s="22"/>
      <c r="J88" s="22" t="n">
        <v>16572</v>
      </c>
      <c r="K88" s="33" t="n">
        <f aca="false">1-MIN(F88,IF(I88&gt;0,I88,F88))/E88</f>
        <v>0.350306604918923</v>
      </c>
    </row>
    <row r="89" customFormat="false" ht="15" hidden="false" customHeight="false" outlineLevel="0" collapsed="false">
      <c r="A89" s="3" t="s">
        <v>193</v>
      </c>
      <c r="B89" s="3" t="s">
        <v>109</v>
      </c>
      <c r="C89" s="3" t="n">
        <v>20</v>
      </c>
      <c r="D89" s="21" t="n">
        <v>20.72</v>
      </c>
      <c r="E89" s="22" t="n">
        <v>491656</v>
      </c>
      <c r="F89" s="22" t="n">
        <v>319425</v>
      </c>
      <c r="G89" s="22" t="n">
        <v>326627</v>
      </c>
      <c r="H89" s="22" t="n">
        <v>350819</v>
      </c>
      <c r="I89" s="22"/>
      <c r="J89" s="22" t="n">
        <v>15416</v>
      </c>
      <c r="K89" s="33" t="n">
        <f aca="false">1-MIN(F89,IF(I89&gt;0,I89,F89))/E89</f>
        <v>0.350307938884098</v>
      </c>
    </row>
    <row r="90" customFormat="false" ht="15" hidden="false" customHeight="false" outlineLevel="0" collapsed="false">
      <c r="A90" s="3" t="s">
        <v>194</v>
      </c>
      <c r="B90" s="3" t="s">
        <v>109</v>
      </c>
      <c r="C90" s="3" t="n">
        <v>20</v>
      </c>
      <c r="D90" s="21" t="n">
        <v>17.78</v>
      </c>
      <c r="E90" s="22" t="n">
        <v>453536</v>
      </c>
      <c r="F90" s="22" t="n">
        <v>294659</v>
      </c>
      <c r="G90" s="22" t="n">
        <v>301303</v>
      </c>
      <c r="H90" s="22" t="n">
        <v>323618</v>
      </c>
      <c r="I90" s="22"/>
      <c r="J90" s="22" t="n">
        <v>16572</v>
      </c>
      <c r="K90" s="33" t="n">
        <f aca="false">1-MIN(F90,IF(I90&gt;0,I90,F90))/E90</f>
        <v>0.350307362590842</v>
      </c>
    </row>
    <row r="91" customFormat="false" ht="15" hidden="false" customHeight="false" outlineLevel="0" collapsed="false">
      <c r="A91" s="3" t="s">
        <v>195</v>
      </c>
      <c r="B91" s="3" t="s">
        <v>109</v>
      </c>
      <c r="C91" s="3" t="n">
        <v>21</v>
      </c>
      <c r="D91" s="21" t="n">
        <v>18.16</v>
      </c>
      <c r="E91" s="22" t="n">
        <v>470518</v>
      </c>
      <c r="F91" s="22" t="n">
        <v>305692</v>
      </c>
      <c r="G91" s="22" t="n">
        <v>312584</v>
      </c>
      <c r="H91" s="22" t="n">
        <v>335736</v>
      </c>
      <c r="I91" s="22"/>
      <c r="J91" s="22" t="n">
        <v>16833</v>
      </c>
      <c r="K91" s="33" t="n">
        <f aca="false">1-MIN(F91,IF(I91&gt;0,I91,F91))/E91</f>
        <v>0.35030753339936</v>
      </c>
    </row>
    <row r="92" customFormat="false" ht="15" hidden="false" customHeight="false" outlineLevel="0" collapsed="false">
      <c r="A92" s="3" t="s">
        <v>196</v>
      </c>
      <c r="B92" s="3" t="s">
        <v>109</v>
      </c>
      <c r="C92" s="3" t="n">
        <v>21</v>
      </c>
      <c r="D92" s="21" t="n">
        <v>20.72</v>
      </c>
      <c r="E92" s="22" t="n">
        <v>499392</v>
      </c>
      <c r="F92" s="22" t="n">
        <v>324451</v>
      </c>
      <c r="G92" s="22" t="n">
        <v>331766</v>
      </c>
      <c r="H92" s="22" t="n">
        <v>356339</v>
      </c>
      <c r="I92" s="22"/>
      <c r="J92" s="22" t="n">
        <v>15659</v>
      </c>
      <c r="K92" s="33" t="n">
        <f aca="false">1-MIN(F92,IF(I92&gt;0,I92,F92))/E92</f>
        <v>0.350307974496988</v>
      </c>
    </row>
    <row r="93" customFormat="false" ht="15" hidden="false" customHeight="false" outlineLevel="0" collapsed="false">
      <c r="A93" s="3" t="s">
        <v>197</v>
      </c>
      <c r="B93" s="3" t="s">
        <v>109</v>
      </c>
      <c r="C93" s="3" t="n">
        <v>21</v>
      </c>
      <c r="D93" s="21" t="n">
        <v>17.78</v>
      </c>
      <c r="E93" s="22" t="n">
        <v>460672</v>
      </c>
      <c r="F93" s="22" t="n">
        <v>299295</v>
      </c>
      <c r="G93" s="22" t="n">
        <v>306043</v>
      </c>
      <c r="H93" s="22" t="n">
        <v>328710</v>
      </c>
      <c r="I93" s="22"/>
      <c r="J93" s="22" t="n">
        <v>16833</v>
      </c>
      <c r="K93" s="33" t="n">
        <f aca="false">1-MIN(F93,IF(I93&gt;0,I93,F93))/E93</f>
        <v>0.350307811197555</v>
      </c>
    </row>
    <row r="94" customFormat="false" ht="15" hidden="false" customHeight="false" outlineLevel="0" collapsed="false">
      <c r="A94" s="3" t="s">
        <v>198</v>
      </c>
      <c r="B94" s="3" t="s">
        <v>109</v>
      </c>
      <c r="C94" s="3" t="n">
        <v>22</v>
      </c>
      <c r="D94" s="21" t="n">
        <v>18.16</v>
      </c>
      <c r="E94" s="22" t="n">
        <v>470518</v>
      </c>
      <c r="F94" s="22" t="n">
        <v>305692</v>
      </c>
      <c r="G94" s="22" t="n">
        <v>312584</v>
      </c>
      <c r="H94" s="22" t="n">
        <v>335736</v>
      </c>
      <c r="I94" s="22"/>
      <c r="J94" s="22" t="n">
        <v>16833</v>
      </c>
      <c r="K94" s="33" t="n">
        <f aca="false">1-MIN(F94,IF(I94&gt;0,I94,F94))/E94</f>
        <v>0.35030753339936</v>
      </c>
    </row>
    <row r="95" customFormat="false" ht="15" hidden="false" customHeight="false" outlineLevel="0" collapsed="false">
      <c r="A95" s="3" t="s">
        <v>199</v>
      </c>
      <c r="B95" s="3" t="s">
        <v>109</v>
      </c>
      <c r="C95" s="3" t="n">
        <v>22</v>
      </c>
      <c r="D95" s="21" t="n">
        <v>17.76</v>
      </c>
      <c r="E95" s="22" t="n">
        <v>460154</v>
      </c>
      <c r="F95" s="22" t="n">
        <v>298959</v>
      </c>
      <c r="G95" s="22" t="n">
        <v>305699</v>
      </c>
      <c r="H95" s="22" t="n">
        <v>328341</v>
      </c>
      <c r="I95" s="22"/>
      <c r="J95" s="22" t="n">
        <v>16833</v>
      </c>
      <c r="K95" s="33" t="n">
        <f aca="false">1-MIN(F95,IF(I95&gt;0,I95,F95))/E95</f>
        <v>0.350306636473876</v>
      </c>
    </row>
    <row r="96" customFormat="false" ht="15" hidden="false" customHeight="false" outlineLevel="0" collapsed="false">
      <c r="A96" s="3" t="s">
        <v>200</v>
      </c>
      <c r="B96" s="3" t="s">
        <v>109</v>
      </c>
      <c r="C96" s="3" t="n">
        <v>22</v>
      </c>
      <c r="D96" s="21" t="n">
        <v>20.72</v>
      </c>
      <c r="E96" s="22" t="n">
        <v>499392</v>
      </c>
      <c r="F96" s="22" t="n">
        <v>324451</v>
      </c>
      <c r="G96" s="22" t="n">
        <v>331766</v>
      </c>
      <c r="H96" s="22" t="n">
        <v>356339</v>
      </c>
      <c r="I96" s="22"/>
      <c r="J96" s="22" t="n">
        <v>15659</v>
      </c>
      <c r="K96" s="33" t="n">
        <f aca="false">1-MIN(F96,IF(I96&gt;0,I96,F96))/E96</f>
        <v>0.350307974496988</v>
      </c>
    </row>
    <row r="97" customFormat="false" ht="15" hidden="false" customHeight="false" outlineLevel="0" collapsed="false">
      <c r="A97" s="3" t="s">
        <v>201</v>
      </c>
      <c r="B97" s="3" t="s">
        <v>109</v>
      </c>
      <c r="C97" s="3" t="n">
        <v>22</v>
      </c>
      <c r="D97" s="21" t="n">
        <v>17.78</v>
      </c>
      <c r="E97" s="22" t="n">
        <v>460672</v>
      </c>
      <c r="F97" s="22" t="n">
        <v>299295</v>
      </c>
      <c r="G97" s="22" t="n">
        <v>306043</v>
      </c>
      <c r="H97" s="22" t="n">
        <v>328710</v>
      </c>
      <c r="I97" s="22"/>
      <c r="J97" s="22" t="n">
        <v>16833</v>
      </c>
      <c r="K97" s="33" t="n">
        <f aca="false">1-MIN(F97,IF(I97&gt;0,I97,F97))/E97</f>
        <v>0.350307811197555</v>
      </c>
    </row>
    <row r="98" customFormat="false" ht="15" hidden="false" customHeight="false" outlineLevel="0" collapsed="false">
      <c r="A98" s="3" t="s">
        <v>202</v>
      </c>
      <c r="B98" s="3" t="s">
        <v>109</v>
      </c>
      <c r="C98" s="3" t="n">
        <v>23</v>
      </c>
      <c r="D98" s="21" t="n">
        <v>18.16</v>
      </c>
      <c r="E98" s="22" t="n">
        <v>470518</v>
      </c>
      <c r="F98" s="22" t="n">
        <v>305692</v>
      </c>
      <c r="G98" s="22" t="n">
        <v>312584</v>
      </c>
      <c r="H98" s="22" t="n">
        <v>335736</v>
      </c>
      <c r="I98" s="22"/>
      <c r="J98" s="22" t="n">
        <v>16833</v>
      </c>
      <c r="K98" s="33" t="n">
        <f aca="false">1-MIN(F98,IF(I98&gt;0,I98,F98))/E98</f>
        <v>0.35030753339936</v>
      </c>
    </row>
    <row r="99" customFormat="false" ht="15" hidden="false" customHeight="false" outlineLevel="0" collapsed="false">
      <c r="A99" s="3" t="s">
        <v>203</v>
      </c>
      <c r="B99" s="3" t="s">
        <v>109</v>
      </c>
      <c r="C99" s="3" t="n">
        <v>23</v>
      </c>
      <c r="D99" s="21" t="n">
        <v>17.76</v>
      </c>
      <c r="E99" s="22" t="n">
        <v>460154</v>
      </c>
      <c r="F99" s="22" t="n">
        <v>298959</v>
      </c>
      <c r="G99" s="22" t="n">
        <v>305699</v>
      </c>
      <c r="H99" s="22" t="n">
        <v>328341</v>
      </c>
      <c r="I99" s="22"/>
      <c r="J99" s="22" t="n">
        <v>16833</v>
      </c>
      <c r="K99" s="33" t="n">
        <f aca="false">1-MIN(F99,IF(I99&gt;0,I99,F99))/E99</f>
        <v>0.350306636473876</v>
      </c>
    </row>
    <row r="100" customFormat="false" ht="15" hidden="false" customHeight="false" outlineLevel="0" collapsed="false">
      <c r="A100" s="3" t="s">
        <v>204</v>
      </c>
      <c r="B100" s="3" t="s">
        <v>109</v>
      </c>
      <c r="C100" s="3" t="n">
        <v>23</v>
      </c>
      <c r="D100" s="21" t="n">
        <v>20.72</v>
      </c>
      <c r="E100" s="22" t="n">
        <v>499392</v>
      </c>
      <c r="F100" s="22" t="n">
        <v>324451</v>
      </c>
      <c r="G100" s="22" t="n">
        <v>331766</v>
      </c>
      <c r="H100" s="22" t="n">
        <v>356339</v>
      </c>
      <c r="I100" s="22"/>
      <c r="J100" s="22" t="n">
        <v>15659</v>
      </c>
      <c r="K100" s="33" t="n">
        <f aca="false">1-MIN(F100,IF(I100&gt;0,I100,F100))/E100</f>
        <v>0.350307974496988</v>
      </c>
    </row>
    <row r="101" customFormat="false" ht="15" hidden="false" customHeight="false" outlineLevel="0" collapsed="false">
      <c r="A101" s="3" t="s">
        <v>205</v>
      </c>
      <c r="B101" s="3" t="s">
        <v>109</v>
      </c>
      <c r="C101" s="3" t="n">
        <v>23</v>
      </c>
      <c r="D101" s="21" t="n">
        <v>17.78</v>
      </c>
      <c r="E101" s="22" t="n">
        <v>460672</v>
      </c>
      <c r="F101" s="22" t="n">
        <v>299295</v>
      </c>
      <c r="G101" s="22" t="n">
        <v>306043</v>
      </c>
      <c r="H101" s="22" t="n">
        <v>328710</v>
      </c>
      <c r="I101" s="22"/>
      <c r="J101" s="22" t="n">
        <v>16833</v>
      </c>
      <c r="K101" s="33" t="n">
        <f aca="false">1-MIN(F101,IF(I101&gt;0,I101,F101))/E101</f>
        <v>0.350307811197555</v>
      </c>
    </row>
    <row r="102" customFormat="false" ht="15" hidden="false" customHeight="false" outlineLevel="0" collapsed="false">
      <c r="A102" s="3" t="s">
        <v>206</v>
      </c>
      <c r="B102" s="3" t="s">
        <v>109</v>
      </c>
      <c r="C102" s="3" t="n">
        <v>24</v>
      </c>
      <c r="D102" s="21" t="n">
        <v>18.16</v>
      </c>
      <c r="E102" s="22" t="n">
        <v>470518</v>
      </c>
      <c r="F102" s="22" t="n">
        <v>305692</v>
      </c>
      <c r="G102" s="22" t="n">
        <v>312584</v>
      </c>
      <c r="H102" s="22" t="n">
        <v>335736</v>
      </c>
      <c r="I102" s="22"/>
      <c r="J102" s="22" t="n">
        <v>16833</v>
      </c>
      <c r="K102" s="33" t="n">
        <f aca="false">1-MIN(F102,IF(I102&gt;0,I102,F102))/E102</f>
        <v>0.35030753339936</v>
      </c>
    </row>
    <row r="103" customFormat="false" ht="15" hidden="false" customHeight="false" outlineLevel="0" collapsed="false">
      <c r="A103" s="3" t="s">
        <v>207</v>
      </c>
      <c r="B103" s="3" t="s">
        <v>109</v>
      </c>
      <c r="C103" s="3" t="n">
        <v>24</v>
      </c>
      <c r="D103" s="21" t="n">
        <v>17.76</v>
      </c>
      <c r="E103" s="22" t="n">
        <v>460154</v>
      </c>
      <c r="F103" s="22" t="n">
        <v>298959</v>
      </c>
      <c r="G103" s="22" t="n">
        <v>305699</v>
      </c>
      <c r="H103" s="22" t="n">
        <v>328341</v>
      </c>
      <c r="I103" s="22"/>
      <c r="J103" s="22" t="n">
        <v>16833</v>
      </c>
      <c r="K103" s="33" t="n">
        <f aca="false">1-MIN(F103,IF(I103&gt;0,I103,F103))/E103</f>
        <v>0.350306636473876</v>
      </c>
    </row>
    <row r="104" customFormat="false" ht="15" hidden="false" customHeight="false" outlineLevel="0" collapsed="false">
      <c r="A104" s="3" t="s">
        <v>208</v>
      </c>
      <c r="B104" s="3" t="s">
        <v>109</v>
      </c>
      <c r="C104" s="3" t="n">
        <v>24</v>
      </c>
      <c r="D104" s="21" t="n">
        <v>20.72</v>
      </c>
      <c r="E104" s="22" t="n">
        <v>499392</v>
      </c>
      <c r="F104" s="22" t="n">
        <v>324451</v>
      </c>
      <c r="G104" s="22" t="n">
        <v>331766</v>
      </c>
      <c r="H104" s="22" t="n">
        <v>356339</v>
      </c>
      <c r="I104" s="22"/>
      <c r="J104" s="22" t="n">
        <v>15659</v>
      </c>
      <c r="K104" s="33" t="n">
        <f aca="false">1-MIN(F104,IF(I104&gt;0,I104,F104))/E104</f>
        <v>0.350307974496988</v>
      </c>
    </row>
    <row r="105" customFormat="false" ht="15" hidden="false" customHeight="false" outlineLevel="0" collapsed="false">
      <c r="A105" s="3" t="s">
        <v>209</v>
      </c>
      <c r="B105" s="3" t="s">
        <v>109</v>
      </c>
      <c r="C105" s="3" t="n">
        <v>24</v>
      </c>
      <c r="D105" s="21" t="n">
        <v>17.78</v>
      </c>
      <c r="E105" s="22" t="n">
        <v>460672</v>
      </c>
      <c r="F105" s="22" t="n">
        <v>299295</v>
      </c>
      <c r="G105" s="22" t="n">
        <v>306043</v>
      </c>
      <c r="H105" s="22" t="n">
        <v>328710</v>
      </c>
      <c r="I105" s="22"/>
      <c r="J105" s="22" t="n">
        <v>16833</v>
      </c>
      <c r="K105" s="33" t="n">
        <f aca="false">1-MIN(F105,IF(I105&gt;0,I105,F105))/E105</f>
        <v>0.350307811197555</v>
      </c>
    </row>
    <row r="106" customFormat="false" ht="15" hidden="false" customHeight="false" outlineLevel="0" collapsed="false">
      <c r="A106" s="3" t="s">
        <v>210</v>
      </c>
      <c r="B106" s="3" t="s">
        <v>109</v>
      </c>
      <c r="C106" s="3" t="n">
        <v>25</v>
      </c>
      <c r="D106" s="21" t="n">
        <v>18.16</v>
      </c>
      <c r="E106" s="22" t="n">
        <v>477807</v>
      </c>
      <c r="F106" s="22" t="n">
        <v>310427</v>
      </c>
      <c r="G106" s="22" t="n">
        <v>317426</v>
      </c>
      <c r="H106" s="22" t="n">
        <v>340936</v>
      </c>
      <c r="I106" s="22"/>
      <c r="J106" s="22" t="n">
        <v>17094</v>
      </c>
      <c r="K106" s="33" t="n">
        <f aca="false">1-MIN(F106,IF(I106&gt;0,I106,F106))/E106</f>
        <v>0.350308806693916</v>
      </c>
    </row>
    <row r="107" customFormat="false" ht="15" hidden="false" customHeight="false" outlineLevel="0" collapsed="false">
      <c r="A107" s="3" t="s">
        <v>211</v>
      </c>
      <c r="B107" s="3" t="s">
        <v>109</v>
      </c>
      <c r="C107" s="3" t="n">
        <v>25</v>
      </c>
      <c r="D107" s="21" t="n">
        <v>20.72</v>
      </c>
      <c r="E107" s="22" t="n">
        <v>507128</v>
      </c>
      <c r="F107" s="22" t="n">
        <v>329477</v>
      </c>
      <c r="G107" s="22" t="n">
        <v>336906</v>
      </c>
      <c r="H107" s="22" t="n">
        <v>361859</v>
      </c>
      <c r="I107" s="22"/>
      <c r="J107" s="22" t="n">
        <v>15901</v>
      </c>
      <c r="K107" s="33" t="n">
        <f aca="false">1-MIN(F107,IF(I107&gt;0,I107,F107))/E107</f>
        <v>0.350308009023363</v>
      </c>
    </row>
    <row r="108" customFormat="false" ht="15" hidden="false" customHeight="false" outlineLevel="0" collapsed="false">
      <c r="A108" s="3" t="s">
        <v>212</v>
      </c>
      <c r="B108" s="3" t="s">
        <v>109</v>
      </c>
      <c r="C108" s="3" t="n">
        <v>25</v>
      </c>
      <c r="D108" s="21" t="n">
        <v>17.78</v>
      </c>
      <c r="E108" s="22" t="n">
        <v>467808</v>
      </c>
      <c r="F108" s="22" t="n">
        <v>303932</v>
      </c>
      <c r="G108" s="22" t="n">
        <v>310784</v>
      </c>
      <c r="H108" s="22" t="n">
        <v>333802</v>
      </c>
      <c r="I108" s="22"/>
      <c r="J108" s="22" t="n">
        <v>17094</v>
      </c>
      <c r="K108" s="33" t="n">
        <f aca="false">1-MIN(F108,IF(I108&gt;0,I108,F108))/E108</f>
        <v>0.350306108488953</v>
      </c>
    </row>
    <row r="109" customFormat="false" ht="15" hidden="false" customHeight="false" outlineLevel="0" collapsed="false">
      <c r="A109" s="3" t="s">
        <v>213</v>
      </c>
      <c r="B109" s="3" t="s">
        <v>109</v>
      </c>
      <c r="C109" s="3" t="n">
        <v>26</v>
      </c>
      <c r="D109" s="21" t="n">
        <v>18.16</v>
      </c>
      <c r="E109" s="22" t="n">
        <v>477807</v>
      </c>
      <c r="F109" s="22" t="n">
        <v>310427</v>
      </c>
      <c r="G109" s="22" t="n">
        <v>317426</v>
      </c>
      <c r="H109" s="22" t="n">
        <v>340936</v>
      </c>
      <c r="I109" s="22"/>
      <c r="J109" s="22" t="n">
        <v>17094</v>
      </c>
      <c r="K109" s="33" t="n">
        <f aca="false">1-MIN(F109,IF(I109&gt;0,I109,F109))/E109</f>
        <v>0.350308806693916</v>
      </c>
    </row>
    <row r="110" customFormat="false" ht="15" hidden="false" customHeight="false" outlineLevel="0" collapsed="false">
      <c r="A110" s="3" t="s">
        <v>214</v>
      </c>
      <c r="B110" s="3" t="s">
        <v>109</v>
      </c>
      <c r="C110" s="3" t="n">
        <v>26</v>
      </c>
      <c r="D110" s="21" t="n">
        <v>17.76</v>
      </c>
      <c r="E110" s="22" t="n">
        <v>467282</v>
      </c>
      <c r="F110" s="22" t="n">
        <v>303590</v>
      </c>
      <c r="G110" s="22" t="n">
        <v>310435</v>
      </c>
      <c r="H110" s="22" t="n">
        <v>333427</v>
      </c>
      <c r="I110" s="22"/>
      <c r="J110" s="22" t="n">
        <v>17094</v>
      </c>
      <c r="K110" s="33" t="n">
        <f aca="false">1-MIN(F110,IF(I110&gt;0,I110,F110))/E110</f>
        <v>0.35030666706614</v>
      </c>
    </row>
    <row r="111" customFormat="false" ht="15" hidden="false" customHeight="false" outlineLevel="0" collapsed="false">
      <c r="A111" s="3" t="s">
        <v>215</v>
      </c>
      <c r="B111" s="3" t="s">
        <v>109</v>
      </c>
      <c r="C111" s="3" t="n">
        <v>26</v>
      </c>
      <c r="D111" s="21" t="n">
        <v>20.72</v>
      </c>
      <c r="E111" s="22" t="n">
        <v>507128</v>
      </c>
      <c r="F111" s="22" t="n">
        <v>329477</v>
      </c>
      <c r="G111" s="22" t="n">
        <v>336906</v>
      </c>
      <c r="H111" s="22" t="n">
        <v>361859</v>
      </c>
      <c r="I111" s="22"/>
      <c r="J111" s="22" t="n">
        <v>15901</v>
      </c>
      <c r="K111" s="33" t="n">
        <f aca="false">1-MIN(F111,IF(I111&gt;0,I111,F111))/E111</f>
        <v>0.350308009023363</v>
      </c>
    </row>
    <row r="112" customFormat="false" ht="15" hidden="false" customHeight="false" outlineLevel="0" collapsed="false">
      <c r="A112" s="3" t="s">
        <v>216</v>
      </c>
      <c r="B112" s="3" t="s">
        <v>109</v>
      </c>
      <c r="C112" s="3" t="n">
        <v>26</v>
      </c>
      <c r="D112" s="21" t="n">
        <v>17.78</v>
      </c>
      <c r="E112" s="22" t="n">
        <v>467808</v>
      </c>
      <c r="F112" s="22" t="n">
        <v>303932</v>
      </c>
      <c r="G112" s="22" t="n">
        <v>310784</v>
      </c>
      <c r="H112" s="22" t="n">
        <v>333802</v>
      </c>
      <c r="I112" s="22"/>
      <c r="J112" s="22" t="n">
        <v>17094</v>
      </c>
      <c r="K112" s="33" t="n">
        <f aca="false">1-MIN(F112,IF(I112&gt;0,I112,F112))/E112</f>
        <v>0.350306108488953</v>
      </c>
    </row>
    <row r="113" customFormat="false" ht="15" hidden="false" customHeight="false" outlineLevel="0" collapsed="false">
      <c r="A113" s="3" t="s">
        <v>217</v>
      </c>
      <c r="B113" s="3" t="s">
        <v>109</v>
      </c>
      <c r="C113" s="3" t="n">
        <v>27</v>
      </c>
      <c r="D113" s="21" t="n">
        <v>18.02</v>
      </c>
      <c r="E113" s="22" t="n">
        <v>474123</v>
      </c>
      <c r="F113" s="22" t="n">
        <v>308034</v>
      </c>
      <c r="G113" s="22" t="n">
        <v>314979</v>
      </c>
      <c r="H113" s="22" t="n">
        <v>338308</v>
      </c>
      <c r="I113" s="22"/>
      <c r="J113" s="22" t="n">
        <v>17094</v>
      </c>
      <c r="K113" s="33" t="n">
        <f aca="false">1-MIN(F113,IF(I113&gt;0,I113,F113))/E113</f>
        <v>0.350307831512076</v>
      </c>
    </row>
    <row r="114" customFormat="false" ht="15" hidden="false" customHeight="false" outlineLevel="0" collapsed="false">
      <c r="A114" s="3" t="s">
        <v>218</v>
      </c>
      <c r="B114" s="3" t="s">
        <v>109</v>
      </c>
      <c r="C114" s="3" t="n">
        <v>27</v>
      </c>
      <c r="D114" s="21" t="n">
        <v>17.76</v>
      </c>
      <c r="E114" s="22" t="n">
        <v>467282</v>
      </c>
      <c r="F114" s="22" t="n">
        <v>303590</v>
      </c>
      <c r="G114" s="22" t="n">
        <v>310435</v>
      </c>
      <c r="H114" s="22" t="n">
        <v>333427</v>
      </c>
      <c r="I114" s="22"/>
      <c r="J114" s="22" t="n">
        <v>17094</v>
      </c>
      <c r="K114" s="33" t="n">
        <f aca="false">1-MIN(F114,IF(I114&gt;0,I114,F114))/E114</f>
        <v>0.35030666706614</v>
      </c>
    </row>
    <row r="115" customFormat="false" ht="15" hidden="false" customHeight="false" outlineLevel="0" collapsed="false">
      <c r="A115" s="3" t="s">
        <v>219</v>
      </c>
      <c r="B115" s="3" t="s">
        <v>109</v>
      </c>
      <c r="C115" s="3" t="n">
        <v>27</v>
      </c>
      <c r="D115" s="21" t="n">
        <v>20.72</v>
      </c>
      <c r="E115" s="22" t="n">
        <v>507128</v>
      </c>
      <c r="F115" s="22" t="n">
        <v>329477</v>
      </c>
      <c r="G115" s="22" t="n">
        <v>336906</v>
      </c>
      <c r="H115" s="22" t="n">
        <v>361859</v>
      </c>
      <c r="I115" s="22"/>
      <c r="J115" s="22" t="n">
        <v>15901</v>
      </c>
      <c r="K115" s="33" t="n">
        <f aca="false">1-MIN(F115,IF(I115&gt;0,I115,F115))/E115</f>
        <v>0.350308009023363</v>
      </c>
    </row>
    <row r="116" customFormat="false" ht="15" hidden="false" customHeight="false" outlineLevel="0" collapsed="false">
      <c r="A116" s="3" t="s">
        <v>220</v>
      </c>
      <c r="B116" s="3" t="s">
        <v>109</v>
      </c>
      <c r="C116" s="3" t="n">
        <v>27</v>
      </c>
      <c r="D116" s="21" t="n">
        <v>17.78</v>
      </c>
      <c r="E116" s="22" t="n">
        <v>467808</v>
      </c>
      <c r="F116" s="22" t="n">
        <v>303932</v>
      </c>
      <c r="G116" s="22" t="n">
        <v>310784</v>
      </c>
      <c r="H116" s="22" t="n">
        <v>333802</v>
      </c>
      <c r="I116" s="22"/>
      <c r="J116" s="22" t="n">
        <v>17094</v>
      </c>
      <c r="K116" s="33" t="n">
        <f aca="false">1-MIN(F116,IF(I116&gt;0,I116,F116))/E116</f>
        <v>0.350306108488953</v>
      </c>
    </row>
    <row r="117" customFormat="false" ht="15" hidden="false" customHeight="false" outlineLevel="0" collapsed="false">
      <c r="A117" s="3" t="s">
        <v>221</v>
      </c>
      <c r="B117" s="3" t="s">
        <v>222</v>
      </c>
      <c r="C117" s="3" t="n">
        <v>19</v>
      </c>
      <c r="D117" s="21" t="n">
        <v>33.58</v>
      </c>
      <c r="E117" s="22" t="n">
        <v>824257</v>
      </c>
      <c r="F117" s="22" t="n">
        <v>535514</v>
      </c>
      <c r="G117" s="22" t="n">
        <v>547587</v>
      </c>
      <c r="H117" s="22" t="n">
        <v>588144</v>
      </c>
      <c r="I117" s="22"/>
      <c r="J117" s="22" t="n">
        <v>15947</v>
      </c>
      <c r="K117" s="33" t="n">
        <f aca="false">1-MIN(F117,IF(I117&gt;0,I117,F117))/E117</f>
        <v>0.350307003762176</v>
      </c>
    </row>
    <row r="118" customFormat="false" ht="15" hidden="false" customHeight="false" outlineLevel="0" collapsed="false">
      <c r="A118" s="3" t="s">
        <v>223</v>
      </c>
      <c r="B118" s="3" t="s">
        <v>222</v>
      </c>
      <c r="C118" s="3" t="n">
        <v>20</v>
      </c>
      <c r="D118" s="21" t="n">
        <v>33.58</v>
      </c>
      <c r="E118" s="22" t="n">
        <v>824257</v>
      </c>
      <c r="F118" s="22" t="n">
        <v>535514</v>
      </c>
      <c r="G118" s="22" t="n">
        <v>547587</v>
      </c>
      <c r="H118" s="22" t="n">
        <v>588144</v>
      </c>
      <c r="I118" s="22"/>
      <c r="J118" s="22" t="n">
        <v>15947</v>
      </c>
      <c r="K118" s="33" t="n">
        <f aca="false">1-MIN(F118,IF(I118&gt;0,I118,F118))/E118</f>
        <v>0.350307003762176</v>
      </c>
    </row>
    <row r="119" customFormat="false" ht="15" hidden="false" customHeight="false" outlineLevel="0" collapsed="false">
      <c r="A119" s="3" t="s">
        <v>224</v>
      </c>
      <c r="B119" s="3" t="s">
        <v>222</v>
      </c>
      <c r="C119" s="3" t="n">
        <v>21</v>
      </c>
      <c r="D119" s="21" t="n">
        <v>33.58</v>
      </c>
      <c r="E119" s="22" t="n">
        <v>837226</v>
      </c>
      <c r="F119" s="22" t="n">
        <v>543940</v>
      </c>
      <c r="G119" s="22" t="n">
        <v>556203</v>
      </c>
      <c r="H119" s="22" t="n">
        <v>597398</v>
      </c>
      <c r="I119" s="22"/>
      <c r="J119" s="22" t="n">
        <v>16198</v>
      </c>
      <c r="K119" s="33" t="n">
        <f aca="false">1-MIN(F119,IF(I119&gt;0,I119,F119))/E119</f>
        <v>0.350306846657892</v>
      </c>
    </row>
    <row r="120" customFormat="false" ht="15" hidden="false" customHeight="false" outlineLevel="0" collapsed="false">
      <c r="A120" s="3" t="s">
        <v>225</v>
      </c>
      <c r="B120" s="3" t="s">
        <v>222</v>
      </c>
      <c r="C120" s="3" t="n">
        <v>22</v>
      </c>
      <c r="D120" s="21" t="n">
        <v>33.58</v>
      </c>
      <c r="E120" s="22" t="n">
        <v>837226</v>
      </c>
      <c r="F120" s="22" t="n">
        <v>543940</v>
      </c>
      <c r="G120" s="22" t="n">
        <v>556203</v>
      </c>
      <c r="H120" s="22" t="n">
        <v>597398</v>
      </c>
      <c r="I120" s="22"/>
      <c r="J120" s="22" t="n">
        <v>16198</v>
      </c>
      <c r="K120" s="33" t="n">
        <f aca="false">1-MIN(F120,IF(I120&gt;0,I120,F120))/E120</f>
        <v>0.350306846657892</v>
      </c>
    </row>
    <row r="121" customFormat="false" ht="15" hidden="false" customHeight="false" outlineLevel="0" collapsed="false">
      <c r="A121" s="3" t="s">
        <v>226</v>
      </c>
      <c r="B121" s="3" t="s">
        <v>222</v>
      </c>
      <c r="C121" s="3" t="n">
        <v>23</v>
      </c>
      <c r="D121" s="21" t="n">
        <v>33.58</v>
      </c>
      <c r="E121" s="22" t="n">
        <v>837226</v>
      </c>
      <c r="F121" s="22" t="n">
        <v>543940</v>
      </c>
      <c r="G121" s="22" t="n">
        <v>556203</v>
      </c>
      <c r="H121" s="22" t="n">
        <v>597398</v>
      </c>
      <c r="I121" s="22"/>
      <c r="J121" s="22" t="n">
        <v>16198</v>
      </c>
      <c r="K121" s="33" t="n">
        <f aca="false">1-MIN(F121,IF(I121&gt;0,I121,F121))/E121</f>
        <v>0.350306846657892</v>
      </c>
    </row>
    <row r="122" customFormat="false" ht="15" hidden="false" customHeight="false" outlineLevel="0" collapsed="false">
      <c r="A122" s="3" t="s">
        <v>227</v>
      </c>
      <c r="B122" s="3" t="s">
        <v>222</v>
      </c>
      <c r="C122" s="3" t="n">
        <v>24</v>
      </c>
      <c r="D122" s="21" t="n">
        <v>33.58</v>
      </c>
      <c r="E122" s="22" t="n">
        <v>837226</v>
      </c>
      <c r="F122" s="22" t="n">
        <v>543940</v>
      </c>
      <c r="G122" s="22" t="n">
        <v>556203</v>
      </c>
      <c r="H122" s="22" t="n">
        <v>597398</v>
      </c>
      <c r="I122" s="22"/>
      <c r="J122" s="22" t="n">
        <v>16198</v>
      </c>
      <c r="K122" s="33" t="n">
        <f aca="false">1-MIN(F122,IF(I122&gt;0,I122,F122))/E122</f>
        <v>0.350306846657892</v>
      </c>
    </row>
    <row r="123" customFormat="false" ht="15" hidden="false" customHeight="false" outlineLevel="0" collapsed="false">
      <c r="A123" s="3" t="s">
        <v>228</v>
      </c>
      <c r="B123" s="3" t="s">
        <v>222</v>
      </c>
      <c r="C123" s="3" t="n">
        <v>25</v>
      </c>
      <c r="D123" s="21" t="n">
        <v>33.58</v>
      </c>
      <c r="E123" s="22" t="n">
        <v>850195</v>
      </c>
      <c r="F123" s="22" t="n">
        <v>552366</v>
      </c>
      <c r="G123" s="22" t="n">
        <v>564820</v>
      </c>
      <c r="H123" s="22" t="n">
        <v>606653</v>
      </c>
      <c r="I123" s="22"/>
      <c r="J123" s="22" t="n">
        <v>16449</v>
      </c>
      <c r="K123" s="33" t="n">
        <f aca="false">1-MIN(F123,IF(I123&gt;0,I123,F123))/E123</f>
        <v>0.350306694346591</v>
      </c>
    </row>
    <row r="124" customFormat="false" ht="15" hidden="false" customHeight="false" outlineLevel="0" collapsed="false">
      <c r="A124" s="3" t="s">
        <v>229</v>
      </c>
      <c r="B124" s="3" t="s">
        <v>222</v>
      </c>
      <c r="C124" s="3" t="n">
        <v>26</v>
      </c>
      <c r="D124" s="21" t="n">
        <v>33.58</v>
      </c>
      <c r="E124" s="22" t="n">
        <v>850195</v>
      </c>
      <c r="F124" s="22" t="n">
        <v>552366</v>
      </c>
      <c r="G124" s="22" t="n">
        <v>564820</v>
      </c>
      <c r="H124" s="22" t="n">
        <v>606653</v>
      </c>
      <c r="I124" s="22"/>
      <c r="J124" s="22" t="n">
        <v>16449</v>
      </c>
      <c r="K124" s="33" t="n">
        <f aca="false">1-MIN(F124,IF(I124&gt;0,I124,F124))/E124</f>
        <v>0.350306694346591</v>
      </c>
    </row>
    <row r="125" customFormat="false" ht="15" hidden="false" customHeight="false" outlineLevel="0" collapsed="false">
      <c r="A125" s="3" t="s">
        <v>230</v>
      </c>
      <c r="B125" s="3" t="s">
        <v>222</v>
      </c>
      <c r="C125" s="3" t="n">
        <v>27</v>
      </c>
      <c r="D125" s="21" t="n">
        <v>33.58</v>
      </c>
      <c r="E125" s="22" t="n">
        <v>850195</v>
      </c>
      <c r="F125" s="22" t="n">
        <v>552366</v>
      </c>
      <c r="G125" s="22" t="n">
        <v>564820</v>
      </c>
      <c r="H125" s="22" t="n">
        <v>606653</v>
      </c>
      <c r="I125" s="22"/>
      <c r="J125" s="22" t="n">
        <v>16449</v>
      </c>
      <c r="K125" s="33" t="n">
        <f aca="false">1-MIN(F125,IF(I125&gt;0,I125,F125))/E125</f>
        <v>0.350306694346591</v>
      </c>
    </row>
    <row r="127" customFormat="false" ht="15" hidden="false" customHeight="false" outlineLevel="0" collapsed="false">
      <c r="A127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11" min="9" style="0" width="9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40" min="17" style="0" width="12"/>
    <col collapsed="false" customWidth="true" hidden="false" outlineLevel="0" max="41" min="41" style="0" width="14"/>
  </cols>
  <sheetData>
    <row r="1" customFormat="false" ht="17.35" hidden="false" customHeight="false" outlineLevel="0" collapsed="false">
      <c r="A1" s="1" t="s">
        <v>232</v>
      </c>
    </row>
    <row r="4" customFormat="false" ht="66" hidden="false" customHeight="true" outlineLevel="0" collapsed="false">
      <c r="A4" s="34" t="s">
        <v>233</v>
      </c>
      <c r="B4" s="34" t="s">
        <v>234</v>
      </c>
      <c r="C4" s="34" t="s">
        <v>235</v>
      </c>
      <c r="D4" s="34" t="s">
        <v>236</v>
      </c>
      <c r="E4" s="34" t="s">
        <v>237</v>
      </c>
      <c r="F4" s="34" t="s">
        <v>69</v>
      </c>
      <c r="G4" s="34" t="s">
        <v>238</v>
      </c>
      <c r="H4" s="34" t="s">
        <v>239</v>
      </c>
      <c r="I4" s="34" t="s">
        <v>240</v>
      </c>
      <c r="J4" s="34" t="s">
        <v>241</v>
      </c>
      <c r="K4" s="34" t="s">
        <v>242</v>
      </c>
      <c r="L4" s="34" t="s">
        <v>243</v>
      </c>
      <c r="M4" s="34" t="s">
        <v>244</v>
      </c>
      <c r="N4" s="34" t="s">
        <v>245</v>
      </c>
      <c r="O4" s="34" t="s">
        <v>246</v>
      </c>
      <c r="P4" s="34" t="s">
        <v>247</v>
      </c>
      <c r="Q4" s="34" t="s">
        <v>248</v>
      </c>
      <c r="R4" s="34" t="s">
        <v>249</v>
      </c>
      <c r="S4" s="34" t="s">
        <v>250</v>
      </c>
      <c r="T4" s="34" t="s">
        <v>251</v>
      </c>
      <c r="U4" s="34" t="s">
        <v>252</v>
      </c>
      <c r="V4" s="34" t="s">
        <v>253</v>
      </c>
      <c r="W4" s="34" t="s">
        <v>254</v>
      </c>
      <c r="X4" s="34" t="s">
        <v>255</v>
      </c>
      <c r="Y4" s="34" t="s">
        <v>256</v>
      </c>
      <c r="Z4" s="34" t="s">
        <v>257</v>
      </c>
      <c r="AA4" s="34" t="s">
        <v>258</v>
      </c>
      <c r="AB4" s="34" t="s">
        <v>259</v>
      </c>
      <c r="AC4" s="34" t="s">
        <v>260</v>
      </c>
      <c r="AD4" s="34" t="s">
        <v>261</v>
      </c>
      <c r="AE4" s="34" t="s">
        <v>262</v>
      </c>
      <c r="AF4" s="34" t="s">
        <v>263</v>
      </c>
      <c r="AG4" s="34" t="s">
        <v>264</v>
      </c>
      <c r="AH4" s="34" t="s">
        <v>265</v>
      </c>
      <c r="AI4" s="34" t="s">
        <v>266</v>
      </c>
      <c r="AJ4" s="34" t="s">
        <v>267</v>
      </c>
      <c r="AK4" s="34" t="s">
        <v>268</v>
      </c>
      <c r="AL4" s="34" t="s">
        <v>269</v>
      </c>
      <c r="AM4" s="34" t="s">
        <v>270</v>
      </c>
      <c r="AN4" s="34" t="s">
        <v>271</v>
      </c>
      <c r="AO4" s="35" t="s">
        <v>272</v>
      </c>
    </row>
    <row r="5" customFormat="false" ht="15" hidden="false" customHeight="false" outlineLevel="0" collapsed="false">
      <c r="A5" s="26" t="n">
        <f aca="false">Premissas!$C$16</f>
        <v>46296</v>
      </c>
      <c r="B5" s="22" t="str">
        <f aca="false">IF($A5&lt;Premissas!$C$18,"Obra",IF($A5&lt;Premissas!$C$20,"Entrega/mobília","Airbnb"))</f>
        <v>Obra</v>
      </c>
      <c r="C5" s="36" t="n">
        <f aca="false">(YEAR($A5)-YEAR(Premissas!$C$16))*12+MONTH($A5)-MONTH(Premissas!$C$16)</f>
        <v>0</v>
      </c>
      <c r="D5" s="33" t="n">
        <f aca="false">IF($A5&gt;=Premissas!$C$20,Premissas!$C$31*IF(((YEAR($A5)-YEAR(Premissas!$C$20))*12+MONTH($A5)-MONTH(Premissas!$C$20))&lt;Premissas!$C$33,Premissas!$C$34,1),0)</f>
        <v>0</v>
      </c>
      <c r="E5" s="22" t="n">
        <f aca="false">D5*Premissas!$C$30*Premissas!$C$32*(1+Premissas!$C$58)^$C5</f>
        <v>0</v>
      </c>
      <c r="F5" s="22" t="n">
        <f aca="false">E5*Premissas!$C$35</f>
        <v>0</v>
      </c>
      <c r="G5" s="22" t="n">
        <f aca="false">E5*Premissas!$C$36</f>
        <v>0</v>
      </c>
      <c r="H5" s="22" t="n">
        <f aca="false">IF($A5&gt;=Premissas!$C$18,Premissas!$C$37*(1+Premissas!$C$58)^$C5,0)</f>
        <v>0</v>
      </c>
      <c r="I5" s="22" t="n">
        <f aca="false">IF($A5&gt;=Premissas!$C$20,Premissas!$C$38*(1+Premissas!$C$58)^$C5,0)</f>
        <v>0</v>
      </c>
      <c r="J5" s="22" t="n">
        <f aca="false">IF($A5&gt;=Premissas!$C$20,Premissas!$C$39*(1+Premissas!$C$58)^$C5,0)</f>
        <v>0</v>
      </c>
      <c r="K5" s="22" t="n">
        <f aca="false">IF($A5&gt;=Premissas!$C$20,MAX(0,E5-F5-G5-H5)*Premissas!$C$41,0)</f>
        <v>0</v>
      </c>
      <c r="L5" s="22" t="n">
        <f aca="false">E5-F5-G5-H5-I5-J5-K5</f>
        <v>0</v>
      </c>
      <c r="M5" s="22" t="n">
        <f aca="false">($A5=Premissas!$C$18)*Premissas!$C$26*Premissas!$C$60</f>
        <v>0</v>
      </c>
      <c r="N5" s="22" t="n">
        <f aca="false">IF(AND($A5&gt;=Premissas!$C$18,$A5&lt;Premissas!$C$20),Premissas!$C$27/MAX(1,Premissas!$C$19),0)</f>
        <v>0</v>
      </c>
      <c r="O5" s="22" t="str">
        <f aca="false">IF($A5&gt;=Premissas!$C$18,Premissas!$C$60*(1+Premissas!$C$59)^((YEAR($A5)-YEAR(Premissas!$C$18))*12+MONTH($A5)-MONTH(Premissas!$C$18)),"")</f>
        <v/>
      </c>
      <c r="P5" s="31" t="n">
        <f aca="false">(1+IF(YEAR($A5)&lt;=2026,Premissas!$C$49,IF(YEAR($A5)=2027,Premissas!$C$50,IF(YEAR($A5)=2028,Premissas!$C$51,Premissas!$C$52)))*(1-Premissas!$C$53))^(1/12)-1</f>
        <v>0.00941365140645845</v>
      </c>
      <c r="Q5" s="22" t="n">
        <f aca="false">($A5=Premissas!$C$16)*Premissas!$C$13</f>
        <v>250000</v>
      </c>
      <c r="R5" s="22" t="n">
        <f aca="false">L5-M5-N5-Q5</f>
        <v>-250000</v>
      </c>
      <c r="S5" s="22" t="n">
        <f aca="false">R5</f>
        <v>-250000</v>
      </c>
      <c r="T5" s="22" t="str">
        <f aca="false">IF($A5&gt;=Premissas!$C$18,O5*(1-Premissas!$C$45)-Premissas!$C$46*MAX(0,O5*(1-Premissas!$C$45)-(SUM($Q$5:$Q$355)+Premissas!$C$26*Premissas!$C$60)),"")</f>
        <v/>
      </c>
      <c r="U5" s="22" t="str">
        <f aca="false">IF($A5&gt;=Premissas!$C$18,S5+T5,"")</f>
        <v/>
      </c>
      <c r="V5" s="22" t="n">
        <f aca="false">0*(1+$P5)-R5</f>
        <v>250000</v>
      </c>
      <c r="W5" s="22" t="n">
        <f aca="false">($A5=Premissas!$C$16)*Premissas!$C$9</f>
        <v>280928</v>
      </c>
      <c r="X5" s="22" t="n">
        <f aca="false">L5-M5-N5-W5</f>
        <v>-280928</v>
      </c>
      <c r="Y5" s="22" t="n">
        <f aca="false">X5</f>
        <v>-280928</v>
      </c>
      <c r="Z5" s="22" t="str">
        <f aca="false">IF($A5&gt;=Premissas!$C$18,O5*(1-Premissas!$C$45)-Premissas!$C$46*MAX(0,O5*(1-Premissas!$C$45)-(SUM($W$5:$W$355)+Premissas!$C$26*Premissas!$C$60)),"")</f>
        <v/>
      </c>
      <c r="AA5" s="22" t="str">
        <f aca="false">IF($A5&gt;=Premissas!$C$18,Y5+Z5,"")</f>
        <v/>
      </c>
      <c r="AB5" s="22" t="n">
        <f aca="false">0*(1+$P5)-X5</f>
        <v>280928</v>
      </c>
      <c r="AC5" s="22" t="n">
        <f aca="false">AND($A5&gt;=Premissas!$C$16,$A5&lt;EDATE(Premissas!$C$16,3))*Premissas!$C$10/3*(1+Premissas!$C$56)^$C5</f>
        <v>95754</v>
      </c>
      <c r="AD5" s="22" t="n">
        <f aca="false">L5-M5-N5-AC5</f>
        <v>-95754</v>
      </c>
      <c r="AE5" s="22" t="n">
        <f aca="false">AD5</f>
        <v>-95754</v>
      </c>
      <c r="AF5" s="22" t="str">
        <f aca="false">IF($A5&gt;=Premissas!$C$18,O5*(1-Premissas!$C$45)-Premissas!$C$46*MAX(0,O5*(1-Premissas!$C$45)-(SUM($AC$5:$AC$355)+Premissas!$C$26*Premissas!$C$60)),"")</f>
        <v/>
      </c>
      <c r="AG5" s="22" t="str">
        <f aca="false">IF($A5&gt;=Premissas!$C$18,AE5+AF5,"")</f>
        <v/>
      </c>
      <c r="AH5" s="22" t="n">
        <f aca="false">0*(1+$P5)-AD5</f>
        <v>95754</v>
      </c>
      <c r="AI5" s="22" t="n">
        <f aca="false">($A5=Premissas!$C$16)*0.2*Premissas!$C$11+AND($A5&gt;Premissas!$C$16,$A5&lt;=EDATE(Premissas!$C$16,43))*0.8*Premissas!$C$11/43*(1+Premissas!$C$56)^$C5</f>
        <v>61707.6</v>
      </c>
      <c r="AJ5" s="22" t="n">
        <f aca="false">L5-M5-N5-AI5</f>
        <v>-61707.6</v>
      </c>
      <c r="AK5" s="22" t="n">
        <f aca="false">AJ5</f>
        <v>-61707.6</v>
      </c>
      <c r="AL5" s="22" t="str">
        <f aca="false">IF($A5&gt;=Premissas!$C$18,O5*(1-Premissas!$C$45)-Premissas!$C$46*MAX(0,O5*(1-Premissas!$C$45)-(SUM($AI$5:$AI$355)+Premissas!$C$26*Premissas!$C$60)),"")</f>
        <v/>
      </c>
      <c r="AM5" s="22" t="str">
        <f aca="false">IF($A5&gt;=Premissas!$C$18,AK5+AL5,"")</f>
        <v/>
      </c>
      <c r="AN5" s="22" t="n">
        <f aca="false">0*(1+$P5)-AJ5</f>
        <v>61707.6</v>
      </c>
      <c r="AO5" s="22" t="n">
        <f aca="false">V5+S5</f>
        <v>0</v>
      </c>
    </row>
    <row r="6" customFormat="false" ht="15" hidden="false" customHeight="false" outlineLevel="0" collapsed="false">
      <c r="A6" s="26" t="n">
        <f aca="false">DATE(YEAR(A5),MONTH(A5)+1,1)</f>
        <v>46327</v>
      </c>
      <c r="B6" s="22" t="str">
        <f aca="false">IF($A6&lt;Premissas!$C$18,"Obra",IF($A6&lt;Premissas!$C$20,"Entrega/mobília","Airbnb"))</f>
        <v>Obra</v>
      </c>
      <c r="C6" s="36" t="n">
        <f aca="false">(YEAR($A6)-YEAR(Premissas!$C$16))*12+MONTH($A6)-MONTH(Premissas!$C$16)</f>
        <v>1</v>
      </c>
      <c r="D6" s="33" t="n">
        <f aca="false">IF($A6&gt;=Premissas!$C$20,Premissas!$C$31*IF(((YEAR($A6)-YEAR(Premissas!$C$20))*12+MONTH($A6)-MONTH(Premissas!$C$20))&lt;Premissas!$C$33,Premissas!$C$34,1),0)</f>
        <v>0</v>
      </c>
      <c r="E6" s="22" t="n">
        <f aca="false">D6*Premissas!$C$30*Premissas!$C$32*(1+Premissas!$C$58)^$C6</f>
        <v>0</v>
      </c>
      <c r="F6" s="22" t="n">
        <f aca="false">E6*Premissas!$C$35</f>
        <v>0</v>
      </c>
      <c r="G6" s="22" t="n">
        <f aca="false">E6*Premissas!$C$36</f>
        <v>0</v>
      </c>
      <c r="H6" s="22" t="n">
        <f aca="false">IF($A6&gt;=Premissas!$C$18,Premissas!$C$37*(1+Premissas!$C$58)^$C6,0)</f>
        <v>0</v>
      </c>
      <c r="I6" s="22" t="n">
        <f aca="false">IF($A6&gt;=Premissas!$C$20,Premissas!$C$38*(1+Premissas!$C$58)^$C6,0)</f>
        <v>0</v>
      </c>
      <c r="J6" s="22" t="n">
        <f aca="false">IF($A6&gt;=Premissas!$C$20,Premissas!$C$39*(1+Premissas!$C$58)^$C6,0)</f>
        <v>0</v>
      </c>
      <c r="K6" s="22" t="n">
        <f aca="false">IF($A6&gt;=Premissas!$C$20,MAX(0,E6-F6-G6-H6)*Premissas!$C$41,0)</f>
        <v>0</v>
      </c>
      <c r="L6" s="22" t="n">
        <f aca="false">E6-F6-G6-H6-I6-J6-K6</f>
        <v>0</v>
      </c>
      <c r="M6" s="22" t="n">
        <f aca="false">($A6=Premissas!$C$18)*Premissas!$C$26*Premissas!$C$60</f>
        <v>0</v>
      </c>
      <c r="N6" s="22" t="n">
        <f aca="false">IF(AND($A6&gt;=Premissas!$C$18,$A6&lt;Premissas!$C$20),Premissas!$C$27/MAX(1,Premissas!$C$19),0)</f>
        <v>0</v>
      </c>
      <c r="O6" s="22" t="str">
        <f aca="false">IF($A6&gt;=Premissas!$C$18,Premissas!$C$60*(1+Premissas!$C$59)^((YEAR($A6)-YEAR(Premissas!$C$18))*12+MONTH($A6)-MONTH(Premissas!$C$18)),"")</f>
        <v/>
      </c>
      <c r="P6" s="31" t="n">
        <f aca="false">(1+IF(YEAR($A6)&lt;=2026,Premissas!$C$49,IF(YEAR($A6)=2027,Premissas!$C$50,IF(YEAR($A6)=2028,Premissas!$C$51,Premissas!$C$52)))*(1-Premissas!$C$53))^(1/12)-1</f>
        <v>0.00941365140645845</v>
      </c>
      <c r="Q6" s="22" t="n">
        <f aca="false">($A6=Premissas!$C$16)*Premissas!$C$13</f>
        <v>0</v>
      </c>
      <c r="R6" s="22" t="n">
        <f aca="false">L6-M6-N6-Q6</f>
        <v>0</v>
      </c>
      <c r="S6" s="22" t="n">
        <f aca="false">S5+R6</f>
        <v>-250000</v>
      </c>
      <c r="T6" s="22" t="str">
        <f aca="false">IF($A6&gt;=Premissas!$C$18,O6*(1-Premissas!$C$45)-Premissas!$C$46*MAX(0,O6*(1-Premissas!$C$45)-(SUM($Q$5:$Q$355)+Premissas!$C$26*Premissas!$C$60)),"")</f>
        <v/>
      </c>
      <c r="U6" s="22" t="str">
        <f aca="false">IF($A6&gt;=Premissas!$C$18,S6+T6,"")</f>
        <v/>
      </c>
      <c r="V6" s="22" t="n">
        <f aca="false">V5*(1+$P6)-R6</f>
        <v>252353.412851615</v>
      </c>
      <c r="W6" s="22" t="n">
        <f aca="false">($A6=Premissas!$C$16)*Premissas!$C$9</f>
        <v>0</v>
      </c>
      <c r="X6" s="22" t="n">
        <f aca="false">L6-M6-N6-W6</f>
        <v>0</v>
      </c>
      <c r="Y6" s="22" t="n">
        <f aca="false">Y5+X6</f>
        <v>-280928</v>
      </c>
      <c r="Z6" s="22" t="str">
        <f aca="false">IF($A6&gt;=Premissas!$C$18,O6*(1-Premissas!$C$45)-Premissas!$C$46*MAX(0,O6*(1-Premissas!$C$45)-(SUM($W$5:$W$355)+Premissas!$C$26*Premissas!$C$60)),"")</f>
        <v/>
      </c>
      <c r="AA6" s="22" t="str">
        <f aca="false">IF($A6&gt;=Premissas!$C$18,Y6+Z6,"")</f>
        <v/>
      </c>
      <c r="AB6" s="22" t="n">
        <f aca="false">AB5*(1+$P6)-X6</f>
        <v>283572.558262314</v>
      </c>
      <c r="AC6" s="22" t="n">
        <f aca="false">AND($A6&gt;=Premissas!$C$16,$A6&lt;EDATE(Premissas!$C$16,3))*Premissas!$C$10/3*(1+Premissas!$C$56)^$C6</f>
        <v>96182.1830581025</v>
      </c>
      <c r="AD6" s="22" t="n">
        <f aca="false">L6-M6-N6-AC6</f>
        <v>-96182.1830581025</v>
      </c>
      <c r="AE6" s="22" t="n">
        <f aca="false">AE5+AD6</f>
        <v>-191936.183058103</v>
      </c>
      <c r="AF6" s="22" t="str">
        <f aca="false">IF($A6&gt;=Premissas!$C$18,O6*(1-Premissas!$C$45)-Premissas!$C$46*MAX(0,O6*(1-Premissas!$C$45)-(SUM($AC$5:$AC$355)+Premissas!$C$26*Premissas!$C$60)),"")</f>
        <v/>
      </c>
      <c r="AG6" s="22" t="str">
        <f aca="false">IF($A6&gt;=Premissas!$C$18,AE6+AF6,"")</f>
        <v/>
      </c>
      <c r="AH6" s="22" t="n">
        <f aca="false">AH5*(1+$P6)-AD6</f>
        <v>192837.577834877</v>
      </c>
      <c r="AI6" s="22" t="n">
        <f aca="false">($A6=Premissas!$C$16)*0.2*Premissas!$C$11+AND($A6&gt;Premissas!$C$16,$A6&lt;=EDATE(Premissas!$C$16,43))*0.8*Premissas!$C$11/43*(1+Premissas!$C$56)^$C6</f>
        <v>5765.91049377612</v>
      </c>
      <c r="AJ6" s="22" t="n">
        <f aca="false">L6-M6-N6-AI6</f>
        <v>-5765.91049377612</v>
      </c>
      <c r="AK6" s="22" t="n">
        <f aca="false">AK5+AJ6</f>
        <v>-67473.5104937761</v>
      </c>
      <c r="AL6" s="22" t="str">
        <f aca="false">IF($A6&gt;=Premissas!$C$18,O6*(1-Premissas!$C$45)-Premissas!$C$46*MAX(0,O6*(1-Premissas!$C$45)-(SUM($AI$5:$AI$355)+Premissas!$C$26*Premissas!$C$60)),"")</f>
        <v/>
      </c>
      <c r="AM6" s="22" t="str">
        <f aca="false">IF($A6&gt;=Premissas!$C$18,AK6+AL6,"")</f>
        <v/>
      </c>
      <c r="AN6" s="22" t="n">
        <f aca="false">AN5*(1+$P6)-AJ6</f>
        <v>68054.4043293053</v>
      </c>
      <c r="AO6" s="22" t="n">
        <f aca="false">V6+S6</f>
        <v>2353.41285161462</v>
      </c>
    </row>
    <row r="7" customFormat="false" ht="15" hidden="false" customHeight="false" outlineLevel="0" collapsed="false">
      <c r="A7" s="26" t="n">
        <f aca="false">DATE(YEAR(A6),MONTH(A6)+1,1)</f>
        <v>46357</v>
      </c>
      <c r="B7" s="22" t="str">
        <f aca="false">IF($A7&lt;Premissas!$C$18,"Obra",IF($A7&lt;Premissas!$C$20,"Entrega/mobília","Airbnb"))</f>
        <v>Obra</v>
      </c>
      <c r="C7" s="36" t="n">
        <f aca="false">(YEAR($A7)-YEAR(Premissas!$C$16))*12+MONTH($A7)-MONTH(Premissas!$C$16)</f>
        <v>2</v>
      </c>
      <c r="D7" s="33" t="n">
        <f aca="false">IF($A7&gt;=Premissas!$C$20,Premissas!$C$31*IF(((YEAR($A7)-YEAR(Premissas!$C$20))*12+MONTH($A7)-MONTH(Premissas!$C$20))&lt;Premissas!$C$33,Premissas!$C$34,1),0)</f>
        <v>0</v>
      </c>
      <c r="E7" s="22" t="n">
        <f aca="false">D7*Premissas!$C$30*Premissas!$C$32*(1+Premissas!$C$58)^$C7</f>
        <v>0</v>
      </c>
      <c r="F7" s="22" t="n">
        <f aca="false">E7*Premissas!$C$35</f>
        <v>0</v>
      </c>
      <c r="G7" s="22" t="n">
        <f aca="false">E7*Premissas!$C$36</f>
        <v>0</v>
      </c>
      <c r="H7" s="22" t="n">
        <f aca="false">IF($A7&gt;=Premissas!$C$18,Premissas!$C$37*(1+Premissas!$C$58)^$C7,0)</f>
        <v>0</v>
      </c>
      <c r="I7" s="22" t="n">
        <f aca="false">IF($A7&gt;=Premissas!$C$20,Premissas!$C$38*(1+Premissas!$C$58)^$C7,0)</f>
        <v>0</v>
      </c>
      <c r="J7" s="22" t="n">
        <f aca="false">IF($A7&gt;=Premissas!$C$20,Premissas!$C$39*(1+Premissas!$C$58)^$C7,0)</f>
        <v>0</v>
      </c>
      <c r="K7" s="22" t="n">
        <f aca="false">IF($A7&gt;=Premissas!$C$20,MAX(0,E7-F7-G7-H7)*Premissas!$C$41,0)</f>
        <v>0</v>
      </c>
      <c r="L7" s="22" t="n">
        <f aca="false">E7-F7-G7-H7-I7-J7-K7</f>
        <v>0</v>
      </c>
      <c r="M7" s="22" t="n">
        <f aca="false">($A7=Premissas!$C$18)*Premissas!$C$26*Premissas!$C$60</f>
        <v>0</v>
      </c>
      <c r="N7" s="22" t="n">
        <f aca="false">IF(AND($A7&gt;=Premissas!$C$18,$A7&lt;Premissas!$C$20),Premissas!$C$27/MAX(1,Premissas!$C$19),0)</f>
        <v>0</v>
      </c>
      <c r="O7" s="22" t="str">
        <f aca="false">IF($A7&gt;=Premissas!$C$18,Premissas!$C$60*(1+Premissas!$C$59)^((YEAR($A7)-YEAR(Premissas!$C$18))*12+MONTH($A7)-MONTH(Premissas!$C$18)),"")</f>
        <v/>
      </c>
      <c r="P7" s="31" t="n">
        <f aca="false">(1+IF(YEAR($A7)&lt;=2026,Premissas!$C$49,IF(YEAR($A7)=2027,Premissas!$C$50,IF(YEAR($A7)=2028,Premissas!$C$51,Premissas!$C$52)))*(1-Premissas!$C$53))^(1/12)-1</f>
        <v>0.00941365140645845</v>
      </c>
      <c r="Q7" s="22" t="n">
        <f aca="false">($A7=Premissas!$C$16)*Premissas!$C$13</f>
        <v>0</v>
      </c>
      <c r="R7" s="22" t="n">
        <f aca="false">L7-M7-N7-Q7</f>
        <v>0</v>
      </c>
      <c r="S7" s="22" t="n">
        <f aca="false">S6+R7</f>
        <v>-250000</v>
      </c>
      <c r="T7" s="22" t="str">
        <f aca="false">IF($A7&gt;=Premissas!$C$18,O7*(1-Premissas!$C$45)-Premissas!$C$46*MAX(0,O7*(1-Premissas!$C$45)-(SUM($Q$5:$Q$355)+Premissas!$C$26*Premissas!$C$60)),"")</f>
        <v/>
      </c>
      <c r="U7" s="22" t="str">
        <f aca="false">IF($A7&gt;=Premissas!$C$18,S7+T7,"")</f>
        <v/>
      </c>
      <c r="V7" s="22" t="n">
        <f aca="false">V6*(1+$P7)-R7</f>
        <v>254728.97991143</v>
      </c>
      <c r="W7" s="22" t="n">
        <f aca="false">($A7=Premissas!$C$16)*Premissas!$C$9</f>
        <v>0</v>
      </c>
      <c r="X7" s="22" t="n">
        <f aca="false">L7-M7-N7-W7</f>
        <v>0</v>
      </c>
      <c r="Y7" s="22" t="n">
        <f aca="false">Y6+X7</f>
        <v>-280928</v>
      </c>
      <c r="Z7" s="22" t="str">
        <f aca="false">IF($A7&gt;=Premissas!$C$18,O7*(1-Premissas!$C$45)-Premissas!$C$46*MAX(0,O7*(1-Premissas!$C$45)-(SUM($W$5:$W$355)+Premissas!$C$26*Premissas!$C$60)),"")</f>
        <v/>
      </c>
      <c r="AA7" s="22" t="str">
        <f aca="false">IF($A7&gt;=Premissas!$C$18,Y7+Z7,"")</f>
        <v/>
      </c>
      <c r="AB7" s="22" t="n">
        <f aca="false">AB6*(1+$P7)-X7</f>
        <v>286242.011474233</v>
      </c>
      <c r="AC7" s="22" t="n">
        <f aca="false">AND($A7&gt;=Premissas!$C$16,$A7&lt;EDATE(Premissas!$C$16,3))*Premissas!$C$10/3*(1+Premissas!$C$56)^$C7</f>
        <v>96612.2808219223</v>
      </c>
      <c r="AD7" s="22" t="n">
        <f aca="false">L7-M7-N7-AC7</f>
        <v>-96612.2808219223</v>
      </c>
      <c r="AE7" s="22" t="n">
        <f aca="false">AE6+AD7</f>
        <v>-288548.463880025</v>
      </c>
      <c r="AF7" s="22" t="str">
        <f aca="false">IF($A7&gt;=Premissas!$C$18,O7*(1-Premissas!$C$45)-Premissas!$C$46*MAX(0,O7*(1-Premissas!$C$45)-(SUM($AC$5:$AC$355)+Premissas!$C$26*Premissas!$C$60)),"")</f>
        <v/>
      </c>
      <c r="AG7" s="22" t="str">
        <f aca="false">IF($A7&gt;=Premissas!$C$18,AE7+AF7,"")</f>
        <v/>
      </c>
      <c r="AH7" s="22" t="n">
        <f aca="false">AH6*(1+$P7)-AD7</f>
        <v>291265.164392602</v>
      </c>
      <c r="AI7" s="22" t="n">
        <f aca="false">($A7=Premissas!$C$16)*0.2*Premissas!$C$11+AND($A7&gt;Premissas!$C$16,$A7&lt;=EDATE(Premissas!$C$16,43))*0.8*Premissas!$C$11/43*(1+Premissas!$C$56)^$C7</f>
        <v>5791.69390948691</v>
      </c>
      <c r="AJ7" s="22" t="n">
        <f aca="false">L7-M7-N7-AI7</f>
        <v>-5791.69390948691</v>
      </c>
      <c r="AK7" s="22" t="n">
        <f aca="false">AK6+AJ7</f>
        <v>-73265.2044032631</v>
      </c>
      <c r="AL7" s="22" t="str">
        <f aca="false">IF($A7&gt;=Premissas!$C$18,O7*(1-Premissas!$C$45)-Premissas!$C$46*MAX(0,O7*(1-Premissas!$C$45)-(SUM($AI$5:$AI$355)+Premissas!$C$26*Premissas!$C$60)),"")</f>
        <v/>
      </c>
      <c r="AM7" s="22" t="str">
        <f aca="false">IF($A7&gt;=Premissas!$C$18,AK7+AL7,"")</f>
        <v/>
      </c>
      <c r="AN7" s="22" t="n">
        <f aca="false">AN6*(1+$P7)-AJ7</f>
        <v>74486.7386778225</v>
      </c>
      <c r="AO7" s="22" t="n">
        <f aca="false">V7+S7</f>
        <v>4728.97991142981</v>
      </c>
    </row>
    <row r="8" customFormat="false" ht="15" hidden="false" customHeight="false" outlineLevel="0" collapsed="false">
      <c r="A8" s="26" t="n">
        <f aca="false">DATE(YEAR(A7),MONTH(A7)+1,1)</f>
        <v>46388</v>
      </c>
      <c r="B8" s="22" t="str">
        <f aca="false">IF($A8&lt;Premissas!$C$18,"Obra",IF($A8&lt;Premissas!$C$20,"Entrega/mobília","Airbnb"))</f>
        <v>Obra</v>
      </c>
      <c r="C8" s="36" t="n">
        <f aca="false">(YEAR($A8)-YEAR(Premissas!$C$16))*12+MONTH($A8)-MONTH(Premissas!$C$16)</f>
        <v>3</v>
      </c>
      <c r="D8" s="33" t="n">
        <f aca="false">IF($A8&gt;=Premissas!$C$20,Premissas!$C$31*IF(((YEAR($A8)-YEAR(Premissas!$C$20))*12+MONTH($A8)-MONTH(Premissas!$C$20))&lt;Premissas!$C$33,Premissas!$C$34,1),0)</f>
        <v>0</v>
      </c>
      <c r="E8" s="22" t="n">
        <f aca="false">D8*Premissas!$C$30*Premissas!$C$32*(1+Premissas!$C$58)^$C8</f>
        <v>0</v>
      </c>
      <c r="F8" s="22" t="n">
        <f aca="false">E8*Premissas!$C$35</f>
        <v>0</v>
      </c>
      <c r="G8" s="22" t="n">
        <f aca="false">E8*Premissas!$C$36</f>
        <v>0</v>
      </c>
      <c r="H8" s="22" t="n">
        <f aca="false">IF($A8&gt;=Premissas!$C$18,Premissas!$C$37*(1+Premissas!$C$58)^$C8,0)</f>
        <v>0</v>
      </c>
      <c r="I8" s="22" t="n">
        <f aca="false">IF($A8&gt;=Premissas!$C$20,Premissas!$C$38*(1+Premissas!$C$58)^$C8,0)</f>
        <v>0</v>
      </c>
      <c r="J8" s="22" t="n">
        <f aca="false">IF($A8&gt;=Premissas!$C$20,Premissas!$C$39*(1+Premissas!$C$58)^$C8,0)</f>
        <v>0</v>
      </c>
      <c r="K8" s="22" t="n">
        <f aca="false">IF($A8&gt;=Premissas!$C$20,MAX(0,E8-F8-G8-H8)*Premissas!$C$41,0)</f>
        <v>0</v>
      </c>
      <c r="L8" s="22" t="n">
        <f aca="false">E8-F8-G8-H8-I8-J8-K8</f>
        <v>0</v>
      </c>
      <c r="M8" s="22" t="n">
        <f aca="false">($A8=Premissas!$C$18)*Premissas!$C$26*Premissas!$C$60</f>
        <v>0</v>
      </c>
      <c r="N8" s="22" t="n">
        <f aca="false">IF(AND($A8&gt;=Premissas!$C$18,$A8&lt;Premissas!$C$20),Premissas!$C$27/MAX(1,Premissas!$C$19),0)</f>
        <v>0</v>
      </c>
      <c r="O8" s="22" t="str">
        <f aca="false">IF($A8&gt;=Premissas!$C$18,Premissas!$C$60*(1+Premissas!$C$59)^((YEAR($A8)-YEAR(Premissas!$C$18))*12+MONTH($A8)-MONTH(Premissas!$C$18)),"")</f>
        <v/>
      </c>
      <c r="P8" s="31" t="n">
        <f aca="false">(1+IF(YEAR($A8)&lt;=2026,Premissas!$C$49,IF(YEAR($A8)=2027,Premissas!$C$50,IF(YEAR($A8)=2028,Premissas!$C$51,Premissas!$C$52)))*(1-Premissas!$C$53))^(1/12)-1</f>
        <v>0.00845016253927655</v>
      </c>
      <c r="Q8" s="22" t="n">
        <f aca="false">($A8=Premissas!$C$16)*Premissas!$C$13</f>
        <v>0</v>
      </c>
      <c r="R8" s="22" t="n">
        <f aca="false">L8-M8-N8-Q8</f>
        <v>0</v>
      </c>
      <c r="S8" s="22" t="n">
        <f aca="false">S7+R8</f>
        <v>-250000</v>
      </c>
      <c r="T8" s="22" t="str">
        <f aca="false">IF($A8&gt;=Premissas!$C$18,O8*(1-Premissas!$C$45)-Premissas!$C$46*MAX(0,O8*(1-Premissas!$C$45)-(SUM($Q$5:$Q$355)+Premissas!$C$26*Premissas!$C$60)),"")</f>
        <v/>
      </c>
      <c r="U8" s="22" t="str">
        <f aca="false">IF($A8&gt;=Premissas!$C$18,S8+T8,"")</f>
        <v/>
      </c>
      <c r="V8" s="22" t="n">
        <f aca="false">V7*(1+$P8)-R8</f>
        <v>256881.481195146</v>
      </c>
      <c r="W8" s="22" t="n">
        <f aca="false">($A8=Premissas!$C$16)*Premissas!$C$9</f>
        <v>0</v>
      </c>
      <c r="X8" s="22" t="n">
        <f aca="false">L8-M8-N8-W8</f>
        <v>0</v>
      </c>
      <c r="Y8" s="22" t="n">
        <f aca="false">Y7+X8</f>
        <v>-280928</v>
      </c>
      <c r="Z8" s="22" t="str">
        <f aca="false">IF($A8&gt;=Premissas!$C$18,O8*(1-Premissas!$C$45)-Premissas!$C$46*MAX(0,O8*(1-Premissas!$C$45)-(SUM($W$5:$W$355)+Premissas!$C$26*Premissas!$C$60)),"")</f>
        <v/>
      </c>
      <c r="AA8" s="22" t="str">
        <f aca="false">IF($A8&gt;=Premissas!$C$18,Y8+Z8,"")</f>
        <v/>
      </c>
      <c r="AB8" s="22" t="n">
        <f aca="false">AB7*(1+$P8)-X8</f>
        <v>288660.802996759</v>
      </c>
      <c r="AC8" s="22" t="n">
        <f aca="false">AND($A8&gt;=Premissas!$C$16,$A8&lt;EDATE(Premissas!$C$16,3))*Premissas!$C$10/3*(1+Premissas!$C$56)^$C8</f>
        <v>0</v>
      </c>
      <c r="AD8" s="22" t="n">
        <f aca="false">L8-M8-N8-AC8</f>
        <v>0</v>
      </c>
      <c r="AE8" s="22" t="n">
        <f aca="false">AE7+AD8</f>
        <v>-288548.463880025</v>
      </c>
      <c r="AF8" s="22" t="str">
        <f aca="false">IF($A8&gt;=Premissas!$C$18,O8*(1-Premissas!$C$45)-Premissas!$C$46*MAX(0,O8*(1-Premissas!$C$45)-(SUM($AC$5:$AC$355)+Premissas!$C$26*Premissas!$C$60)),"")</f>
        <v/>
      </c>
      <c r="AG8" s="22" t="str">
        <f aca="false">IF($A8&gt;=Premissas!$C$18,AE8+AF8,"")</f>
        <v/>
      </c>
      <c r="AH8" s="22" t="n">
        <f aca="false">AH7*(1+$P8)-AD8</f>
        <v>293726.402373749</v>
      </c>
      <c r="AI8" s="22" t="n">
        <f aca="false">($A8=Premissas!$C$16)*0.2*Premissas!$C$11+AND($A8&gt;Premissas!$C$16,$A8&lt;=EDATE(Premissas!$C$16,43))*0.8*Premissas!$C$11/43*(1+Premissas!$C$56)^$C8</f>
        <v>5817.59262086981</v>
      </c>
      <c r="AJ8" s="22" t="n">
        <f aca="false">L8-M8-N8-AI8</f>
        <v>-5817.59262086981</v>
      </c>
      <c r="AK8" s="22" t="n">
        <f aca="false">AK7+AJ8</f>
        <v>-79082.7970241329</v>
      </c>
      <c r="AL8" s="22" t="str">
        <f aca="false">IF($A8&gt;=Premissas!$C$18,O8*(1-Premissas!$C$45)-Premissas!$C$46*MAX(0,O8*(1-Premissas!$C$45)-(SUM($AI$5:$AI$355)+Premissas!$C$26*Premissas!$C$60)),"")</f>
        <v/>
      </c>
      <c r="AM8" s="22" t="str">
        <f aca="false">IF($A8&gt;=Premissas!$C$18,AK8+AL8,"")</f>
        <v/>
      </c>
      <c r="AN8" s="22" t="n">
        <f aca="false">AN7*(1+$P8)-AJ8</f>
        <v>80933.7563475405</v>
      </c>
      <c r="AO8" s="22" t="n">
        <f aca="false">V8+S8</f>
        <v>6881.48119514549</v>
      </c>
    </row>
    <row r="9" customFormat="false" ht="15" hidden="false" customHeight="false" outlineLevel="0" collapsed="false">
      <c r="A9" s="26" t="n">
        <f aca="false">DATE(YEAR(A8),MONTH(A8)+1,1)</f>
        <v>46419</v>
      </c>
      <c r="B9" s="22" t="str">
        <f aca="false">IF($A9&lt;Premissas!$C$18,"Obra",IF($A9&lt;Premissas!$C$20,"Entrega/mobília","Airbnb"))</f>
        <v>Obra</v>
      </c>
      <c r="C9" s="36" t="n">
        <f aca="false">(YEAR($A9)-YEAR(Premissas!$C$16))*12+MONTH($A9)-MONTH(Premissas!$C$16)</f>
        <v>4</v>
      </c>
      <c r="D9" s="33" t="n">
        <f aca="false">IF($A9&gt;=Premissas!$C$20,Premissas!$C$31*IF(((YEAR($A9)-YEAR(Premissas!$C$20))*12+MONTH($A9)-MONTH(Premissas!$C$20))&lt;Premissas!$C$33,Premissas!$C$34,1),0)</f>
        <v>0</v>
      </c>
      <c r="E9" s="22" t="n">
        <f aca="false">D9*Premissas!$C$30*Premissas!$C$32*(1+Premissas!$C$58)^$C9</f>
        <v>0</v>
      </c>
      <c r="F9" s="22" t="n">
        <f aca="false">E9*Premissas!$C$35</f>
        <v>0</v>
      </c>
      <c r="G9" s="22" t="n">
        <f aca="false">E9*Premissas!$C$36</f>
        <v>0</v>
      </c>
      <c r="H9" s="22" t="n">
        <f aca="false">IF($A9&gt;=Premissas!$C$18,Premissas!$C$37*(1+Premissas!$C$58)^$C9,0)</f>
        <v>0</v>
      </c>
      <c r="I9" s="22" t="n">
        <f aca="false">IF($A9&gt;=Premissas!$C$20,Premissas!$C$38*(1+Premissas!$C$58)^$C9,0)</f>
        <v>0</v>
      </c>
      <c r="J9" s="22" t="n">
        <f aca="false">IF($A9&gt;=Premissas!$C$20,Premissas!$C$39*(1+Premissas!$C$58)^$C9,0)</f>
        <v>0</v>
      </c>
      <c r="K9" s="22" t="n">
        <f aca="false">IF($A9&gt;=Premissas!$C$20,MAX(0,E9-F9-G9-H9)*Premissas!$C$41,0)</f>
        <v>0</v>
      </c>
      <c r="L9" s="22" t="n">
        <f aca="false">E9-F9-G9-H9-I9-J9-K9</f>
        <v>0</v>
      </c>
      <c r="M9" s="22" t="n">
        <f aca="false">($A9=Premissas!$C$18)*Premissas!$C$26*Premissas!$C$60</f>
        <v>0</v>
      </c>
      <c r="N9" s="22" t="n">
        <f aca="false">IF(AND($A9&gt;=Premissas!$C$18,$A9&lt;Premissas!$C$20),Premissas!$C$27/MAX(1,Premissas!$C$19),0)</f>
        <v>0</v>
      </c>
      <c r="O9" s="22" t="str">
        <f aca="false">IF($A9&gt;=Premissas!$C$18,Premissas!$C$60*(1+Premissas!$C$59)^((YEAR($A9)-YEAR(Premissas!$C$18))*12+MONTH($A9)-MONTH(Premissas!$C$18)),"")</f>
        <v/>
      </c>
      <c r="P9" s="31" t="n">
        <f aca="false">(1+IF(YEAR($A9)&lt;=2026,Premissas!$C$49,IF(YEAR($A9)=2027,Premissas!$C$50,IF(YEAR($A9)=2028,Premissas!$C$51,Premissas!$C$52)))*(1-Premissas!$C$53))^(1/12)-1</f>
        <v>0.00845016253927655</v>
      </c>
      <c r="Q9" s="22" t="n">
        <f aca="false">($A9=Premissas!$C$16)*Premissas!$C$13</f>
        <v>0</v>
      </c>
      <c r="R9" s="22" t="n">
        <f aca="false">L9-M9-N9-Q9</f>
        <v>0</v>
      </c>
      <c r="S9" s="22" t="n">
        <f aca="false">S8+R9</f>
        <v>-250000</v>
      </c>
      <c r="T9" s="22" t="str">
        <f aca="false">IF($A9&gt;=Premissas!$C$18,O9*(1-Premissas!$C$45)-Premissas!$C$46*MAX(0,O9*(1-Premissas!$C$45)-(SUM($Q$5:$Q$355)+Premissas!$C$26*Premissas!$C$60)),"")</f>
        <v/>
      </c>
      <c r="U9" s="22" t="str">
        <f aca="false">IF($A9&gt;=Premissas!$C$18,S9+T9,"")</f>
        <v/>
      </c>
      <c r="V9" s="22" t="n">
        <f aca="false">V8*(1+$P9)-R9</f>
        <v>259052.171464575</v>
      </c>
      <c r="W9" s="22" t="n">
        <f aca="false">($A9=Premissas!$C$16)*Premissas!$C$9</f>
        <v>0</v>
      </c>
      <c r="X9" s="22" t="n">
        <f aca="false">L9-M9-N9-W9</f>
        <v>0</v>
      </c>
      <c r="Y9" s="22" t="n">
        <f aca="false">Y8+X9</f>
        <v>-280928</v>
      </c>
      <c r="Z9" s="22" t="str">
        <f aca="false">IF($A9&gt;=Premissas!$C$18,O9*(1-Premissas!$C$45)-Premissas!$C$46*MAX(0,O9*(1-Premissas!$C$45)-(SUM($W$5:$W$355)+Premissas!$C$26*Premissas!$C$60)),"")</f>
        <v/>
      </c>
      <c r="AA9" s="22" t="str">
        <f aca="false">IF($A9&gt;=Premissas!$C$18,Y9+Z9,"")</f>
        <v/>
      </c>
      <c r="AB9" s="22" t="n">
        <f aca="false">AB8*(1+$P9)-X9</f>
        <v>291100.0337008</v>
      </c>
      <c r="AC9" s="22" t="n">
        <f aca="false">AND($A9&gt;=Premissas!$C$16,$A9&lt;EDATE(Premissas!$C$16,3))*Premissas!$C$10/3*(1+Premissas!$C$56)^$C9</f>
        <v>0</v>
      </c>
      <c r="AD9" s="22" t="n">
        <f aca="false">L9-M9-N9-AC9</f>
        <v>0</v>
      </c>
      <c r="AE9" s="22" t="n">
        <f aca="false">AE8+AD9</f>
        <v>-288548.463880025</v>
      </c>
      <c r="AF9" s="22" t="str">
        <f aca="false">IF($A9&gt;=Premissas!$C$18,O9*(1-Premissas!$C$45)-Premissas!$C$46*MAX(0,O9*(1-Premissas!$C$45)-(SUM($AC$5:$AC$355)+Premissas!$C$26*Premissas!$C$60)),"")</f>
        <v/>
      </c>
      <c r="AG9" s="22" t="str">
        <f aca="false">IF($A9&gt;=Premissas!$C$18,AE9+AF9,"")</f>
        <v/>
      </c>
      <c r="AH9" s="22" t="n">
        <f aca="false">AH8*(1+$P9)-AD9</f>
        <v>296208.438215884</v>
      </c>
      <c r="AI9" s="22" t="n">
        <f aca="false">($A9=Premissas!$C$16)*0.2*Premissas!$C$11+AND($A9&gt;Premissas!$C$16,$A9&lt;=EDATE(Premissas!$C$16,43))*0.8*Premissas!$C$11/43*(1+Premissas!$C$56)^$C9</f>
        <v>5843.60714349235</v>
      </c>
      <c r="AJ9" s="22" t="n">
        <f aca="false">L9-M9-N9-AI9</f>
        <v>-5843.60714349235</v>
      </c>
      <c r="AK9" s="22" t="n">
        <f aca="false">AK8+AJ9</f>
        <v>-84926.4041676252</v>
      </c>
      <c r="AL9" s="22" t="str">
        <f aca="false">IF($A9&gt;=Premissas!$C$18,O9*(1-Premissas!$C$45)-Premissas!$C$46*MAX(0,O9*(1-Premissas!$C$45)-(SUM($AI$5:$AI$355)+Premissas!$C$26*Premissas!$C$60)),"")</f>
        <v/>
      </c>
      <c r="AM9" s="22" t="str">
        <f aca="false">IF($A9&gt;=Premissas!$C$18,AK9+AL9,"")</f>
        <v/>
      </c>
      <c r="AN9" s="22" t="n">
        <f aca="false">AN8*(1+$P9)-AJ9</f>
        <v>87461.2668870838</v>
      </c>
      <c r="AO9" s="22" t="n">
        <f aca="false">V9+S9</f>
        <v>9052.17146457458</v>
      </c>
    </row>
    <row r="10" customFormat="false" ht="15" hidden="false" customHeight="false" outlineLevel="0" collapsed="false">
      <c r="A10" s="26" t="n">
        <f aca="false">DATE(YEAR(A9),MONTH(A9)+1,1)</f>
        <v>46447</v>
      </c>
      <c r="B10" s="22" t="str">
        <f aca="false">IF($A10&lt;Premissas!$C$18,"Obra",IF($A10&lt;Premissas!$C$20,"Entrega/mobília","Airbnb"))</f>
        <v>Obra</v>
      </c>
      <c r="C10" s="36" t="n">
        <f aca="false">(YEAR($A10)-YEAR(Premissas!$C$16))*12+MONTH($A10)-MONTH(Premissas!$C$16)</f>
        <v>5</v>
      </c>
      <c r="D10" s="33" t="n">
        <f aca="false">IF($A10&gt;=Premissas!$C$20,Premissas!$C$31*IF(((YEAR($A10)-YEAR(Premissas!$C$20))*12+MONTH($A10)-MONTH(Premissas!$C$20))&lt;Premissas!$C$33,Premissas!$C$34,1),0)</f>
        <v>0</v>
      </c>
      <c r="E10" s="22" t="n">
        <f aca="false">D10*Premissas!$C$30*Premissas!$C$32*(1+Premissas!$C$58)^$C10</f>
        <v>0</v>
      </c>
      <c r="F10" s="22" t="n">
        <f aca="false">E10*Premissas!$C$35</f>
        <v>0</v>
      </c>
      <c r="G10" s="22" t="n">
        <f aca="false">E10*Premissas!$C$36</f>
        <v>0</v>
      </c>
      <c r="H10" s="22" t="n">
        <f aca="false">IF($A10&gt;=Premissas!$C$18,Premissas!$C$37*(1+Premissas!$C$58)^$C10,0)</f>
        <v>0</v>
      </c>
      <c r="I10" s="22" t="n">
        <f aca="false">IF($A10&gt;=Premissas!$C$20,Premissas!$C$38*(1+Premissas!$C$58)^$C10,0)</f>
        <v>0</v>
      </c>
      <c r="J10" s="22" t="n">
        <f aca="false">IF($A10&gt;=Premissas!$C$20,Premissas!$C$39*(1+Premissas!$C$58)^$C10,0)</f>
        <v>0</v>
      </c>
      <c r="K10" s="22" t="n">
        <f aca="false">IF($A10&gt;=Premissas!$C$20,MAX(0,E10-F10-G10-H10)*Premissas!$C$41,0)</f>
        <v>0</v>
      </c>
      <c r="L10" s="22" t="n">
        <f aca="false">E10-F10-G10-H10-I10-J10-K10</f>
        <v>0</v>
      </c>
      <c r="M10" s="22" t="n">
        <f aca="false">($A10=Premissas!$C$18)*Premissas!$C$26*Premissas!$C$60</f>
        <v>0</v>
      </c>
      <c r="N10" s="22" t="n">
        <f aca="false">IF(AND($A10&gt;=Premissas!$C$18,$A10&lt;Premissas!$C$20),Premissas!$C$27/MAX(1,Premissas!$C$19),0)</f>
        <v>0</v>
      </c>
      <c r="O10" s="22" t="str">
        <f aca="false">IF($A10&gt;=Premissas!$C$18,Premissas!$C$60*(1+Premissas!$C$59)^((YEAR($A10)-YEAR(Premissas!$C$18))*12+MONTH($A10)-MONTH(Premissas!$C$18)),"")</f>
        <v/>
      </c>
      <c r="P10" s="31" t="n">
        <f aca="false">(1+IF(YEAR($A10)&lt;=2026,Premissas!$C$49,IF(YEAR($A10)=2027,Premissas!$C$50,IF(YEAR($A10)=2028,Premissas!$C$51,Premissas!$C$52)))*(1-Premissas!$C$53))^(1/12)-1</f>
        <v>0.00845016253927655</v>
      </c>
      <c r="Q10" s="22" t="n">
        <f aca="false">($A10=Premissas!$C$16)*Premissas!$C$13</f>
        <v>0</v>
      </c>
      <c r="R10" s="22" t="n">
        <f aca="false">L10-M10-N10-Q10</f>
        <v>0</v>
      </c>
      <c r="S10" s="22" t="n">
        <f aca="false">S9+R10</f>
        <v>-250000</v>
      </c>
      <c r="T10" s="22" t="str">
        <f aca="false">IF($A10&gt;=Premissas!$C$18,O10*(1-Premissas!$C$45)-Premissas!$C$46*MAX(0,O10*(1-Premissas!$C$45)-(SUM($Q$5:$Q$355)+Premissas!$C$26*Premissas!$C$60)),"")</f>
        <v/>
      </c>
      <c r="U10" s="22" t="str">
        <f aca="false">IF($A10&gt;=Premissas!$C$18,S10+T10,"")</f>
        <v/>
      </c>
      <c r="V10" s="22" t="n">
        <f aca="false">V9*(1+$P10)-R10</f>
        <v>261241.204419603</v>
      </c>
      <c r="W10" s="22" t="n">
        <f aca="false">($A10=Premissas!$C$16)*Premissas!$C$9</f>
        <v>0</v>
      </c>
      <c r="X10" s="22" t="n">
        <f aca="false">L10-M10-N10-W10</f>
        <v>0</v>
      </c>
      <c r="Y10" s="22" t="n">
        <f aca="false">Y9+X10</f>
        <v>-280928</v>
      </c>
      <c r="Z10" s="22" t="str">
        <f aca="false">IF($A10&gt;=Premissas!$C$18,O10*(1-Premissas!$C$45)-Premissas!$C$46*MAX(0,O10*(1-Premissas!$C$45)-(SUM($W$5:$W$355)+Premissas!$C$26*Premissas!$C$60)),"")</f>
        <v/>
      </c>
      <c r="AA10" s="22" t="str">
        <f aca="false">IF($A10&gt;=Premissas!$C$18,Y10+Z10,"")</f>
        <v/>
      </c>
      <c r="AB10" s="22" t="n">
        <f aca="false">AB9*(1+$P10)-X10</f>
        <v>293559.876300761</v>
      </c>
      <c r="AC10" s="22" t="n">
        <f aca="false">AND($A10&gt;=Premissas!$C$16,$A10&lt;EDATE(Premissas!$C$16,3))*Premissas!$C$10/3*(1+Premissas!$C$56)^$C10</f>
        <v>0</v>
      </c>
      <c r="AD10" s="22" t="n">
        <f aca="false">L10-M10-N10-AC10</f>
        <v>0</v>
      </c>
      <c r="AE10" s="22" t="n">
        <f aca="false">AE9+AD10</f>
        <v>-288548.463880025</v>
      </c>
      <c r="AF10" s="22" t="str">
        <f aca="false">IF($A10&gt;=Premissas!$C$18,O10*(1-Premissas!$C$45)-Premissas!$C$46*MAX(0,O10*(1-Premissas!$C$45)-(SUM($AC$5:$AC$355)+Premissas!$C$26*Premissas!$C$60)),"")</f>
        <v/>
      </c>
      <c r="AG10" s="22" t="str">
        <f aca="false">IF($A10&gt;=Premissas!$C$18,AE10+AF10,"")</f>
        <v/>
      </c>
      <c r="AH10" s="22" t="n">
        <f aca="false">AH9*(1+$P10)-AD10</f>
        <v>298711.447664313</v>
      </c>
      <c r="AI10" s="22" t="n">
        <f aca="false">($A10=Premissas!$C$16)*0.2*Premissas!$C$11+AND($A10&gt;Premissas!$C$16,$A10&lt;=EDATE(Premissas!$C$16,43))*0.8*Premissas!$C$11/43*(1+Premissas!$C$56)^$C10</f>
        <v>5869.73799522753</v>
      </c>
      <c r="AJ10" s="22" t="n">
        <f aca="false">L10-M10-N10-AI10</f>
        <v>-5869.73799522753</v>
      </c>
      <c r="AK10" s="22" t="n">
        <f aca="false">AK9+AJ10</f>
        <v>-90796.1421628527</v>
      </c>
      <c r="AL10" s="22" t="str">
        <f aca="false">IF($A10&gt;=Premissas!$C$18,O10*(1-Premissas!$C$45)-Premissas!$C$46*MAX(0,O10*(1-Premissas!$C$45)-(SUM($AI$5:$AI$355)+Premissas!$C$26*Premissas!$C$60)),"")</f>
        <v/>
      </c>
      <c r="AM10" s="22" t="str">
        <f aca="false">IF($A10&gt;=Premissas!$C$18,AK10+AL10,"")</f>
        <v/>
      </c>
      <c r="AN10" s="22" t="n">
        <f aca="false">AN9*(1+$P10)-AJ10</f>
        <v>94070.0668033982</v>
      </c>
      <c r="AO10" s="22" t="n">
        <f aca="false">V10+S10</f>
        <v>11241.2044196028</v>
      </c>
    </row>
    <row r="11" customFormat="false" ht="15" hidden="false" customHeight="false" outlineLevel="0" collapsed="false">
      <c r="A11" s="26" t="n">
        <f aca="false">DATE(YEAR(A10),MONTH(A10)+1,1)</f>
        <v>46478</v>
      </c>
      <c r="B11" s="22" t="str">
        <f aca="false">IF($A11&lt;Premissas!$C$18,"Obra",IF($A11&lt;Premissas!$C$20,"Entrega/mobília","Airbnb"))</f>
        <v>Obra</v>
      </c>
      <c r="C11" s="36" t="n">
        <f aca="false">(YEAR($A11)-YEAR(Premissas!$C$16))*12+MONTH($A11)-MONTH(Premissas!$C$16)</f>
        <v>6</v>
      </c>
      <c r="D11" s="33" t="n">
        <f aca="false">IF($A11&gt;=Premissas!$C$20,Premissas!$C$31*IF(((YEAR($A11)-YEAR(Premissas!$C$20))*12+MONTH($A11)-MONTH(Premissas!$C$20))&lt;Premissas!$C$33,Premissas!$C$34,1),0)</f>
        <v>0</v>
      </c>
      <c r="E11" s="22" t="n">
        <f aca="false">D11*Premissas!$C$30*Premissas!$C$32*(1+Premissas!$C$58)^$C11</f>
        <v>0</v>
      </c>
      <c r="F11" s="22" t="n">
        <f aca="false">E11*Premissas!$C$35</f>
        <v>0</v>
      </c>
      <c r="G11" s="22" t="n">
        <f aca="false">E11*Premissas!$C$36</f>
        <v>0</v>
      </c>
      <c r="H11" s="22" t="n">
        <f aca="false">IF($A11&gt;=Premissas!$C$18,Premissas!$C$37*(1+Premissas!$C$58)^$C11,0)</f>
        <v>0</v>
      </c>
      <c r="I11" s="22" t="n">
        <f aca="false">IF($A11&gt;=Premissas!$C$20,Premissas!$C$38*(1+Premissas!$C$58)^$C11,0)</f>
        <v>0</v>
      </c>
      <c r="J11" s="22" t="n">
        <f aca="false">IF($A11&gt;=Premissas!$C$20,Premissas!$C$39*(1+Premissas!$C$58)^$C11,0)</f>
        <v>0</v>
      </c>
      <c r="K11" s="22" t="n">
        <f aca="false">IF($A11&gt;=Premissas!$C$20,MAX(0,E11-F11-G11-H11)*Premissas!$C$41,0)</f>
        <v>0</v>
      </c>
      <c r="L11" s="22" t="n">
        <f aca="false">E11-F11-G11-H11-I11-J11-K11</f>
        <v>0</v>
      </c>
      <c r="M11" s="22" t="n">
        <f aca="false">($A11=Premissas!$C$18)*Premissas!$C$26*Premissas!$C$60</f>
        <v>0</v>
      </c>
      <c r="N11" s="22" t="n">
        <f aca="false">IF(AND($A11&gt;=Premissas!$C$18,$A11&lt;Premissas!$C$20),Premissas!$C$27/MAX(1,Premissas!$C$19),0)</f>
        <v>0</v>
      </c>
      <c r="O11" s="22" t="str">
        <f aca="false">IF($A11&gt;=Premissas!$C$18,Premissas!$C$60*(1+Premissas!$C$59)^((YEAR($A11)-YEAR(Premissas!$C$18))*12+MONTH($A11)-MONTH(Premissas!$C$18)),"")</f>
        <v/>
      </c>
      <c r="P11" s="31" t="n">
        <f aca="false">(1+IF(YEAR($A11)&lt;=2026,Premissas!$C$49,IF(YEAR($A11)=2027,Premissas!$C$50,IF(YEAR($A11)=2028,Premissas!$C$51,Premissas!$C$52)))*(1-Premissas!$C$53))^(1/12)-1</f>
        <v>0.00845016253927655</v>
      </c>
      <c r="Q11" s="22" t="n">
        <f aca="false">($A11=Premissas!$C$16)*Premissas!$C$13</f>
        <v>0</v>
      </c>
      <c r="R11" s="22" t="n">
        <f aca="false">L11-M11-N11-Q11</f>
        <v>0</v>
      </c>
      <c r="S11" s="22" t="n">
        <f aca="false">S10+R11</f>
        <v>-250000</v>
      </c>
      <c r="T11" s="22" t="str">
        <f aca="false">IF($A11&gt;=Premissas!$C$18,O11*(1-Premissas!$C$45)-Premissas!$C$46*MAX(0,O11*(1-Premissas!$C$45)-(SUM($Q$5:$Q$355)+Premissas!$C$26*Premissas!$C$60)),"")</f>
        <v/>
      </c>
      <c r="U11" s="22" t="str">
        <f aca="false">IF($A11&gt;=Premissas!$C$18,S11+T11,"")</f>
        <v/>
      </c>
      <c r="V11" s="22" t="n">
        <f aca="false">V10*(1+$P11)-R11</f>
        <v>263448.735058905</v>
      </c>
      <c r="W11" s="22" t="n">
        <f aca="false">($A11=Premissas!$C$16)*Premissas!$C$9</f>
        <v>0</v>
      </c>
      <c r="X11" s="22" t="n">
        <f aca="false">L11-M11-N11-W11</f>
        <v>0</v>
      </c>
      <c r="Y11" s="22" t="n">
        <f aca="false">Y10+X11</f>
        <v>-280928</v>
      </c>
      <c r="Z11" s="22" t="str">
        <f aca="false">IF($A11&gt;=Premissas!$C$18,O11*(1-Premissas!$C$45)-Premissas!$C$46*MAX(0,O11*(1-Premissas!$C$45)-(SUM($W$5:$W$355)+Premissas!$C$26*Premissas!$C$60)),"")</f>
        <v/>
      </c>
      <c r="AA11" s="22" t="str">
        <f aca="false">IF($A11&gt;=Premissas!$C$18,Y11+Z11,"")</f>
        <v/>
      </c>
      <c r="AB11" s="22" t="n">
        <f aca="false">AB10*(1+$P11)-X11</f>
        <v>296040.504970512</v>
      </c>
      <c r="AC11" s="22" t="n">
        <f aca="false">AND($A11&gt;=Premissas!$C$16,$A11&lt;EDATE(Premissas!$C$16,3))*Premissas!$C$10/3*(1+Premissas!$C$56)^$C11</f>
        <v>0</v>
      </c>
      <c r="AD11" s="22" t="n">
        <f aca="false">L11-M11-N11-AC11</f>
        <v>0</v>
      </c>
      <c r="AE11" s="22" t="n">
        <f aca="false">AE10+AD11</f>
        <v>-288548.463880025</v>
      </c>
      <c r="AF11" s="22" t="str">
        <f aca="false">IF($A11&gt;=Premissas!$C$18,O11*(1-Premissas!$C$45)-Premissas!$C$46*MAX(0,O11*(1-Premissas!$C$45)-(SUM($AC$5:$AC$355)+Premissas!$C$26*Premissas!$C$60)),"")</f>
        <v/>
      </c>
      <c r="AG11" s="22" t="str">
        <f aca="false">IF($A11&gt;=Premissas!$C$18,AE11+AF11,"")</f>
        <v/>
      </c>
      <c r="AH11" s="22" t="n">
        <f aca="false">AH10*(1+$P11)-AD11</f>
        <v>301235.607949419</v>
      </c>
      <c r="AI11" s="22" t="n">
        <f aca="false">($A11=Premissas!$C$16)*0.2*Premissas!$C$11+AND($A11&gt;Premissas!$C$16,$A11&lt;=EDATE(Premissas!$C$16,43))*0.8*Premissas!$C$11/43*(1+Premissas!$C$56)^$C11</f>
        <v>5895.98569626411</v>
      </c>
      <c r="AJ11" s="22" t="n">
        <f aca="false">L11-M11-N11-AI11</f>
        <v>-5895.98569626411</v>
      </c>
      <c r="AK11" s="22" t="n">
        <f aca="false">AK10+AJ11</f>
        <v>-96692.1278591168</v>
      </c>
      <c r="AL11" s="22" t="str">
        <f aca="false">IF($A11&gt;=Premissas!$C$18,O11*(1-Premissas!$C$45)-Premissas!$C$46*MAX(0,O11*(1-Premissas!$C$45)-(SUM($AI$5:$AI$355)+Premissas!$C$26*Premissas!$C$60)),"")</f>
        <v/>
      </c>
      <c r="AM11" s="22" t="str">
        <f aca="false">IF($A11&gt;=Premissas!$C$18,AK11+AL11,"")</f>
        <v/>
      </c>
      <c r="AN11" s="22" t="n">
        <f aca="false">AN10*(1+$P11)-AJ11</f>
        <v>100760.959854232</v>
      </c>
      <c r="AO11" s="22" t="n">
        <f aca="false">V11+S11</f>
        <v>13448.7350589048</v>
      </c>
    </row>
    <row r="12" customFormat="false" ht="15" hidden="false" customHeight="false" outlineLevel="0" collapsed="false">
      <c r="A12" s="26" t="n">
        <f aca="false">DATE(YEAR(A11),MONTH(A11)+1,1)</f>
        <v>46508</v>
      </c>
      <c r="B12" s="22" t="str">
        <f aca="false">IF($A12&lt;Premissas!$C$18,"Obra",IF($A12&lt;Premissas!$C$20,"Entrega/mobília","Airbnb"))</f>
        <v>Obra</v>
      </c>
      <c r="C12" s="36" t="n">
        <f aca="false">(YEAR($A12)-YEAR(Premissas!$C$16))*12+MONTH($A12)-MONTH(Premissas!$C$16)</f>
        <v>7</v>
      </c>
      <c r="D12" s="33" t="n">
        <f aca="false">IF($A12&gt;=Premissas!$C$20,Premissas!$C$31*IF(((YEAR($A12)-YEAR(Premissas!$C$20))*12+MONTH($A12)-MONTH(Premissas!$C$20))&lt;Premissas!$C$33,Premissas!$C$34,1),0)</f>
        <v>0</v>
      </c>
      <c r="E12" s="22" t="n">
        <f aca="false">D12*Premissas!$C$30*Premissas!$C$32*(1+Premissas!$C$58)^$C12</f>
        <v>0</v>
      </c>
      <c r="F12" s="22" t="n">
        <f aca="false">E12*Premissas!$C$35</f>
        <v>0</v>
      </c>
      <c r="G12" s="22" t="n">
        <f aca="false">E12*Premissas!$C$36</f>
        <v>0</v>
      </c>
      <c r="H12" s="22" t="n">
        <f aca="false">IF($A12&gt;=Premissas!$C$18,Premissas!$C$37*(1+Premissas!$C$58)^$C12,0)</f>
        <v>0</v>
      </c>
      <c r="I12" s="22" t="n">
        <f aca="false">IF($A12&gt;=Premissas!$C$20,Premissas!$C$38*(1+Premissas!$C$58)^$C12,0)</f>
        <v>0</v>
      </c>
      <c r="J12" s="22" t="n">
        <f aca="false">IF($A12&gt;=Premissas!$C$20,Premissas!$C$39*(1+Premissas!$C$58)^$C12,0)</f>
        <v>0</v>
      </c>
      <c r="K12" s="22" t="n">
        <f aca="false">IF($A12&gt;=Premissas!$C$20,MAX(0,E12-F12-G12-H12)*Premissas!$C$41,0)</f>
        <v>0</v>
      </c>
      <c r="L12" s="22" t="n">
        <f aca="false">E12-F12-G12-H12-I12-J12-K12</f>
        <v>0</v>
      </c>
      <c r="M12" s="22" t="n">
        <f aca="false">($A12=Premissas!$C$18)*Premissas!$C$26*Premissas!$C$60</f>
        <v>0</v>
      </c>
      <c r="N12" s="22" t="n">
        <f aca="false">IF(AND($A12&gt;=Premissas!$C$18,$A12&lt;Premissas!$C$20),Premissas!$C$27/MAX(1,Premissas!$C$19),0)</f>
        <v>0</v>
      </c>
      <c r="O12" s="22" t="str">
        <f aca="false">IF($A12&gt;=Premissas!$C$18,Premissas!$C$60*(1+Premissas!$C$59)^((YEAR($A12)-YEAR(Premissas!$C$18))*12+MONTH($A12)-MONTH(Premissas!$C$18)),"")</f>
        <v/>
      </c>
      <c r="P12" s="31" t="n">
        <f aca="false">(1+IF(YEAR($A12)&lt;=2026,Premissas!$C$49,IF(YEAR($A12)=2027,Premissas!$C$50,IF(YEAR($A12)=2028,Premissas!$C$51,Premissas!$C$52)))*(1-Premissas!$C$53))^(1/12)-1</f>
        <v>0.00845016253927655</v>
      </c>
      <c r="Q12" s="22" t="n">
        <f aca="false">($A12=Premissas!$C$16)*Premissas!$C$13</f>
        <v>0</v>
      </c>
      <c r="R12" s="22" t="n">
        <f aca="false">L12-M12-N12-Q12</f>
        <v>0</v>
      </c>
      <c r="S12" s="22" t="n">
        <f aca="false">S11+R12</f>
        <v>-250000</v>
      </c>
      <c r="T12" s="22" t="str">
        <f aca="false">IF($A12&gt;=Premissas!$C$18,O12*(1-Premissas!$C$45)-Premissas!$C$46*MAX(0,O12*(1-Premissas!$C$45)-(SUM($Q$5:$Q$355)+Premissas!$C$26*Premissas!$C$60)),"")</f>
        <v/>
      </c>
      <c r="U12" s="22" t="str">
        <f aca="false">IF($A12&gt;=Premissas!$C$18,S12+T12,"")</f>
        <v/>
      </c>
      <c r="V12" s="22" t="n">
        <f aca="false">V11*(1+$P12)-R12</f>
        <v>265674.919690919</v>
      </c>
      <c r="W12" s="22" t="n">
        <f aca="false">($A12=Premissas!$C$16)*Premissas!$C$9</f>
        <v>0</v>
      </c>
      <c r="X12" s="22" t="n">
        <f aca="false">L12-M12-N12-W12</f>
        <v>0</v>
      </c>
      <c r="Y12" s="22" t="n">
        <f aca="false">Y11+X12</f>
        <v>-280928</v>
      </c>
      <c r="Z12" s="22" t="str">
        <f aca="false">IF($A12&gt;=Premissas!$C$18,O12*(1-Premissas!$C$45)-Premissas!$C$46*MAX(0,O12*(1-Premissas!$C$45)-(SUM($W$5:$W$355)+Premissas!$C$26*Premissas!$C$60)),"")</f>
        <v/>
      </c>
      <c r="AA12" s="22" t="str">
        <f aca="false">IF($A12&gt;=Premissas!$C$18,Y12+Z12,"")</f>
        <v/>
      </c>
      <c r="AB12" s="22" t="n">
        <f aca="false">AB11*(1+$P12)-X12</f>
        <v>298542.095355722</v>
      </c>
      <c r="AC12" s="22" t="n">
        <f aca="false">AND($A12&gt;=Premissas!$C$16,$A12&lt;EDATE(Premissas!$C$16,3))*Premissas!$C$10/3*(1+Premissas!$C$56)^$C12</f>
        <v>0</v>
      </c>
      <c r="AD12" s="22" t="n">
        <f aca="false">L12-M12-N12-AC12</f>
        <v>0</v>
      </c>
      <c r="AE12" s="22" t="n">
        <f aca="false">AE11+AD12</f>
        <v>-288548.463880025</v>
      </c>
      <c r="AF12" s="22" t="str">
        <f aca="false">IF($A12&gt;=Premissas!$C$18,O12*(1-Premissas!$C$45)-Premissas!$C$46*MAX(0,O12*(1-Premissas!$C$45)-(SUM($AC$5:$AC$355)+Premissas!$C$26*Premissas!$C$60)),"")</f>
        <v/>
      </c>
      <c r="AG12" s="22" t="str">
        <f aca="false">IF($A12&gt;=Premissas!$C$18,AE12+AF12,"")</f>
        <v/>
      </c>
      <c r="AH12" s="22" t="n">
        <f aca="false">AH11*(1+$P12)-AD12</f>
        <v>303781.09779921</v>
      </c>
      <c r="AI12" s="22" t="n">
        <f aca="false">($A12=Premissas!$C$16)*0.2*Premissas!$C$11+AND($A12&gt;Premissas!$C$16,$A12&lt;=EDATE(Premissas!$C$16,43))*0.8*Premissas!$C$11/43*(1+Premissas!$C$56)^$C12</f>
        <v>5922.350769117</v>
      </c>
      <c r="AJ12" s="22" t="n">
        <f aca="false">L12-M12-N12-AI12</f>
        <v>-5922.350769117</v>
      </c>
      <c r="AK12" s="22" t="n">
        <f aca="false">AK11+AJ12</f>
        <v>-102614.478628234</v>
      </c>
      <c r="AL12" s="22" t="str">
        <f aca="false">IF($A12&gt;=Premissas!$C$18,O12*(1-Premissas!$C$45)-Premissas!$C$46*MAX(0,O12*(1-Premissas!$C$45)-(SUM($AI$5:$AI$355)+Premissas!$C$26*Premissas!$C$60)),"")</f>
        <v/>
      </c>
      <c r="AM12" s="22" t="str">
        <f aca="false">IF($A12&gt;=Premissas!$C$18,AK12+AL12,"")</f>
        <v/>
      </c>
      <c r="AN12" s="22" t="n">
        <f aca="false">AN11*(1+$P12)-AJ12</f>
        <v>107534.75711173</v>
      </c>
      <c r="AO12" s="22" t="n">
        <f aca="false">V12+S12</f>
        <v>15674.9196909193</v>
      </c>
    </row>
    <row r="13" customFormat="false" ht="15" hidden="false" customHeight="false" outlineLevel="0" collapsed="false">
      <c r="A13" s="26" t="n">
        <f aca="false">DATE(YEAR(A12),MONTH(A12)+1,1)</f>
        <v>46539</v>
      </c>
      <c r="B13" s="22" t="str">
        <f aca="false">IF($A13&lt;Premissas!$C$18,"Obra",IF($A13&lt;Premissas!$C$20,"Entrega/mobília","Airbnb"))</f>
        <v>Obra</v>
      </c>
      <c r="C13" s="36" t="n">
        <f aca="false">(YEAR($A13)-YEAR(Premissas!$C$16))*12+MONTH($A13)-MONTH(Premissas!$C$16)</f>
        <v>8</v>
      </c>
      <c r="D13" s="33" t="n">
        <f aca="false">IF($A13&gt;=Premissas!$C$20,Premissas!$C$31*IF(((YEAR($A13)-YEAR(Premissas!$C$20))*12+MONTH($A13)-MONTH(Premissas!$C$20))&lt;Premissas!$C$33,Premissas!$C$34,1),0)</f>
        <v>0</v>
      </c>
      <c r="E13" s="22" t="n">
        <f aca="false">D13*Premissas!$C$30*Premissas!$C$32*(1+Premissas!$C$58)^$C13</f>
        <v>0</v>
      </c>
      <c r="F13" s="22" t="n">
        <f aca="false">E13*Premissas!$C$35</f>
        <v>0</v>
      </c>
      <c r="G13" s="22" t="n">
        <f aca="false">E13*Premissas!$C$36</f>
        <v>0</v>
      </c>
      <c r="H13" s="22" t="n">
        <f aca="false">IF($A13&gt;=Premissas!$C$18,Premissas!$C$37*(1+Premissas!$C$58)^$C13,0)</f>
        <v>0</v>
      </c>
      <c r="I13" s="22" t="n">
        <f aca="false">IF($A13&gt;=Premissas!$C$20,Premissas!$C$38*(1+Premissas!$C$58)^$C13,0)</f>
        <v>0</v>
      </c>
      <c r="J13" s="22" t="n">
        <f aca="false">IF($A13&gt;=Premissas!$C$20,Premissas!$C$39*(1+Premissas!$C$58)^$C13,0)</f>
        <v>0</v>
      </c>
      <c r="K13" s="22" t="n">
        <f aca="false">IF($A13&gt;=Premissas!$C$20,MAX(0,E13-F13-G13-H13)*Premissas!$C$41,0)</f>
        <v>0</v>
      </c>
      <c r="L13" s="22" t="n">
        <f aca="false">E13-F13-G13-H13-I13-J13-K13</f>
        <v>0</v>
      </c>
      <c r="M13" s="22" t="n">
        <f aca="false">($A13=Premissas!$C$18)*Premissas!$C$26*Premissas!$C$60</f>
        <v>0</v>
      </c>
      <c r="N13" s="22" t="n">
        <f aca="false">IF(AND($A13&gt;=Premissas!$C$18,$A13&lt;Premissas!$C$20),Premissas!$C$27/MAX(1,Premissas!$C$19),0)</f>
        <v>0</v>
      </c>
      <c r="O13" s="22" t="str">
        <f aca="false">IF($A13&gt;=Premissas!$C$18,Premissas!$C$60*(1+Premissas!$C$59)^((YEAR($A13)-YEAR(Premissas!$C$18))*12+MONTH($A13)-MONTH(Premissas!$C$18)),"")</f>
        <v/>
      </c>
      <c r="P13" s="31" t="n">
        <f aca="false">(1+IF(YEAR($A13)&lt;=2026,Premissas!$C$49,IF(YEAR($A13)=2027,Premissas!$C$50,IF(YEAR($A13)=2028,Premissas!$C$51,Premissas!$C$52)))*(1-Premissas!$C$53))^(1/12)-1</f>
        <v>0.00845016253927655</v>
      </c>
      <c r="Q13" s="22" t="n">
        <f aca="false">($A13=Premissas!$C$16)*Premissas!$C$13</f>
        <v>0</v>
      </c>
      <c r="R13" s="22" t="n">
        <f aca="false">L13-M13-N13-Q13</f>
        <v>0</v>
      </c>
      <c r="S13" s="22" t="n">
        <f aca="false">S12+R13</f>
        <v>-250000</v>
      </c>
      <c r="T13" s="22" t="str">
        <f aca="false">IF($A13&gt;=Premissas!$C$18,O13*(1-Premissas!$C$45)-Premissas!$C$46*MAX(0,O13*(1-Premissas!$C$45)-(SUM($Q$5:$Q$355)+Premissas!$C$26*Premissas!$C$60)),"")</f>
        <v/>
      </c>
      <c r="U13" s="22" t="str">
        <f aca="false">IF($A13&gt;=Premissas!$C$18,S13+T13,"")</f>
        <v/>
      </c>
      <c r="V13" s="22" t="n">
        <f aca="false">V12*(1+$P13)-R13</f>
        <v>267919.915944917</v>
      </c>
      <c r="W13" s="22" t="n">
        <f aca="false">($A13=Premissas!$C$16)*Premissas!$C$9</f>
        <v>0</v>
      </c>
      <c r="X13" s="22" t="n">
        <f aca="false">L13-M13-N13-W13</f>
        <v>0</v>
      </c>
      <c r="Y13" s="22" t="n">
        <f aca="false">Y12+X13</f>
        <v>-280928</v>
      </c>
      <c r="Z13" s="22" t="str">
        <f aca="false">IF($A13&gt;=Premissas!$C$18,O13*(1-Premissas!$C$45)-Premissas!$C$46*MAX(0,O13*(1-Premissas!$C$45)-(SUM($W$5:$W$355)+Premissas!$C$26*Premissas!$C$60)),"")</f>
        <v/>
      </c>
      <c r="AA13" s="22" t="str">
        <f aca="false">IF($A13&gt;=Premissas!$C$18,Y13+Z13,"")</f>
        <v/>
      </c>
      <c r="AB13" s="22" t="n">
        <f aca="false">AB12*(1+$P13)-X13</f>
        <v>301064.824586294</v>
      </c>
      <c r="AC13" s="22" t="n">
        <f aca="false">AND($A13&gt;=Premissas!$C$16,$A13&lt;EDATE(Premissas!$C$16,3))*Premissas!$C$10/3*(1+Premissas!$C$56)^$C13</f>
        <v>0</v>
      </c>
      <c r="AD13" s="22" t="n">
        <f aca="false">L13-M13-N13-AC13</f>
        <v>0</v>
      </c>
      <c r="AE13" s="22" t="n">
        <f aca="false">AE12+AD13</f>
        <v>-288548.463880025</v>
      </c>
      <c r="AF13" s="22" t="str">
        <f aca="false">IF($A13&gt;=Premissas!$C$18,O13*(1-Premissas!$C$45)-Premissas!$C$46*MAX(0,O13*(1-Premissas!$C$45)-(SUM($AC$5:$AC$355)+Premissas!$C$26*Premissas!$C$60)),"")</f>
        <v/>
      </c>
      <c r="AG13" s="22" t="str">
        <f aca="false">IF($A13&gt;=Premissas!$C$18,AE13+AF13,"")</f>
        <v/>
      </c>
      <c r="AH13" s="22" t="n">
        <f aca="false">AH12*(1+$P13)-AD13</f>
        <v>306348.097451973</v>
      </c>
      <c r="AI13" s="22" t="n">
        <f aca="false">($A13=Premissas!$C$16)*0.2*Premissas!$C$11+AND($A13&gt;Premissas!$C$16,$A13&lt;=EDATE(Premissas!$C$16,43))*0.8*Premissas!$C$11/43*(1+Premissas!$C$56)^$C13</f>
        <v>5948.83373863761</v>
      </c>
      <c r="AJ13" s="22" t="n">
        <f aca="false">L13-M13-N13-AI13</f>
        <v>-5948.83373863761</v>
      </c>
      <c r="AK13" s="22" t="n">
        <f aca="false">AK12+AJ13</f>
        <v>-108563.312366871</v>
      </c>
      <c r="AL13" s="22" t="str">
        <f aca="false">IF($A13&gt;=Premissas!$C$18,O13*(1-Premissas!$C$45)-Premissas!$C$46*MAX(0,O13*(1-Premissas!$C$45)-(SUM($AI$5:$AI$355)+Premissas!$C$26*Premissas!$C$60)),"")</f>
        <v/>
      </c>
      <c r="AM13" s="22" t="str">
        <f aca="false">IF($A13&gt;=Premissas!$C$18,AK13+AL13,"")</f>
        <v/>
      </c>
      <c r="AN13" s="22" t="n">
        <f aca="false">AN12*(1+$P13)-AJ13</f>
        <v>114392.277026584</v>
      </c>
      <c r="AO13" s="22" t="n">
        <f aca="false">V13+S13</f>
        <v>17919.9159449168</v>
      </c>
    </row>
    <row r="14" customFormat="false" ht="15" hidden="false" customHeight="false" outlineLevel="0" collapsed="false">
      <c r="A14" s="26" t="n">
        <f aca="false">DATE(YEAR(A13),MONTH(A13)+1,1)</f>
        <v>46569</v>
      </c>
      <c r="B14" s="22" t="str">
        <f aca="false">IF($A14&lt;Premissas!$C$18,"Obra",IF($A14&lt;Premissas!$C$20,"Entrega/mobília","Airbnb"))</f>
        <v>Obra</v>
      </c>
      <c r="C14" s="36" t="n">
        <f aca="false">(YEAR($A14)-YEAR(Premissas!$C$16))*12+MONTH($A14)-MONTH(Premissas!$C$16)</f>
        <v>9</v>
      </c>
      <c r="D14" s="33" t="n">
        <f aca="false">IF($A14&gt;=Premissas!$C$20,Premissas!$C$31*IF(((YEAR($A14)-YEAR(Premissas!$C$20))*12+MONTH($A14)-MONTH(Premissas!$C$20))&lt;Premissas!$C$33,Premissas!$C$34,1),0)</f>
        <v>0</v>
      </c>
      <c r="E14" s="22" t="n">
        <f aca="false">D14*Premissas!$C$30*Premissas!$C$32*(1+Premissas!$C$58)^$C14</f>
        <v>0</v>
      </c>
      <c r="F14" s="22" t="n">
        <f aca="false">E14*Premissas!$C$35</f>
        <v>0</v>
      </c>
      <c r="G14" s="22" t="n">
        <f aca="false">E14*Premissas!$C$36</f>
        <v>0</v>
      </c>
      <c r="H14" s="22" t="n">
        <f aca="false">IF($A14&gt;=Premissas!$C$18,Premissas!$C$37*(1+Premissas!$C$58)^$C14,0)</f>
        <v>0</v>
      </c>
      <c r="I14" s="22" t="n">
        <f aca="false">IF($A14&gt;=Premissas!$C$20,Premissas!$C$38*(1+Premissas!$C$58)^$C14,0)</f>
        <v>0</v>
      </c>
      <c r="J14" s="22" t="n">
        <f aca="false">IF($A14&gt;=Premissas!$C$20,Premissas!$C$39*(1+Premissas!$C$58)^$C14,0)</f>
        <v>0</v>
      </c>
      <c r="K14" s="22" t="n">
        <f aca="false">IF($A14&gt;=Premissas!$C$20,MAX(0,E14-F14-G14-H14)*Premissas!$C$41,0)</f>
        <v>0</v>
      </c>
      <c r="L14" s="22" t="n">
        <f aca="false">E14-F14-G14-H14-I14-J14-K14</f>
        <v>0</v>
      </c>
      <c r="M14" s="22" t="n">
        <f aca="false">($A14=Premissas!$C$18)*Premissas!$C$26*Premissas!$C$60</f>
        <v>0</v>
      </c>
      <c r="N14" s="22" t="n">
        <f aca="false">IF(AND($A14&gt;=Premissas!$C$18,$A14&lt;Premissas!$C$20),Premissas!$C$27/MAX(1,Premissas!$C$19),0)</f>
        <v>0</v>
      </c>
      <c r="O14" s="22" t="str">
        <f aca="false">IF($A14&gt;=Premissas!$C$18,Premissas!$C$60*(1+Premissas!$C$59)^((YEAR($A14)-YEAR(Premissas!$C$18))*12+MONTH($A14)-MONTH(Premissas!$C$18)),"")</f>
        <v/>
      </c>
      <c r="P14" s="31" t="n">
        <f aca="false">(1+IF(YEAR($A14)&lt;=2026,Premissas!$C$49,IF(YEAR($A14)=2027,Premissas!$C$50,IF(YEAR($A14)=2028,Premissas!$C$51,Premissas!$C$52)))*(1-Premissas!$C$53))^(1/12)-1</f>
        <v>0.00845016253927655</v>
      </c>
      <c r="Q14" s="22" t="n">
        <f aca="false">($A14=Premissas!$C$16)*Premissas!$C$13</f>
        <v>0</v>
      </c>
      <c r="R14" s="22" t="n">
        <f aca="false">L14-M14-N14-Q14</f>
        <v>0</v>
      </c>
      <c r="S14" s="22" t="n">
        <f aca="false">S13+R14</f>
        <v>-250000</v>
      </c>
      <c r="T14" s="22" t="str">
        <f aca="false">IF($A14&gt;=Premissas!$C$18,O14*(1-Premissas!$C$45)-Premissas!$C$46*MAX(0,O14*(1-Premissas!$C$45)-(SUM($Q$5:$Q$355)+Premissas!$C$26*Premissas!$C$60)),"")</f>
        <v/>
      </c>
      <c r="U14" s="22" t="str">
        <f aca="false">IF($A14&gt;=Premissas!$C$18,S14+T14,"")</f>
        <v/>
      </c>
      <c r="V14" s="22" t="n">
        <f aca="false">V13*(1+$P14)-R14</f>
        <v>270183.882782161</v>
      </c>
      <c r="W14" s="22" t="n">
        <f aca="false">($A14=Premissas!$C$16)*Premissas!$C$9</f>
        <v>0</v>
      </c>
      <c r="X14" s="22" t="n">
        <f aca="false">L14-M14-N14-W14</f>
        <v>0</v>
      </c>
      <c r="Y14" s="22" t="n">
        <f aca="false">Y13+X14</f>
        <v>-280928</v>
      </c>
      <c r="Z14" s="22" t="str">
        <f aca="false">IF($A14&gt;=Premissas!$C$18,O14*(1-Premissas!$C$45)-Premissas!$C$46*MAX(0,O14*(1-Premissas!$C$45)-(SUM($W$5:$W$355)+Premissas!$C$26*Premissas!$C$60)),"")</f>
        <v/>
      </c>
      <c r="AA14" s="22" t="str">
        <f aca="false">IF($A14&gt;=Premissas!$C$18,Y14+Z14,"")</f>
        <v/>
      </c>
      <c r="AB14" s="22" t="n">
        <f aca="false">AB13*(1+$P14)-X14</f>
        <v>303608.871288907</v>
      </c>
      <c r="AC14" s="22" t="n">
        <f aca="false">AND($A14&gt;=Premissas!$C$16,$A14&lt;EDATE(Premissas!$C$16,3))*Premissas!$C$10/3*(1+Premissas!$C$56)^$C14</f>
        <v>0</v>
      </c>
      <c r="AD14" s="22" t="n">
        <f aca="false">L14-M14-N14-AC14</f>
        <v>0</v>
      </c>
      <c r="AE14" s="22" t="n">
        <f aca="false">AE13+AD14</f>
        <v>-288548.463880025</v>
      </c>
      <c r="AF14" s="22" t="str">
        <f aca="false">IF($A14&gt;=Premissas!$C$18,O14*(1-Premissas!$C$45)-Premissas!$C$46*MAX(0,O14*(1-Premissas!$C$45)-(SUM($AC$5:$AC$355)+Premissas!$C$26*Premissas!$C$60)),"")</f>
        <v/>
      </c>
      <c r="AG14" s="22" t="str">
        <f aca="false">IF($A14&gt;=Premissas!$C$18,AE14+AF14,"")</f>
        <v/>
      </c>
      <c r="AH14" s="22" t="n">
        <f aca="false">AH13*(1+$P14)-AD14</f>
        <v>308936.78866904</v>
      </c>
      <c r="AI14" s="22" t="n">
        <f aca="false">($A14=Premissas!$C$16)*0.2*Premissas!$C$11+AND($A14&gt;Premissas!$C$16,$A14&lt;=EDATE(Premissas!$C$16,43))*0.8*Premissas!$C$11/43*(1+Premissas!$C$56)^$C14</f>
        <v>5975.43513202434</v>
      </c>
      <c r="AJ14" s="22" t="n">
        <f aca="false">L14-M14-N14-AI14</f>
        <v>-5975.43513202434</v>
      </c>
      <c r="AK14" s="22" t="n">
        <f aca="false">AK13+AJ14</f>
        <v>-114538.747498896</v>
      </c>
      <c r="AL14" s="22" t="str">
        <f aca="false">IF($A14&gt;=Premissas!$C$18,O14*(1-Premissas!$C$45)-Premissas!$C$46*MAX(0,O14*(1-Premissas!$C$45)-(SUM($AI$5:$AI$355)+Premissas!$C$26*Premissas!$C$60)),"")</f>
        <v/>
      </c>
      <c r="AM14" s="22" t="str">
        <f aca="false">IF($A14&gt;=Premissas!$C$18,AK14+AL14,"")</f>
        <v/>
      </c>
      <c r="AN14" s="22" t="n">
        <f aca="false">AN13*(1+$P14)-AJ14</f>
        <v>121334.345492721</v>
      </c>
      <c r="AO14" s="22" t="n">
        <f aca="false">V14+S14</f>
        <v>20183.8827821607</v>
      </c>
    </row>
    <row r="15" customFormat="false" ht="15" hidden="false" customHeight="false" outlineLevel="0" collapsed="false">
      <c r="A15" s="26" t="n">
        <f aca="false">DATE(YEAR(A14),MONTH(A14)+1,1)</f>
        <v>46600</v>
      </c>
      <c r="B15" s="22" t="str">
        <f aca="false">IF($A15&lt;Premissas!$C$18,"Obra",IF($A15&lt;Premissas!$C$20,"Entrega/mobília","Airbnb"))</f>
        <v>Obra</v>
      </c>
      <c r="C15" s="36" t="n">
        <f aca="false">(YEAR($A15)-YEAR(Premissas!$C$16))*12+MONTH($A15)-MONTH(Premissas!$C$16)</f>
        <v>10</v>
      </c>
      <c r="D15" s="33" t="n">
        <f aca="false">IF($A15&gt;=Premissas!$C$20,Premissas!$C$31*IF(((YEAR($A15)-YEAR(Premissas!$C$20))*12+MONTH($A15)-MONTH(Premissas!$C$20))&lt;Premissas!$C$33,Premissas!$C$34,1),0)</f>
        <v>0</v>
      </c>
      <c r="E15" s="22" t="n">
        <f aca="false">D15*Premissas!$C$30*Premissas!$C$32*(1+Premissas!$C$58)^$C15</f>
        <v>0</v>
      </c>
      <c r="F15" s="22" t="n">
        <f aca="false">E15*Premissas!$C$35</f>
        <v>0</v>
      </c>
      <c r="G15" s="22" t="n">
        <f aca="false">E15*Premissas!$C$36</f>
        <v>0</v>
      </c>
      <c r="H15" s="22" t="n">
        <f aca="false">IF($A15&gt;=Premissas!$C$18,Premissas!$C$37*(1+Premissas!$C$58)^$C15,0)</f>
        <v>0</v>
      </c>
      <c r="I15" s="22" t="n">
        <f aca="false">IF($A15&gt;=Premissas!$C$20,Premissas!$C$38*(1+Premissas!$C$58)^$C15,0)</f>
        <v>0</v>
      </c>
      <c r="J15" s="22" t="n">
        <f aca="false">IF($A15&gt;=Premissas!$C$20,Premissas!$C$39*(1+Premissas!$C$58)^$C15,0)</f>
        <v>0</v>
      </c>
      <c r="K15" s="22" t="n">
        <f aca="false">IF($A15&gt;=Premissas!$C$20,MAX(0,E15-F15-G15-H15)*Premissas!$C$41,0)</f>
        <v>0</v>
      </c>
      <c r="L15" s="22" t="n">
        <f aca="false">E15-F15-G15-H15-I15-J15-K15</f>
        <v>0</v>
      </c>
      <c r="M15" s="22" t="n">
        <f aca="false">($A15=Premissas!$C$18)*Premissas!$C$26*Premissas!$C$60</f>
        <v>0</v>
      </c>
      <c r="N15" s="22" t="n">
        <f aca="false">IF(AND($A15&gt;=Premissas!$C$18,$A15&lt;Premissas!$C$20),Premissas!$C$27/MAX(1,Premissas!$C$19),0)</f>
        <v>0</v>
      </c>
      <c r="O15" s="22" t="str">
        <f aca="false">IF($A15&gt;=Premissas!$C$18,Premissas!$C$60*(1+Premissas!$C$59)^((YEAR($A15)-YEAR(Premissas!$C$18))*12+MONTH($A15)-MONTH(Premissas!$C$18)),"")</f>
        <v/>
      </c>
      <c r="P15" s="31" t="n">
        <f aca="false">(1+IF(YEAR($A15)&lt;=2026,Premissas!$C$49,IF(YEAR($A15)=2027,Premissas!$C$50,IF(YEAR($A15)=2028,Premissas!$C$51,Premissas!$C$52)))*(1-Premissas!$C$53))^(1/12)-1</f>
        <v>0.00845016253927655</v>
      </c>
      <c r="Q15" s="22" t="n">
        <f aca="false">($A15=Premissas!$C$16)*Premissas!$C$13</f>
        <v>0</v>
      </c>
      <c r="R15" s="22" t="n">
        <f aca="false">L15-M15-N15-Q15</f>
        <v>0</v>
      </c>
      <c r="S15" s="22" t="n">
        <f aca="false">S14+R15</f>
        <v>-250000</v>
      </c>
      <c r="T15" s="22" t="str">
        <f aca="false">IF($A15&gt;=Premissas!$C$18,O15*(1-Premissas!$C$45)-Premissas!$C$46*MAX(0,O15*(1-Premissas!$C$45)-(SUM($Q$5:$Q$355)+Premissas!$C$26*Premissas!$C$60)),"")</f>
        <v/>
      </c>
      <c r="U15" s="22" t="str">
        <f aca="false">IF($A15&gt;=Premissas!$C$18,S15+T15,"")</f>
        <v/>
      </c>
      <c r="V15" s="22" t="n">
        <f aca="false">V14*(1+$P15)-R15</f>
        <v>272466.980507163</v>
      </c>
      <c r="W15" s="22" t="n">
        <f aca="false">($A15=Premissas!$C$16)*Premissas!$C$9</f>
        <v>0</v>
      </c>
      <c r="X15" s="22" t="n">
        <f aca="false">L15-M15-N15-W15</f>
        <v>0</v>
      </c>
      <c r="Y15" s="22" t="n">
        <f aca="false">Y14+X15</f>
        <v>-280928</v>
      </c>
      <c r="Z15" s="22" t="str">
        <f aca="false">IF($A15&gt;=Premissas!$C$18,O15*(1-Premissas!$C$45)-Premissas!$C$46*MAX(0,O15*(1-Premissas!$C$45)-(SUM($W$5:$W$355)+Premissas!$C$26*Premissas!$C$60)),"")</f>
        <v/>
      </c>
      <c r="AA15" s="22" t="str">
        <f aca="false">IF($A15&gt;=Premissas!$C$18,Y15+Z15,"")</f>
        <v/>
      </c>
      <c r="AB15" s="22" t="n">
        <f aca="false">AB14*(1+$P15)-X15</f>
        <v>306174.415599665</v>
      </c>
      <c r="AC15" s="22" t="n">
        <f aca="false">AND($A15&gt;=Premissas!$C$16,$A15&lt;EDATE(Premissas!$C$16,3))*Premissas!$C$10/3*(1+Premissas!$C$56)^$C15</f>
        <v>0</v>
      </c>
      <c r="AD15" s="22" t="n">
        <f aca="false">L15-M15-N15-AC15</f>
        <v>0</v>
      </c>
      <c r="AE15" s="22" t="n">
        <f aca="false">AE14+AD15</f>
        <v>-288548.463880025</v>
      </c>
      <c r="AF15" s="22" t="str">
        <f aca="false">IF($A15&gt;=Premissas!$C$18,O15*(1-Premissas!$C$45)-Premissas!$C$46*MAX(0,O15*(1-Premissas!$C$45)-(SUM($AC$5:$AC$355)+Premissas!$C$26*Premissas!$C$60)),"")</f>
        <v/>
      </c>
      <c r="AG15" s="22" t="str">
        <f aca="false">IF($A15&gt;=Premissas!$C$18,AE15+AF15,"")</f>
        <v/>
      </c>
      <c r="AH15" s="22" t="n">
        <f aca="false">AH14*(1+$P15)-AD15</f>
        <v>311547.354747656</v>
      </c>
      <c r="AI15" s="22" t="n">
        <f aca="false">($A15=Premissas!$C$16)*0.2*Premissas!$C$11+AND($A15&gt;Premissas!$C$16,$A15&lt;=EDATE(Premissas!$C$16,43))*0.8*Premissas!$C$11/43*(1+Premissas!$C$56)^$C15</f>
        <v>6002.15547883308</v>
      </c>
      <c r="AJ15" s="22" t="n">
        <f aca="false">L15-M15-N15-AI15</f>
        <v>-6002.15547883308</v>
      </c>
      <c r="AK15" s="22" t="n">
        <f aca="false">AK14+AJ15</f>
        <v>-120540.902977729</v>
      </c>
      <c r="AL15" s="22" t="str">
        <f aca="false">IF($A15&gt;=Premissas!$C$18,O15*(1-Premissas!$C$45)-Premissas!$C$46*MAX(0,O15*(1-Premissas!$C$45)-(SUM($AI$5:$AI$355)+Premissas!$C$26*Premissas!$C$60)),"")</f>
        <v/>
      </c>
      <c r="AM15" s="22" t="str">
        <f aca="false">IF($A15&gt;=Premissas!$C$18,AK15+AL15,"")</f>
        <v/>
      </c>
      <c r="AN15" s="22" t="n">
        <f aca="false">AN14*(1+$P15)-AJ15</f>
        <v>128361.795912564</v>
      </c>
      <c r="AO15" s="22" t="n">
        <f aca="false">V15+S15</f>
        <v>22466.9805071628</v>
      </c>
    </row>
    <row r="16" customFormat="false" ht="15" hidden="false" customHeight="false" outlineLevel="0" collapsed="false">
      <c r="A16" s="26" t="n">
        <f aca="false">DATE(YEAR(A15),MONTH(A15)+1,1)</f>
        <v>46631</v>
      </c>
      <c r="B16" s="22" t="str">
        <f aca="false">IF($A16&lt;Premissas!$C$18,"Obra",IF($A16&lt;Premissas!$C$20,"Entrega/mobília","Airbnb"))</f>
        <v>Obra</v>
      </c>
      <c r="C16" s="36" t="n">
        <f aca="false">(YEAR($A16)-YEAR(Premissas!$C$16))*12+MONTH($A16)-MONTH(Premissas!$C$16)</f>
        <v>11</v>
      </c>
      <c r="D16" s="33" t="n">
        <f aca="false">IF($A16&gt;=Premissas!$C$20,Premissas!$C$31*IF(((YEAR($A16)-YEAR(Premissas!$C$20))*12+MONTH($A16)-MONTH(Premissas!$C$20))&lt;Premissas!$C$33,Premissas!$C$34,1),0)</f>
        <v>0</v>
      </c>
      <c r="E16" s="22" t="n">
        <f aca="false">D16*Premissas!$C$30*Premissas!$C$32*(1+Premissas!$C$58)^$C16</f>
        <v>0</v>
      </c>
      <c r="F16" s="22" t="n">
        <f aca="false">E16*Premissas!$C$35</f>
        <v>0</v>
      </c>
      <c r="G16" s="22" t="n">
        <f aca="false">E16*Premissas!$C$36</f>
        <v>0</v>
      </c>
      <c r="H16" s="22" t="n">
        <f aca="false">IF($A16&gt;=Premissas!$C$18,Premissas!$C$37*(1+Premissas!$C$58)^$C16,0)</f>
        <v>0</v>
      </c>
      <c r="I16" s="22" t="n">
        <f aca="false">IF($A16&gt;=Premissas!$C$20,Premissas!$C$38*(1+Premissas!$C$58)^$C16,0)</f>
        <v>0</v>
      </c>
      <c r="J16" s="22" t="n">
        <f aca="false">IF($A16&gt;=Premissas!$C$20,Premissas!$C$39*(1+Premissas!$C$58)^$C16,0)</f>
        <v>0</v>
      </c>
      <c r="K16" s="22" t="n">
        <f aca="false">IF($A16&gt;=Premissas!$C$20,MAX(0,E16-F16-G16-H16)*Premissas!$C$41,0)</f>
        <v>0</v>
      </c>
      <c r="L16" s="22" t="n">
        <f aca="false">E16-F16-G16-H16-I16-J16-K16</f>
        <v>0</v>
      </c>
      <c r="M16" s="22" t="n">
        <f aca="false">($A16=Premissas!$C$18)*Premissas!$C$26*Premissas!$C$60</f>
        <v>0</v>
      </c>
      <c r="N16" s="22" t="n">
        <f aca="false">IF(AND($A16&gt;=Premissas!$C$18,$A16&lt;Premissas!$C$20),Premissas!$C$27/MAX(1,Premissas!$C$19),0)</f>
        <v>0</v>
      </c>
      <c r="O16" s="22" t="str">
        <f aca="false">IF($A16&gt;=Premissas!$C$18,Premissas!$C$60*(1+Premissas!$C$59)^((YEAR($A16)-YEAR(Premissas!$C$18))*12+MONTH($A16)-MONTH(Premissas!$C$18)),"")</f>
        <v/>
      </c>
      <c r="P16" s="31" t="n">
        <f aca="false">(1+IF(YEAR($A16)&lt;=2026,Premissas!$C$49,IF(YEAR($A16)=2027,Premissas!$C$50,IF(YEAR($A16)=2028,Premissas!$C$51,Premissas!$C$52)))*(1-Premissas!$C$53))^(1/12)-1</f>
        <v>0.00845016253927655</v>
      </c>
      <c r="Q16" s="22" t="n">
        <f aca="false">($A16=Premissas!$C$16)*Premissas!$C$13</f>
        <v>0</v>
      </c>
      <c r="R16" s="22" t="n">
        <f aca="false">L16-M16-N16-Q16</f>
        <v>0</v>
      </c>
      <c r="S16" s="22" t="n">
        <f aca="false">S15+R16</f>
        <v>-250000</v>
      </c>
      <c r="T16" s="22" t="str">
        <f aca="false">IF($A16&gt;=Premissas!$C$18,O16*(1-Premissas!$C$45)-Premissas!$C$46*MAX(0,O16*(1-Premissas!$C$45)-(SUM($Q$5:$Q$355)+Premissas!$C$26*Premissas!$C$60)),"")</f>
        <v/>
      </c>
      <c r="U16" s="22" t="str">
        <f aca="false">IF($A16&gt;=Premissas!$C$18,S16+T16,"")</f>
        <v/>
      </c>
      <c r="V16" s="22" t="n">
        <f aca="false">V15*(1+$P16)-R16</f>
        <v>274769.370779034</v>
      </c>
      <c r="W16" s="22" t="n">
        <f aca="false">($A16=Premissas!$C$16)*Premissas!$C$9</f>
        <v>0</v>
      </c>
      <c r="X16" s="22" t="n">
        <f aca="false">L16-M16-N16-W16</f>
        <v>0</v>
      </c>
      <c r="Y16" s="22" t="n">
        <f aca="false">Y15+X16</f>
        <v>-280928</v>
      </c>
      <c r="Z16" s="22" t="str">
        <f aca="false">IF($A16&gt;=Premissas!$C$18,O16*(1-Premissas!$C$45)-Premissas!$C$46*MAX(0,O16*(1-Premissas!$C$45)-(SUM($W$5:$W$355)+Premissas!$C$26*Premissas!$C$60)),"")</f>
        <v/>
      </c>
      <c r="AA16" s="22" t="str">
        <f aca="false">IF($A16&gt;=Premissas!$C$18,Y16+Z16,"")</f>
        <v/>
      </c>
      <c r="AB16" s="22" t="n">
        <f aca="false">AB15*(1+$P16)-X16</f>
        <v>308761.63917685</v>
      </c>
      <c r="AC16" s="22" t="n">
        <f aca="false">AND($A16&gt;=Premissas!$C$16,$A16&lt;EDATE(Premissas!$C$16,3))*Premissas!$C$10/3*(1+Premissas!$C$56)^$C16</f>
        <v>0</v>
      </c>
      <c r="AD16" s="22" t="n">
        <f aca="false">L16-M16-N16-AC16</f>
        <v>0</v>
      </c>
      <c r="AE16" s="22" t="n">
        <f aca="false">AE15+AD16</f>
        <v>-288548.463880025</v>
      </c>
      <c r="AF16" s="22" t="str">
        <f aca="false">IF($A16&gt;=Premissas!$C$18,O16*(1-Premissas!$C$45)-Premissas!$C$46*MAX(0,O16*(1-Premissas!$C$45)-(SUM($AC$5:$AC$355)+Premissas!$C$26*Premissas!$C$60)),"")</f>
        <v/>
      </c>
      <c r="AG16" s="22" t="str">
        <f aca="false">IF($A16&gt;=Premissas!$C$18,AE16+AF16,"")</f>
        <v/>
      </c>
      <c r="AH16" s="22" t="n">
        <f aca="false">AH15*(1+$P16)-AD16</f>
        <v>314179.980533955</v>
      </c>
      <c r="AI16" s="22" t="n">
        <f aca="false">($A16=Premissas!$C$16)*0.2*Premissas!$C$11+AND($A16&gt;Premissas!$C$16,$A16&lt;=EDATE(Premissas!$C$16,43))*0.8*Premissas!$C$11/43*(1+Premissas!$C$56)^$C16</f>
        <v>6028.9953109877</v>
      </c>
      <c r="AJ16" s="22" t="n">
        <f aca="false">L16-M16-N16-AI16</f>
        <v>-6028.9953109877</v>
      </c>
      <c r="AK16" s="22" t="n">
        <f aca="false">AK15+AJ16</f>
        <v>-126569.898288717</v>
      </c>
      <c r="AL16" s="22" t="str">
        <f aca="false">IF($A16&gt;=Premissas!$C$18,O16*(1-Premissas!$C$45)-Premissas!$C$46*MAX(0,O16*(1-Premissas!$C$45)-(SUM($AI$5:$AI$355)+Premissas!$C$26*Premissas!$C$60)),"")</f>
        <v/>
      </c>
      <c r="AM16" s="22" t="str">
        <f aca="false">IF($A16&gt;=Premissas!$C$18,AK16+AL16,"")</f>
        <v/>
      </c>
      <c r="AN16" s="22" t="n">
        <f aca="false">AN15*(1+$P16)-AJ16</f>
        <v>135475.469262846</v>
      </c>
      <c r="AO16" s="22" t="n">
        <f aca="false">V16+S16</f>
        <v>24769.3707790342</v>
      </c>
    </row>
    <row r="17" customFormat="false" ht="15" hidden="false" customHeight="false" outlineLevel="0" collapsed="false">
      <c r="A17" s="26" t="n">
        <f aca="false">DATE(YEAR(A16),MONTH(A16)+1,1)</f>
        <v>46661</v>
      </c>
      <c r="B17" s="22" t="str">
        <f aca="false">IF($A17&lt;Premissas!$C$18,"Obra",IF($A17&lt;Premissas!$C$20,"Entrega/mobília","Airbnb"))</f>
        <v>Obra</v>
      </c>
      <c r="C17" s="36" t="n">
        <f aca="false">(YEAR($A17)-YEAR(Premissas!$C$16))*12+MONTH($A17)-MONTH(Premissas!$C$16)</f>
        <v>12</v>
      </c>
      <c r="D17" s="33" t="n">
        <f aca="false">IF($A17&gt;=Premissas!$C$20,Premissas!$C$31*IF(((YEAR($A17)-YEAR(Premissas!$C$20))*12+MONTH($A17)-MONTH(Premissas!$C$20))&lt;Premissas!$C$33,Premissas!$C$34,1),0)</f>
        <v>0</v>
      </c>
      <c r="E17" s="22" t="n">
        <f aca="false">D17*Premissas!$C$30*Premissas!$C$32*(1+Premissas!$C$58)^$C17</f>
        <v>0</v>
      </c>
      <c r="F17" s="22" t="n">
        <f aca="false">E17*Premissas!$C$35</f>
        <v>0</v>
      </c>
      <c r="G17" s="22" t="n">
        <f aca="false">E17*Premissas!$C$36</f>
        <v>0</v>
      </c>
      <c r="H17" s="22" t="n">
        <f aca="false">IF($A17&gt;=Premissas!$C$18,Premissas!$C$37*(1+Premissas!$C$58)^$C17,0)</f>
        <v>0</v>
      </c>
      <c r="I17" s="22" t="n">
        <f aca="false">IF($A17&gt;=Premissas!$C$20,Premissas!$C$38*(1+Premissas!$C$58)^$C17,0)</f>
        <v>0</v>
      </c>
      <c r="J17" s="22" t="n">
        <f aca="false">IF($A17&gt;=Premissas!$C$20,Premissas!$C$39*(1+Premissas!$C$58)^$C17,0)</f>
        <v>0</v>
      </c>
      <c r="K17" s="22" t="n">
        <f aca="false">IF($A17&gt;=Premissas!$C$20,MAX(0,E17-F17-G17-H17)*Premissas!$C$41,0)</f>
        <v>0</v>
      </c>
      <c r="L17" s="22" t="n">
        <f aca="false">E17-F17-G17-H17-I17-J17-K17</f>
        <v>0</v>
      </c>
      <c r="M17" s="22" t="n">
        <f aca="false">($A17=Premissas!$C$18)*Premissas!$C$26*Premissas!$C$60</f>
        <v>0</v>
      </c>
      <c r="N17" s="22" t="n">
        <f aca="false">IF(AND($A17&gt;=Premissas!$C$18,$A17&lt;Premissas!$C$20),Premissas!$C$27/MAX(1,Premissas!$C$19),0)</f>
        <v>0</v>
      </c>
      <c r="O17" s="22" t="str">
        <f aca="false">IF($A17&gt;=Premissas!$C$18,Premissas!$C$60*(1+Premissas!$C$59)^((YEAR($A17)-YEAR(Premissas!$C$18))*12+MONTH($A17)-MONTH(Premissas!$C$18)),"")</f>
        <v/>
      </c>
      <c r="P17" s="31" t="n">
        <f aca="false">(1+IF(YEAR($A17)&lt;=2026,Premissas!$C$49,IF(YEAR($A17)=2027,Premissas!$C$50,IF(YEAR($A17)=2028,Premissas!$C$51,Premissas!$C$52)))*(1-Premissas!$C$53))^(1/12)-1</f>
        <v>0.00845016253927655</v>
      </c>
      <c r="Q17" s="22" t="n">
        <f aca="false">($A17=Premissas!$C$16)*Premissas!$C$13</f>
        <v>0</v>
      </c>
      <c r="R17" s="22" t="n">
        <f aca="false">L17-M17-N17-Q17</f>
        <v>0</v>
      </c>
      <c r="S17" s="22" t="n">
        <f aca="false">S16+R17</f>
        <v>-250000</v>
      </c>
      <c r="T17" s="22" t="str">
        <f aca="false">IF($A17&gt;=Premissas!$C$18,O17*(1-Premissas!$C$45)-Premissas!$C$46*MAX(0,O17*(1-Premissas!$C$45)-(SUM($Q$5:$Q$355)+Premissas!$C$26*Premissas!$C$60)),"")</f>
        <v/>
      </c>
      <c r="U17" s="22" t="str">
        <f aca="false">IF($A17&gt;=Premissas!$C$18,S17+T17,"")</f>
        <v/>
      </c>
      <c r="V17" s="22" t="n">
        <f aca="false">V16*(1+$P17)-R17</f>
        <v>277091.216622932</v>
      </c>
      <c r="W17" s="22" t="n">
        <f aca="false">($A17=Premissas!$C$16)*Premissas!$C$9</f>
        <v>0</v>
      </c>
      <c r="X17" s="22" t="n">
        <f aca="false">L17-M17-N17-W17</f>
        <v>0</v>
      </c>
      <c r="Y17" s="22" t="n">
        <f aca="false">Y16+X17</f>
        <v>-280928</v>
      </c>
      <c r="Z17" s="22" t="str">
        <f aca="false">IF($A17&gt;=Premissas!$C$18,O17*(1-Premissas!$C$45)-Premissas!$C$46*MAX(0,O17*(1-Premissas!$C$45)-(SUM($W$5:$W$355)+Premissas!$C$26*Premissas!$C$60)),"")</f>
        <v/>
      </c>
      <c r="AA17" s="22" t="str">
        <f aca="false">IF($A17&gt;=Premissas!$C$18,Y17+Z17,"")</f>
        <v/>
      </c>
      <c r="AB17" s="22" t="n">
        <f aca="false">AB16*(1+$P17)-X17</f>
        <v>311370.725213788</v>
      </c>
      <c r="AC17" s="22" t="n">
        <f aca="false">AND($A17&gt;=Premissas!$C$16,$A17&lt;EDATE(Premissas!$C$16,3))*Premissas!$C$10/3*(1+Premissas!$C$56)^$C17</f>
        <v>0</v>
      </c>
      <c r="AD17" s="22" t="n">
        <f aca="false">L17-M17-N17-AC17</f>
        <v>0</v>
      </c>
      <c r="AE17" s="22" t="n">
        <f aca="false">AE16+AD17</f>
        <v>-288548.463880025</v>
      </c>
      <c r="AF17" s="22" t="str">
        <f aca="false">IF($A17&gt;=Premissas!$C$18,O17*(1-Premissas!$C$45)-Premissas!$C$46*MAX(0,O17*(1-Premissas!$C$45)-(SUM($AC$5:$AC$355)+Premissas!$C$26*Premissas!$C$60)),"")</f>
        <v/>
      </c>
      <c r="AG17" s="22" t="str">
        <f aca="false">IF($A17&gt;=Premissas!$C$18,AE17+AF17,"")</f>
        <v/>
      </c>
      <c r="AH17" s="22" t="n">
        <f aca="false">AH16*(1+$P17)-AD17</f>
        <v>316834.852436054</v>
      </c>
      <c r="AI17" s="22" t="n">
        <f aca="false">($A17=Premissas!$C$16)*0.2*Premissas!$C$11+AND($A17&gt;Premissas!$C$16,$A17&lt;=EDATE(Premissas!$C$16,43))*0.8*Premissas!$C$11/43*(1+Premissas!$C$56)^$C17</f>
        <v>6055.9551627907</v>
      </c>
      <c r="AJ17" s="22" t="n">
        <f aca="false">L17-M17-N17-AI17</f>
        <v>-6055.9551627907</v>
      </c>
      <c r="AK17" s="22" t="n">
        <f aca="false">AK16+AJ17</f>
        <v>-132625.853451507</v>
      </c>
      <c r="AL17" s="22" t="str">
        <f aca="false">IF($A17&gt;=Premissas!$C$18,O17*(1-Premissas!$C$45)-Premissas!$C$46*MAX(0,O17*(1-Premissas!$C$45)-(SUM($AI$5:$AI$355)+Premissas!$C$26*Premissas!$C$60)),"")</f>
        <v/>
      </c>
      <c r="AM17" s="22" t="str">
        <f aca="false">IF($A17&gt;=Premissas!$C$18,AK17+AL17,"")</f>
        <v/>
      </c>
      <c r="AN17" s="22" t="n">
        <f aca="false">AN16*(1+$P17)-AJ17</f>
        <v>142676.214160993</v>
      </c>
      <c r="AO17" s="22" t="n">
        <f aca="false">V17+S17</f>
        <v>27091.2166229318</v>
      </c>
    </row>
    <row r="18" customFormat="false" ht="15" hidden="false" customHeight="false" outlineLevel="0" collapsed="false">
      <c r="A18" s="26" t="n">
        <f aca="false">DATE(YEAR(A17),MONTH(A17)+1,1)</f>
        <v>46692</v>
      </c>
      <c r="B18" s="22" t="str">
        <f aca="false">IF($A18&lt;Premissas!$C$18,"Obra",IF($A18&lt;Premissas!$C$20,"Entrega/mobília","Airbnb"))</f>
        <v>Obra</v>
      </c>
      <c r="C18" s="36" t="n">
        <f aca="false">(YEAR($A18)-YEAR(Premissas!$C$16))*12+MONTH($A18)-MONTH(Premissas!$C$16)</f>
        <v>13</v>
      </c>
      <c r="D18" s="33" t="n">
        <f aca="false">IF($A18&gt;=Premissas!$C$20,Premissas!$C$31*IF(((YEAR($A18)-YEAR(Premissas!$C$20))*12+MONTH($A18)-MONTH(Premissas!$C$20))&lt;Premissas!$C$33,Premissas!$C$34,1),0)</f>
        <v>0</v>
      </c>
      <c r="E18" s="22" t="n">
        <f aca="false">D18*Premissas!$C$30*Premissas!$C$32*(1+Premissas!$C$58)^$C18</f>
        <v>0</v>
      </c>
      <c r="F18" s="22" t="n">
        <f aca="false">E18*Premissas!$C$35</f>
        <v>0</v>
      </c>
      <c r="G18" s="22" t="n">
        <f aca="false">E18*Premissas!$C$36</f>
        <v>0</v>
      </c>
      <c r="H18" s="22" t="n">
        <f aca="false">IF($A18&gt;=Premissas!$C$18,Premissas!$C$37*(1+Premissas!$C$58)^$C18,0)</f>
        <v>0</v>
      </c>
      <c r="I18" s="22" t="n">
        <f aca="false">IF($A18&gt;=Premissas!$C$20,Premissas!$C$38*(1+Premissas!$C$58)^$C18,0)</f>
        <v>0</v>
      </c>
      <c r="J18" s="22" t="n">
        <f aca="false">IF($A18&gt;=Premissas!$C$20,Premissas!$C$39*(1+Premissas!$C$58)^$C18,0)</f>
        <v>0</v>
      </c>
      <c r="K18" s="22" t="n">
        <f aca="false">IF($A18&gt;=Premissas!$C$20,MAX(0,E18-F18-G18-H18)*Premissas!$C$41,0)</f>
        <v>0</v>
      </c>
      <c r="L18" s="22" t="n">
        <f aca="false">E18-F18-G18-H18-I18-J18-K18</f>
        <v>0</v>
      </c>
      <c r="M18" s="22" t="n">
        <f aca="false">($A18=Premissas!$C$18)*Premissas!$C$26*Premissas!$C$60</f>
        <v>0</v>
      </c>
      <c r="N18" s="22" t="n">
        <f aca="false">IF(AND($A18&gt;=Premissas!$C$18,$A18&lt;Premissas!$C$20),Premissas!$C$27/MAX(1,Premissas!$C$19),0)</f>
        <v>0</v>
      </c>
      <c r="O18" s="22" t="str">
        <f aca="false">IF($A18&gt;=Premissas!$C$18,Premissas!$C$60*(1+Premissas!$C$59)^((YEAR($A18)-YEAR(Premissas!$C$18))*12+MONTH($A18)-MONTH(Premissas!$C$18)),"")</f>
        <v/>
      </c>
      <c r="P18" s="31" t="n">
        <f aca="false">(1+IF(YEAR($A18)&lt;=2026,Premissas!$C$49,IF(YEAR($A18)=2027,Premissas!$C$50,IF(YEAR($A18)=2028,Premissas!$C$51,Premissas!$C$52)))*(1-Premissas!$C$53))^(1/12)-1</f>
        <v>0.00845016253927655</v>
      </c>
      <c r="Q18" s="22" t="n">
        <f aca="false">($A18=Premissas!$C$16)*Premissas!$C$13</f>
        <v>0</v>
      </c>
      <c r="R18" s="22" t="n">
        <f aca="false">L18-M18-N18-Q18</f>
        <v>0</v>
      </c>
      <c r="S18" s="22" t="n">
        <f aca="false">S17+R18</f>
        <v>-250000</v>
      </c>
      <c r="T18" s="22" t="str">
        <f aca="false">IF($A18&gt;=Premissas!$C$18,O18*(1-Premissas!$C$45)-Premissas!$C$46*MAX(0,O18*(1-Premissas!$C$45)-(SUM($Q$5:$Q$355)+Premissas!$C$26*Premissas!$C$60)),"")</f>
        <v/>
      </c>
      <c r="U18" s="22" t="str">
        <f aca="false">IF($A18&gt;=Premissas!$C$18,S18+T18,"")</f>
        <v/>
      </c>
      <c r="V18" s="22" t="n">
        <f aca="false">V17*(1+$P18)-R18</f>
        <v>279432.682441602</v>
      </c>
      <c r="W18" s="22" t="n">
        <f aca="false">($A18=Premissas!$C$16)*Premissas!$C$9</f>
        <v>0</v>
      </c>
      <c r="X18" s="22" t="n">
        <f aca="false">L18-M18-N18-W18</f>
        <v>0</v>
      </c>
      <c r="Y18" s="22" t="n">
        <f aca="false">Y17+X18</f>
        <v>-280928</v>
      </c>
      <c r="Z18" s="22" t="str">
        <f aca="false">IF($A18&gt;=Premissas!$C$18,O18*(1-Premissas!$C$45)-Premissas!$C$46*MAX(0,O18*(1-Premissas!$C$45)-(SUM($W$5:$W$355)+Premissas!$C$26*Premissas!$C$60)),"")</f>
        <v/>
      </c>
      <c r="AA18" s="22" t="str">
        <f aca="false">IF($A18&gt;=Premissas!$C$18,Y18+Z18,"")</f>
        <v/>
      </c>
      <c r="AB18" s="22" t="n">
        <f aca="false">AB17*(1+$P18)-X18</f>
        <v>314001.858451817</v>
      </c>
      <c r="AC18" s="22" t="n">
        <f aca="false">AND($A18&gt;=Premissas!$C$16,$A18&lt;EDATE(Premissas!$C$16,3))*Premissas!$C$10/3*(1+Premissas!$C$56)^$C18</f>
        <v>0</v>
      </c>
      <c r="AD18" s="22" t="n">
        <f aca="false">L18-M18-N18-AC18</f>
        <v>0</v>
      </c>
      <c r="AE18" s="22" t="n">
        <f aca="false">AE17+AD18</f>
        <v>-288548.463880025</v>
      </c>
      <c r="AF18" s="22" t="str">
        <f aca="false">IF($A18&gt;=Premissas!$C$18,O18*(1-Premissas!$C$45)-Premissas!$C$46*MAX(0,O18*(1-Premissas!$C$45)-(SUM($AC$5:$AC$355)+Premissas!$C$26*Premissas!$C$60)),"")</f>
        <v/>
      </c>
      <c r="AG18" s="22" t="str">
        <f aca="false">IF($A18&gt;=Premissas!$C$18,AE18+AF18,"")</f>
        <v/>
      </c>
      <c r="AH18" s="22" t="n">
        <f aca="false">AH17*(1+$P18)-AD18</f>
        <v>319512.158437246</v>
      </c>
      <c r="AI18" s="22" t="n">
        <f aca="false">($A18=Premissas!$C$16)*0.2*Premissas!$C$11+AND($A18&gt;Premissas!$C$16,$A18&lt;=EDATE(Premissas!$C$16,43))*0.8*Premissas!$C$11/43*(1+Premissas!$C$56)^$C18</f>
        <v>6083.03557093381</v>
      </c>
      <c r="AJ18" s="22" t="n">
        <f aca="false">L18-M18-N18-AI18</f>
        <v>-6083.03557093381</v>
      </c>
      <c r="AK18" s="22" t="n">
        <f aca="false">AK17+AJ18</f>
        <v>-138708.889022441</v>
      </c>
      <c r="AL18" s="22" t="str">
        <f aca="false">IF($A18&gt;=Premissas!$C$18,O18*(1-Premissas!$C$45)-Premissas!$C$46*MAX(0,O18*(1-Premissas!$C$45)-(SUM($AI$5:$AI$355)+Premissas!$C$26*Premissas!$C$60)),"")</f>
        <v/>
      </c>
      <c r="AM18" s="22" t="str">
        <f aca="false">IF($A18&gt;=Premissas!$C$18,AK18+AL18,"")</f>
        <v/>
      </c>
      <c r="AN18" s="22" t="n">
        <f aca="false">AN17*(1+$P18)-AJ18</f>
        <v>149964.886932076</v>
      </c>
      <c r="AO18" s="22" t="n">
        <f aca="false">V18+S18</f>
        <v>29432.6824416015</v>
      </c>
    </row>
    <row r="19" customFormat="false" ht="15" hidden="false" customHeight="false" outlineLevel="0" collapsed="false">
      <c r="A19" s="26" t="n">
        <f aca="false">DATE(YEAR(A18),MONTH(A18)+1,1)</f>
        <v>46722</v>
      </c>
      <c r="B19" s="22" t="str">
        <f aca="false">IF($A19&lt;Premissas!$C$18,"Obra",IF($A19&lt;Premissas!$C$20,"Entrega/mobília","Airbnb"))</f>
        <v>Obra</v>
      </c>
      <c r="C19" s="36" t="n">
        <f aca="false">(YEAR($A19)-YEAR(Premissas!$C$16))*12+MONTH($A19)-MONTH(Premissas!$C$16)</f>
        <v>14</v>
      </c>
      <c r="D19" s="33" t="n">
        <f aca="false">IF($A19&gt;=Premissas!$C$20,Premissas!$C$31*IF(((YEAR($A19)-YEAR(Premissas!$C$20))*12+MONTH($A19)-MONTH(Premissas!$C$20))&lt;Premissas!$C$33,Premissas!$C$34,1),0)</f>
        <v>0</v>
      </c>
      <c r="E19" s="22" t="n">
        <f aca="false">D19*Premissas!$C$30*Premissas!$C$32*(1+Premissas!$C$58)^$C19</f>
        <v>0</v>
      </c>
      <c r="F19" s="22" t="n">
        <f aca="false">E19*Premissas!$C$35</f>
        <v>0</v>
      </c>
      <c r="G19" s="22" t="n">
        <f aca="false">E19*Premissas!$C$36</f>
        <v>0</v>
      </c>
      <c r="H19" s="22" t="n">
        <f aca="false">IF($A19&gt;=Premissas!$C$18,Premissas!$C$37*(1+Premissas!$C$58)^$C19,0)</f>
        <v>0</v>
      </c>
      <c r="I19" s="22" t="n">
        <f aca="false">IF($A19&gt;=Premissas!$C$20,Premissas!$C$38*(1+Premissas!$C$58)^$C19,0)</f>
        <v>0</v>
      </c>
      <c r="J19" s="22" t="n">
        <f aca="false">IF($A19&gt;=Premissas!$C$20,Premissas!$C$39*(1+Premissas!$C$58)^$C19,0)</f>
        <v>0</v>
      </c>
      <c r="K19" s="22" t="n">
        <f aca="false">IF($A19&gt;=Premissas!$C$20,MAX(0,E19-F19-G19-H19)*Premissas!$C$41,0)</f>
        <v>0</v>
      </c>
      <c r="L19" s="22" t="n">
        <f aca="false">E19-F19-G19-H19-I19-J19-K19</f>
        <v>0</v>
      </c>
      <c r="M19" s="22" t="n">
        <f aca="false">($A19=Premissas!$C$18)*Premissas!$C$26*Premissas!$C$60</f>
        <v>0</v>
      </c>
      <c r="N19" s="22" t="n">
        <f aca="false">IF(AND($A19&gt;=Premissas!$C$18,$A19&lt;Premissas!$C$20),Premissas!$C$27/MAX(1,Premissas!$C$19),0)</f>
        <v>0</v>
      </c>
      <c r="O19" s="22" t="str">
        <f aca="false">IF($A19&gt;=Premissas!$C$18,Premissas!$C$60*(1+Premissas!$C$59)^((YEAR($A19)-YEAR(Premissas!$C$18))*12+MONTH($A19)-MONTH(Premissas!$C$18)),"")</f>
        <v/>
      </c>
      <c r="P19" s="31" t="n">
        <f aca="false">(1+IF(YEAR($A19)&lt;=2026,Premissas!$C$49,IF(YEAR($A19)=2027,Premissas!$C$50,IF(YEAR($A19)=2028,Premissas!$C$51,Premissas!$C$52)))*(1-Premissas!$C$53))^(1/12)-1</f>
        <v>0.00845016253927655</v>
      </c>
      <c r="Q19" s="22" t="n">
        <f aca="false">($A19=Premissas!$C$16)*Premissas!$C$13</f>
        <v>0</v>
      </c>
      <c r="R19" s="22" t="n">
        <f aca="false">L19-M19-N19-Q19</f>
        <v>0</v>
      </c>
      <c r="S19" s="22" t="n">
        <f aca="false">S18+R19</f>
        <v>-250000</v>
      </c>
      <c r="T19" s="22" t="str">
        <f aca="false">IF($A19&gt;=Premissas!$C$18,O19*(1-Premissas!$C$45)-Premissas!$C$46*MAX(0,O19*(1-Premissas!$C$45)-(SUM($Q$5:$Q$355)+Premissas!$C$26*Premissas!$C$60)),"")</f>
        <v/>
      </c>
      <c r="U19" s="22" t="str">
        <f aca="false">IF($A19&gt;=Premissas!$C$18,S19+T19,"")</f>
        <v/>
      </c>
      <c r="V19" s="22" t="n">
        <f aca="false">V18*(1+$P19)-R19</f>
        <v>281793.934027019</v>
      </c>
      <c r="W19" s="22" t="n">
        <f aca="false">($A19=Premissas!$C$16)*Premissas!$C$9</f>
        <v>0</v>
      </c>
      <c r="X19" s="22" t="n">
        <f aca="false">L19-M19-N19-W19</f>
        <v>0</v>
      </c>
      <c r="Y19" s="22" t="n">
        <f aca="false">Y18+X19</f>
        <v>-280928</v>
      </c>
      <c r="Z19" s="22" t="str">
        <f aca="false">IF($A19&gt;=Premissas!$C$18,O19*(1-Premissas!$C$45)-Premissas!$C$46*MAX(0,O19*(1-Premissas!$C$45)-(SUM($W$5:$W$355)+Premissas!$C$26*Premissas!$C$60)),"")</f>
        <v/>
      </c>
      <c r="AA19" s="22" t="str">
        <f aca="false">IF($A19&gt;=Premissas!$C$18,Y19+Z19,"")</f>
        <v/>
      </c>
      <c r="AB19" s="22" t="n">
        <f aca="false">AB18*(1+$P19)-X19</f>
        <v>316655.22519337</v>
      </c>
      <c r="AC19" s="22" t="n">
        <f aca="false">AND($A19&gt;=Premissas!$C$16,$A19&lt;EDATE(Premissas!$C$16,3))*Premissas!$C$10/3*(1+Premissas!$C$56)^$C19</f>
        <v>0</v>
      </c>
      <c r="AD19" s="22" t="n">
        <f aca="false">L19-M19-N19-AC19</f>
        <v>0</v>
      </c>
      <c r="AE19" s="22" t="n">
        <f aca="false">AE18+AD19</f>
        <v>-288548.463880025</v>
      </c>
      <c r="AF19" s="22" t="str">
        <f aca="false">IF($A19&gt;=Premissas!$C$18,O19*(1-Premissas!$C$45)-Premissas!$C$46*MAX(0,O19*(1-Premissas!$C$45)-(SUM($AC$5:$AC$355)+Premissas!$C$26*Premissas!$C$60)),"")</f>
        <v/>
      </c>
      <c r="AG19" s="22" t="str">
        <f aca="false">IF($A19&gt;=Premissas!$C$18,AE19+AF19,"")</f>
        <v/>
      </c>
      <c r="AH19" s="22" t="n">
        <f aca="false">AH18*(1+$P19)-AD19</f>
        <v>322212.088109316</v>
      </c>
      <c r="AI19" s="22" t="n">
        <f aca="false">($A19=Premissas!$C$16)*0.2*Premissas!$C$11+AND($A19&gt;Premissas!$C$16,$A19&lt;=EDATE(Premissas!$C$16,43))*0.8*Premissas!$C$11/43*(1+Premissas!$C$56)^$C19</f>
        <v>6110.23707450869</v>
      </c>
      <c r="AJ19" s="22" t="n">
        <f aca="false">L19-M19-N19-AI19</f>
        <v>-6110.23707450869</v>
      </c>
      <c r="AK19" s="22" t="n">
        <f aca="false">AK18+AJ19</f>
        <v>-144819.12609695</v>
      </c>
      <c r="AL19" s="22" t="str">
        <f aca="false">IF($A19&gt;=Premissas!$C$18,O19*(1-Premissas!$C$45)-Premissas!$C$46*MAX(0,O19*(1-Premissas!$C$45)-(SUM($AI$5:$AI$355)+Premissas!$C$26*Premissas!$C$60)),"")</f>
        <v/>
      </c>
      <c r="AM19" s="22" t="str">
        <f aca="false">IF($A19&gt;=Premissas!$C$18,AK19+AL19,"")</f>
        <v/>
      </c>
      <c r="AN19" s="22" t="n">
        <f aca="false">AN18*(1+$P19)-AJ19</f>
        <v>157342.351676345</v>
      </c>
      <c r="AO19" s="22" t="n">
        <f aca="false">V19+S19</f>
        <v>31793.9340270191</v>
      </c>
    </row>
    <row r="20" customFormat="false" ht="15" hidden="false" customHeight="false" outlineLevel="0" collapsed="false">
      <c r="A20" s="26" t="n">
        <f aca="false">DATE(YEAR(A19),MONTH(A19)+1,1)</f>
        <v>46753</v>
      </c>
      <c r="B20" s="22" t="str">
        <f aca="false">IF($A20&lt;Premissas!$C$18,"Obra",IF($A20&lt;Premissas!$C$20,"Entrega/mobília","Airbnb"))</f>
        <v>Obra</v>
      </c>
      <c r="C20" s="36" t="n">
        <f aca="false">(YEAR($A20)-YEAR(Premissas!$C$16))*12+MONTH($A20)-MONTH(Premissas!$C$16)</f>
        <v>15</v>
      </c>
      <c r="D20" s="33" t="n">
        <f aca="false">IF($A20&gt;=Premissas!$C$20,Premissas!$C$31*IF(((YEAR($A20)-YEAR(Premissas!$C$20))*12+MONTH($A20)-MONTH(Premissas!$C$20))&lt;Premissas!$C$33,Premissas!$C$34,1),0)</f>
        <v>0</v>
      </c>
      <c r="E20" s="22" t="n">
        <f aca="false">D20*Premissas!$C$30*Premissas!$C$32*(1+Premissas!$C$58)^$C20</f>
        <v>0</v>
      </c>
      <c r="F20" s="22" t="n">
        <f aca="false">E20*Premissas!$C$35</f>
        <v>0</v>
      </c>
      <c r="G20" s="22" t="n">
        <f aca="false">E20*Premissas!$C$36</f>
        <v>0</v>
      </c>
      <c r="H20" s="22" t="n">
        <f aca="false">IF($A20&gt;=Premissas!$C$18,Premissas!$C$37*(1+Premissas!$C$58)^$C20,0)</f>
        <v>0</v>
      </c>
      <c r="I20" s="22" t="n">
        <f aca="false">IF($A20&gt;=Premissas!$C$20,Premissas!$C$38*(1+Premissas!$C$58)^$C20,0)</f>
        <v>0</v>
      </c>
      <c r="J20" s="22" t="n">
        <f aca="false">IF($A20&gt;=Premissas!$C$20,Premissas!$C$39*(1+Premissas!$C$58)^$C20,0)</f>
        <v>0</v>
      </c>
      <c r="K20" s="22" t="n">
        <f aca="false">IF($A20&gt;=Premissas!$C$20,MAX(0,E20-F20-G20-H20)*Premissas!$C$41,0)</f>
        <v>0</v>
      </c>
      <c r="L20" s="22" t="n">
        <f aca="false">E20-F20-G20-H20-I20-J20-K20</f>
        <v>0</v>
      </c>
      <c r="M20" s="22" t="n">
        <f aca="false">($A20=Premissas!$C$18)*Premissas!$C$26*Premissas!$C$60</f>
        <v>0</v>
      </c>
      <c r="N20" s="22" t="n">
        <f aca="false">IF(AND($A20&gt;=Premissas!$C$18,$A20&lt;Premissas!$C$20),Premissas!$C$27/MAX(1,Premissas!$C$19),0)</f>
        <v>0</v>
      </c>
      <c r="O20" s="22" t="str">
        <f aca="false">IF($A20&gt;=Premissas!$C$18,Premissas!$C$60*(1+Premissas!$C$59)^((YEAR($A20)-YEAR(Premissas!$C$18))*12+MONTH($A20)-MONTH(Premissas!$C$18)),"")</f>
        <v/>
      </c>
      <c r="P20" s="31" t="n">
        <f aca="false">(1+IF(YEAR($A20)&lt;=2026,Premissas!$C$49,IF(YEAR($A20)=2027,Premissas!$C$50,IF(YEAR($A20)=2028,Premissas!$C$51,Premissas!$C$52)))*(1-Premissas!$C$53))^(1/12)-1</f>
        <v>0.00747644014574678</v>
      </c>
      <c r="Q20" s="22" t="n">
        <f aca="false">($A20=Premissas!$C$16)*Premissas!$C$13</f>
        <v>0</v>
      </c>
      <c r="R20" s="22" t="n">
        <f aca="false">L20-M20-N20-Q20</f>
        <v>0</v>
      </c>
      <c r="S20" s="22" t="n">
        <f aca="false">S19+R20</f>
        <v>-250000</v>
      </c>
      <c r="T20" s="22" t="str">
        <f aca="false">IF($A20&gt;=Premissas!$C$18,O20*(1-Premissas!$C$45)-Premissas!$C$46*MAX(0,O20*(1-Premissas!$C$45)-(SUM($Q$5:$Q$355)+Premissas!$C$26*Premissas!$C$60)),"")</f>
        <v/>
      </c>
      <c r="U20" s="22" t="str">
        <f aca="false">IF($A20&gt;=Premissas!$C$18,S20+T20,"")</f>
        <v/>
      </c>
      <c r="V20" s="22" t="n">
        <f aca="false">V19*(1+$P20)-R20</f>
        <v>283900.749508207</v>
      </c>
      <c r="W20" s="22" t="n">
        <f aca="false">($A20=Premissas!$C$16)*Premissas!$C$9</f>
        <v>0</v>
      </c>
      <c r="X20" s="22" t="n">
        <f aca="false">L20-M20-N20-W20</f>
        <v>0</v>
      </c>
      <c r="Y20" s="22" t="n">
        <f aca="false">Y19+X20</f>
        <v>-280928</v>
      </c>
      <c r="Z20" s="22" t="str">
        <f aca="false">IF($A20&gt;=Premissas!$C$18,O20*(1-Premissas!$C$45)-Premissas!$C$46*MAX(0,O20*(1-Premissas!$C$45)-(SUM($W$5:$W$355)+Premissas!$C$26*Premissas!$C$60)),"")</f>
        <v/>
      </c>
      <c r="AA20" s="22" t="str">
        <f aca="false">IF($A20&gt;=Premissas!$C$18,Y20+Z20,"")</f>
        <v/>
      </c>
      <c r="AB20" s="22" t="n">
        <f aca="false">AB19*(1+$P20)-X20</f>
        <v>319022.679031366</v>
      </c>
      <c r="AC20" s="22" t="n">
        <f aca="false">AND($A20&gt;=Premissas!$C$16,$A20&lt;EDATE(Premissas!$C$16,3))*Premissas!$C$10/3*(1+Premissas!$C$56)^$C20</f>
        <v>0</v>
      </c>
      <c r="AD20" s="22" t="n">
        <f aca="false">L20-M20-N20-AC20</f>
        <v>0</v>
      </c>
      <c r="AE20" s="22" t="n">
        <f aca="false">AE19+AD20</f>
        <v>-288548.463880025</v>
      </c>
      <c r="AF20" s="22" t="str">
        <f aca="false">IF($A20&gt;=Premissas!$C$18,O20*(1-Premissas!$C$45)-Premissas!$C$46*MAX(0,O20*(1-Premissas!$C$45)-(SUM($AC$5:$AC$355)+Premissas!$C$26*Premissas!$C$60)),"")</f>
        <v/>
      </c>
      <c r="AG20" s="22" t="str">
        <f aca="false">IF($A20&gt;=Premissas!$C$18,AE20+AF20,"")</f>
        <v/>
      </c>
      <c r="AH20" s="22" t="n">
        <f aca="false">AH19*(1+$P20)-AD20</f>
        <v>324621.087500301</v>
      </c>
      <c r="AI20" s="22" t="n">
        <f aca="false">($A20=Premissas!$C$16)*0.2*Premissas!$C$11+AND($A20&gt;Premissas!$C$16,$A20&lt;=EDATE(Premissas!$C$16,43))*0.8*Premissas!$C$11/43*(1+Premissas!$C$56)^$C20</f>
        <v>6137.56021501765</v>
      </c>
      <c r="AJ20" s="22" t="n">
        <f aca="false">L20-M20-N20-AI20</f>
        <v>-6137.56021501765</v>
      </c>
      <c r="AK20" s="22" t="n">
        <f aca="false">AK19+AJ20</f>
        <v>-150956.686311967</v>
      </c>
      <c r="AL20" s="22" t="str">
        <f aca="false">IF($A20&gt;=Premissas!$C$18,O20*(1-Premissas!$C$45)-Premissas!$C$46*MAX(0,O20*(1-Premissas!$C$45)-(SUM($AI$5:$AI$355)+Premissas!$C$26*Premissas!$C$60)),"")</f>
        <v/>
      </c>
      <c r="AM20" s="22" t="str">
        <f aca="false">IF($A20&gt;=Premissas!$C$18,AK20+AL20,"")</f>
        <v/>
      </c>
      <c r="AN20" s="22" t="n">
        <f aca="false">AN19*(1+$P20)-AJ20</f>
        <v>164656.272566061</v>
      </c>
      <c r="AO20" s="22" t="n">
        <f aca="false">V20+S20</f>
        <v>33900.7495082066</v>
      </c>
    </row>
    <row r="21" customFormat="false" ht="15" hidden="false" customHeight="false" outlineLevel="0" collapsed="false">
      <c r="A21" s="26" t="n">
        <f aca="false">DATE(YEAR(A20),MONTH(A20)+1,1)</f>
        <v>46784</v>
      </c>
      <c r="B21" s="22" t="str">
        <f aca="false">IF($A21&lt;Premissas!$C$18,"Obra",IF($A21&lt;Premissas!$C$20,"Entrega/mobília","Airbnb"))</f>
        <v>Obra</v>
      </c>
      <c r="C21" s="36" t="n">
        <f aca="false">(YEAR($A21)-YEAR(Premissas!$C$16))*12+MONTH($A21)-MONTH(Premissas!$C$16)</f>
        <v>16</v>
      </c>
      <c r="D21" s="33" t="n">
        <f aca="false">IF($A21&gt;=Premissas!$C$20,Premissas!$C$31*IF(((YEAR($A21)-YEAR(Premissas!$C$20))*12+MONTH($A21)-MONTH(Premissas!$C$20))&lt;Premissas!$C$33,Premissas!$C$34,1),0)</f>
        <v>0</v>
      </c>
      <c r="E21" s="22" t="n">
        <f aca="false">D21*Premissas!$C$30*Premissas!$C$32*(1+Premissas!$C$58)^$C21</f>
        <v>0</v>
      </c>
      <c r="F21" s="22" t="n">
        <f aca="false">E21*Premissas!$C$35</f>
        <v>0</v>
      </c>
      <c r="G21" s="22" t="n">
        <f aca="false">E21*Premissas!$C$36</f>
        <v>0</v>
      </c>
      <c r="H21" s="22" t="n">
        <f aca="false">IF($A21&gt;=Premissas!$C$18,Premissas!$C$37*(1+Premissas!$C$58)^$C21,0)</f>
        <v>0</v>
      </c>
      <c r="I21" s="22" t="n">
        <f aca="false">IF($A21&gt;=Premissas!$C$20,Premissas!$C$38*(1+Premissas!$C$58)^$C21,0)</f>
        <v>0</v>
      </c>
      <c r="J21" s="22" t="n">
        <f aca="false">IF($A21&gt;=Premissas!$C$20,Premissas!$C$39*(1+Premissas!$C$58)^$C21,0)</f>
        <v>0</v>
      </c>
      <c r="K21" s="22" t="n">
        <f aca="false">IF($A21&gt;=Premissas!$C$20,MAX(0,E21-F21-G21-H21)*Premissas!$C$41,0)</f>
        <v>0</v>
      </c>
      <c r="L21" s="22" t="n">
        <f aca="false">E21-F21-G21-H21-I21-J21-K21</f>
        <v>0</v>
      </c>
      <c r="M21" s="22" t="n">
        <f aca="false">($A21=Premissas!$C$18)*Premissas!$C$26*Premissas!$C$60</f>
        <v>0</v>
      </c>
      <c r="N21" s="22" t="n">
        <f aca="false">IF(AND($A21&gt;=Premissas!$C$18,$A21&lt;Premissas!$C$20),Premissas!$C$27/MAX(1,Premissas!$C$19),0)</f>
        <v>0</v>
      </c>
      <c r="O21" s="22" t="str">
        <f aca="false">IF($A21&gt;=Premissas!$C$18,Premissas!$C$60*(1+Premissas!$C$59)^((YEAR($A21)-YEAR(Premissas!$C$18))*12+MONTH($A21)-MONTH(Premissas!$C$18)),"")</f>
        <v/>
      </c>
      <c r="P21" s="31" t="n">
        <f aca="false">(1+IF(YEAR($A21)&lt;=2026,Premissas!$C$49,IF(YEAR($A21)=2027,Premissas!$C$50,IF(YEAR($A21)=2028,Premissas!$C$51,Premissas!$C$52)))*(1-Premissas!$C$53))^(1/12)-1</f>
        <v>0.00747644014574678</v>
      </c>
      <c r="Q21" s="22" t="n">
        <f aca="false">($A21=Premissas!$C$16)*Premissas!$C$13</f>
        <v>0</v>
      </c>
      <c r="R21" s="22" t="n">
        <f aca="false">L21-M21-N21-Q21</f>
        <v>0</v>
      </c>
      <c r="S21" s="22" t="n">
        <f aca="false">S20+R21</f>
        <v>-250000</v>
      </c>
      <c r="T21" s="22" t="str">
        <f aca="false">IF($A21&gt;=Premissas!$C$18,O21*(1-Premissas!$C$45)-Premissas!$C$46*MAX(0,O21*(1-Premissas!$C$45)-(SUM($Q$5:$Q$355)+Premissas!$C$26*Premissas!$C$60)),"")</f>
        <v/>
      </c>
      <c r="U21" s="22" t="str">
        <f aca="false">IF($A21&gt;=Premissas!$C$18,S21+T21,"")</f>
        <v/>
      </c>
      <c r="V21" s="22" t="n">
        <f aca="false">V20*(1+$P21)-R21</f>
        <v>286023.316469237</v>
      </c>
      <c r="W21" s="22" t="n">
        <f aca="false">($A21=Premissas!$C$16)*Premissas!$C$9</f>
        <v>0</v>
      </c>
      <c r="X21" s="22" t="n">
        <f aca="false">L21-M21-N21-W21</f>
        <v>0</v>
      </c>
      <c r="Y21" s="22" t="n">
        <f aca="false">Y20+X21</f>
        <v>-280928</v>
      </c>
      <c r="Z21" s="22" t="str">
        <f aca="false">IF($A21&gt;=Premissas!$C$18,O21*(1-Premissas!$C$45)-Premissas!$C$46*MAX(0,O21*(1-Premissas!$C$45)-(SUM($W$5:$W$355)+Premissas!$C$26*Premissas!$C$60)),"")</f>
        <v/>
      </c>
      <c r="AA21" s="22" t="str">
        <f aca="false">IF($A21&gt;=Premissas!$C$18,Y21+Z21,"")</f>
        <v/>
      </c>
      <c r="AB21" s="22" t="n">
        <f aca="false">AB20*(1+$P21)-X21</f>
        <v>321407.83299628</v>
      </c>
      <c r="AC21" s="22" t="n">
        <f aca="false">AND($A21&gt;=Premissas!$C$16,$A21&lt;EDATE(Premissas!$C$16,3))*Premissas!$C$10/3*(1+Premissas!$C$56)^$C21</f>
        <v>0</v>
      </c>
      <c r="AD21" s="22" t="n">
        <f aca="false">L21-M21-N21-AC21</f>
        <v>0</v>
      </c>
      <c r="AE21" s="22" t="n">
        <f aca="false">AE20+AD21</f>
        <v>-288548.463880025</v>
      </c>
      <c r="AF21" s="22" t="str">
        <f aca="false">IF($A21&gt;=Premissas!$C$18,O21*(1-Premissas!$C$45)-Premissas!$C$46*MAX(0,O21*(1-Premissas!$C$45)-(SUM($AC$5:$AC$355)+Premissas!$C$26*Premissas!$C$60)),"")</f>
        <v/>
      </c>
      <c r="AG21" s="22" t="str">
        <f aca="false">IF($A21&gt;=Premissas!$C$18,AE21+AF21,"")</f>
        <v/>
      </c>
      <c r="AH21" s="22" t="n">
        <f aca="false">AH20*(1+$P21)-AD21</f>
        <v>327048.097631045</v>
      </c>
      <c r="AI21" s="22" t="n">
        <f aca="false">($A21=Premissas!$C$16)*0.2*Premissas!$C$11+AND($A21&gt;Premissas!$C$16,$A21&lt;=EDATE(Premissas!$C$16,43))*0.8*Premissas!$C$11/43*(1+Premissas!$C$56)^$C21</f>
        <v>6165.00553638443</v>
      </c>
      <c r="AJ21" s="22" t="n">
        <f aca="false">L21-M21-N21-AI21</f>
        <v>-6165.00553638443</v>
      </c>
      <c r="AK21" s="22" t="n">
        <f aca="false">AK20+AJ21</f>
        <v>-157121.691848352</v>
      </c>
      <c r="AL21" s="22" t="str">
        <f aca="false">IF($A21&gt;=Premissas!$C$18,O21*(1-Premissas!$C$45)-Premissas!$C$46*MAX(0,O21*(1-Premissas!$C$45)-(SUM($AI$5:$AI$355)+Premissas!$C$26*Premissas!$C$60)),"")</f>
        <v/>
      </c>
      <c r="AM21" s="22" t="str">
        <f aca="false">IF($A21&gt;=Premissas!$C$18,AK21+AL21,"")</f>
        <v/>
      </c>
      <c r="AN21" s="22" t="n">
        <f aca="false">AN20*(1+$P21)-AJ21</f>
        <v>172052.320868908</v>
      </c>
      <c r="AO21" s="22" t="n">
        <f aca="false">V21+S21</f>
        <v>36023.3164692374</v>
      </c>
    </row>
    <row r="22" customFormat="false" ht="15" hidden="false" customHeight="false" outlineLevel="0" collapsed="false">
      <c r="A22" s="26" t="n">
        <f aca="false">DATE(YEAR(A21),MONTH(A21)+1,1)</f>
        <v>46813</v>
      </c>
      <c r="B22" s="22" t="str">
        <f aca="false">IF($A22&lt;Premissas!$C$18,"Obra",IF($A22&lt;Premissas!$C$20,"Entrega/mobília","Airbnb"))</f>
        <v>Obra</v>
      </c>
      <c r="C22" s="36" t="n">
        <f aca="false">(YEAR($A22)-YEAR(Premissas!$C$16))*12+MONTH($A22)-MONTH(Premissas!$C$16)</f>
        <v>17</v>
      </c>
      <c r="D22" s="33" t="n">
        <f aca="false">IF($A22&gt;=Premissas!$C$20,Premissas!$C$31*IF(((YEAR($A22)-YEAR(Premissas!$C$20))*12+MONTH($A22)-MONTH(Premissas!$C$20))&lt;Premissas!$C$33,Premissas!$C$34,1),0)</f>
        <v>0</v>
      </c>
      <c r="E22" s="22" t="n">
        <f aca="false">D22*Premissas!$C$30*Premissas!$C$32*(1+Premissas!$C$58)^$C22</f>
        <v>0</v>
      </c>
      <c r="F22" s="22" t="n">
        <f aca="false">E22*Premissas!$C$35</f>
        <v>0</v>
      </c>
      <c r="G22" s="22" t="n">
        <f aca="false">E22*Premissas!$C$36</f>
        <v>0</v>
      </c>
      <c r="H22" s="22" t="n">
        <f aca="false">IF($A22&gt;=Premissas!$C$18,Premissas!$C$37*(1+Premissas!$C$58)^$C22,0)</f>
        <v>0</v>
      </c>
      <c r="I22" s="22" t="n">
        <f aca="false">IF($A22&gt;=Premissas!$C$20,Premissas!$C$38*(1+Premissas!$C$58)^$C22,0)</f>
        <v>0</v>
      </c>
      <c r="J22" s="22" t="n">
        <f aca="false">IF($A22&gt;=Premissas!$C$20,Premissas!$C$39*(1+Premissas!$C$58)^$C22,0)</f>
        <v>0</v>
      </c>
      <c r="K22" s="22" t="n">
        <f aca="false">IF($A22&gt;=Premissas!$C$20,MAX(0,E22-F22-G22-H22)*Premissas!$C$41,0)</f>
        <v>0</v>
      </c>
      <c r="L22" s="22" t="n">
        <f aca="false">E22-F22-G22-H22-I22-J22-K22</f>
        <v>0</v>
      </c>
      <c r="M22" s="22" t="n">
        <f aca="false">($A22=Premissas!$C$18)*Premissas!$C$26*Premissas!$C$60</f>
        <v>0</v>
      </c>
      <c r="N22" s="22" t="n">
        <f aca="false">IF(AND($A22&gt;=Premissas!$C$18,$A22&lt;Premissas!$C$20),Premissas!$C$27/MAX(1,Premissas!$C$19),0)</f>
        <v>0</v>
      </c>
      <c r="O22" s="22" t="str">
        <f aca="false">IF($A22&gt;=Premissas!$C$18,Premissas!$C$60*(1+Premissas!$C$59)^((YEAR($A22)-YEAR(Premissas!$C$18))*12+MONTH($A22)-MONTH(Premissas!$C$18)),"")</f>
        <v/>
      </c>
      <c r="P22" s="31" t="n">
        <f aca="false">(1+IF(YEAR($A22)&lt;=2026,Premissas!$C$49,IF(YEAR($A22)=2027,Premissas!$C$50,IF(YEAR($A22)=2028,Premissas!$C$51,Premissas!$C$52)))*(1-Premissas!$C$53))^(1/12)-1</f>
        <v>0.00747644014574678</v>
      </c>
      <c r="Q22" s="22" t="n">
        <f aca="false">($A22=Premissas!$C$16)*Premissas!$C$13</f>
        <v>0</v>
      </c>
      <c r="R22" s="22" t="n">
        <f aca="false">L22-M22-N22-Q22</f>
        <v>0</v>
      </c>
      <c r="S22" s="22" t="n">
        <f aca="false">S21+R22</f>
        <v>-250000</v>
      </c>
      <c r="T22" s="22" t="str">
        <f aca="false">IF($A22&gt;=Premissas!$C$18,O22*(1-Premissas!$C$45)-Premissas!$C$46*MAX(0,O22*(1-Premissas!$C$45)-(SUM($Q$5:$Q$355)+Premissas!$C$26*Premissas!$C$60)),"")</f>
        <v/>
      </c>
      <c r="U22" s="22" t="str">
        <f aca="false">IF($A22&gt;=Premissas!$C$18,S22+T22,"")</f>
        <v/>
      </c>
      <c r="V22" s="22" t="n">
        <f aca="false">V21*(1+$P22)-R22</f>
        <v>288161.752675108</v>
      </c>
      <c r="W22" s="22" t="n">
        <f aca="false">($A22=Premissas!$C$16)*Premissas!$C$9</f>
        <v>0</v>
      </c>
      <c r="X22" s="22" t="n">
        <f aca="false">L22-M22-N22-W22</f>
        <v>0</v>
      </c>
      <c r="Y22" s="22" t="n">
        <f aca="false">Y21+X22</f>
        <v>-280928</v>
      </c>
      <c r="Z22" s="22" t="str">
        <f aca="false">IF($A22&gt;=Premissas!$C$18,O22*(1-Premissas!$C$45)-Premissas!$C$46*MAX(0,O22*(1-Premissas!$C$45)-(SUM($W$5:$W$355)+Premissas!$C$26*Premissas!$C$60)),"")</f>
        <v/>
      </c>
      <c r="AA22" s="22" t="str">
        <f aca="false">IF($A22&gt;=Premissas!$C$18,Y22+Z22,"")</f>
        <v/>
      </c>
      <c r="AB22" s="22" t="n">
        <f aca="false">AB21*(1+$P22)-X22</f>
        <v>323810.81942205</v>
      </c>
      <c r="AC22" s="22" t="n">
        <f aca="false">AND($A22&gt;=Premissas!$C$16,$A22&lt;EDATE(Premissas!$C$16,3))*Premissas!$C$10/3*(1+Premissas!$C$56)^$C22</f>
        <v>0</v>
      </c>
      <c r="AD22" s="22" t="n">
        <f aca="false">L22-M22-N22-AC22</f>
        <v>0</v>
      </c>
      <c r="AE22" s="22" t="n">
        <f aca="false">AE21+AD22</f>
        <v>-288548.463880025</v>
      </c>
      <c r="AF22" s="22" t="str">
        <f aca="false">IF($A22&gt;=Premissas!$C$18,O22*(1-Premissas!$C$45)-Premissas!$C$46*MAX(0,O22*(1-Premissas!$C$45)-(SUM($AC$5:$AC$355)+Premissas!$C$26*Premissas!$C$60)),"")</f>
        <v/>
      </c>
      <c r="AG22" s="22" t="str">
        <f aca="false">IF($A22&gt;=Premissas!$C$18,AE22+AF22,"")</f>
        <v/>
      </c>
      <c r="AH22" s="22" t="n">
        <f aca="false">AH21*(1+$P22)-AD22</f>
        <v>329493.253157764</v>
      </c>
      <c r="AI22" s="22" t="n">
        <f aca="false">($A22=Premissas!$C$16)*0.2*Premissas!$C$11+AND($A22&gt;Premissas!$C$16,$A22&lt;=EDATE(Premissas!$C$16,43))*0.8*Premissas!$C$11/43*(1+Premissas!$C$56)^$C22</f>
        <v>6192.57358496504</v>
      </c>
      <c r="AJ22" s="22" t="n">
        <f aca="false">L22-M22-N22-AI22</f>
        <v>-6192.57358496504</v>
      </c>
      <c r="AK22" s="22" t="n">
        <f aca="false">AK21+AJ22</f>
        <v>-163314.265433317</v>
      </c>
      <c r="AL22" s="22" t="str">
        <f aca="false">IF($A22&gt;=Premissas!$C$18,O22*(1-Premissas!$C$45)-Premissas!$C$46*MAX(0,O22*(1-Premissas!$C$45)-(SUM($AI$5:$AI$355)+Premissas!$C$26*Premissas!$C$60)),"")</f>
        <v/>
      </c>
      <c r="AM22" s="22" t="str">
        <f aca="false">IF($A22&gt;=Premissas!$C$18,AK22+AL22,"")</f>
        <v/>
      </c>
      <c r="AN22" s="22" t="n">
        <f aca="false">AN21*(1+$P22)-AJ22</f>
        <v>179531.233332786</v>
      </c>
      <c r="AO22" s="22" t="n">
        <f aca="false">V22+S22</f>
        <v>38161.7526751076</v>
      </c>
    </row>
    <row r="23" customFormat="false" ht="15" hidden="false" customHeight="false" outlineLevel="0" collapsed="false">
      <c r="A23" s="26" t="n">
        <f aca="false">DATE(YEAR(A22),MONTH(A22)+1,1)</f>
        <v>46844</v>
      </c>
      <c r="B23" s="22" t="str">
        <f aca="false">IF($A23&lt;Premissas!$C$18,"Obra",IF($A23&lt;Premissas!$C$20,"Entrega/mobília","Airbnb"))</f>
        <v>Obra</v>
      </c>
      <c r="C23" s="36" t="n">
        <f aca="false">(YEAR($A23)-YEAR(Premissas!$C$16))*12+MONTH($A23)-MONTH(Premissas!$C$16)</f>
        <v>18</v>
      </c>
      <c r="D23" s="33" t="n">
        <f aca="false">IF($A23&gt;=Premissas!$C$20,Premissas!$C$31*IF(((YEAR($A23)-YEAR(Premissas!$C$20))*12+MONTH($A23)-MONTH(Premissas!$C$20))&lt;Premissas!$C$33,Premissas!$C$34,1),0)</f>
        <v>0</v>
      </c>
      <c r="E23" s="22" t="n">
        <f aca="false">D23*Premissas!$C$30*Premissas!$C$32*(1+Premissas!$C$58)^$C23</f>
        <v>0</v>
      </c>
      <c r="F23" s="22" t="n">
        <f aca="false">E23*Premissas!$C$35</f>
        <v>0</v>
      </c>
      <c r="G23" s="22" t="n">
        <f aca="false">E23*Premissas!$C$36</f>
        <v>0</v>
      </c>
      <c r="H23" s="22" t="n">
        <f aca="false">IF($A23&gt;=Premissas!$C$18,Premissas!$C$37*(1+Premissas!$C$58)^$C23,0)</f>
        <v>0</v>
      </c>
      <c r="I23" s="22" t="n">
        <f aca="false">IF($A23&gt;=Premissas!$C$20,Premissas!$C$38*(1+Premissas!$C$58)^$C23,0)</f>
        <v>0</v>
      </c>
      <c r="J23" s="22" t="n">
        <f aca="false">IF($A23&gt;=Premissas!$C$20,Premissas!$C$39*(1+Premissas!$C$58)^$C23,0)</f>
        <v>0</v>
      </c>
      <c r="K23" s="22" t="n">
        <f aca="false">IF($A23&gt;=Premissas!$C$20,MAX(0,E23-F23-G23-H23)*Premissas!$C$41,0)</f>
        <v>0</v>
      </c>
      <c r="L23" s="22" t="n">
        <f aca="false">E23-F23-G23-H23-I23-J23-K23</f>
        <v>0</v>
      </c>
      <c r="M23" s="22" t="n">
        <f aca="false">($A23=Premissas!$C$18)*Premissas!$C$26*Premissas!$C$60</f>
        <v>0</v>
      </c>
      <c r="N23" s="22" t="n">
        <f aca="false">IF(AND($A23&gt;=Premissas!$C$18,$A23&lt;Premissas!$C$20),Premissas!$C$27/MAX(1,Premissas!$C$19),0)</f>
        <v>0</v>
      </c>
      <c r="O23" s="22" t="str">
        <f aca="false">IF($A23&gt;=Premissas!$C$18,Premissas!$C$60*(1+Premissas!$C$59)^((YEAR($A23)-YEAR(Premissas!$C$18))*12+MONTH($A23)-MONTH(Premissas!$C$18)),"")</f>
        <v/>
      </c>
      <c r="P23" s="31" t="n">
        <f aca="false">(1+IF(YEAR($A23)&lt;=2026,Premissas!$C$49,IF(YEAR($A23)=2027,Premissas!$C$50,IF(YEAR($A23)=2028,Premissas!$C$51,Premissas!$C$52)))*(1-Premissas!$C$53))^(1/12)-1</f>
        <v>0.00747644014574678</v>
      </c>
      <c r="Q23" s="22" t="n">
        <f aca="false">($A23=Premissas!$C$16)*Premissas!$C$13</f>
        <v>0</v>
      </c>
      <c r="R23" s="22" t="n">
        <f aca="false">L23-M23-N23-Q23</f>
        <v>0</v>
      </c>
      <c r="S23" s="22" t="n">
        <f aca="false">S22+R23</f>
        <v>-250000</v>
      </c>
      <c r="T23" s="22" t="str">
        <f aca="false">IF($A23&gt;=Premissas!$C$18,O23*(1-Premissas!$C$45)-Premissas!$C$46*MAX(0,O23*(1-Premissas!$C$45)-(SUM($Q$5:$Q$355)+Premissas!$C$26*Premissas!$C$60)),"")</f>
        <v/>
      </c>
      <c r="U23" s="22" t="str">
        <f aca="false">IF($A23&gt;=Premissas!$C$18,S23+T23,"")</f>
        <v/>
      </c>
      <c r="V23" s="22" t="n">
        <f aca="false">V22*(1+$P23)-R23</f>
        <v>290316.176771277</v>
      </c>
      <c r="W23" s="22" t="n">
        <f aca="false">($A23=Premissas!$C$16)*Premissas!$C$9</f>
        <v>0</v>
      </c>
      <c r="X23" s="22" t="n">
        <f aca="false">L23-M23-N23-W23</f>
        <v>0</v>
      </c>
      <c r="Y23" s="22" t="n">
        <f aca="false">Y22+X23</f>
        <v>-280928</v>
      </c>
      <c r="Z23" s="22" t="str">
        <f aca="false">IF($A23&gt;=Premissas!$C$18,O23*(1-Premissas!$C$45)-Premissas!$C$46*MAX(0,O23*(1-Premissas!$C$45)-(SUM($W$5:$W$355)+Premissas!$C$26*Premissas!$C$60)),"")</f>
        <v/>
      </c>
      <c r="AA23" s="22" t="str">
        <f aca="false">IF($A23&gt;=Premissas!$C$18,Y23+Z23,"")</f>
        <v/>
      </c>
      <c r="AB23" s="22" t="n">
        <f aca="false">AB22*(1+$P23)-X23</f>
        <v>326231.771632005</v>
      </c>
      <c r="AC23" s="22" t="n">
        <f aca="false">AND($A23&gt;=Premissas!$C$16,$A23&lt;EDATE(Premissas!$C$16,3))*Premissas!$C$10/3*(1+Premissas!$C$56)^$C23</f>
        <v>0</v>
      </c>
      <c r="AD23" s="22" t="n">
        <f aca="false">L23-M23-N23-AC23</f>
        <v>0</v>
      </c>
      <c r="AE23" s="22" t="n">
        <f aca="false">AE22+AD23</f>
        <v>-288548.463880025</v>
      </c>
      <c r="AF23" s="22" t="str">
        <f aca="false">IF($A23&gt;=Premissas!$C$18,O23*(1-Premissas!$C$45)-Premissas!$C$46*MAX(0,O23*(1-Premissas!$C$45)-(SUM($AC$5:$AC$355)+Premissas!$C$26*Premissas!$C$60)),"")</f>
        <v/>
      </c>
      <c r="AG23" s="22" t="str">
        <f aca="false">IF($A23&gt;=Premissas!$C$18,AE23+AF23,"")</f>
        <v/>
      </c>
      <c r="AH23" s="22" t="n">
        <f aca="false">AH22*(1+$P23)-AD23</f>
        <v>331956.689743425</v>
      </c>
      <c r="AI23" s="22" t="n">
        <f aca="false">($A23=Premissas!$C$16)*0.2*Premissas!$C$11+AND($A23&gt;Premissas!$C$16,$A23&lt;=EDATE(Premissas!$C$16,43))*0.8*Premissas!$C$11/43*(1+Premissas!$C$56)^$C23</f>
        <v>6220.26490955864</v>
      </c>
      <c r="AJ23" s="22" t="n">
        <f aca="false">L23-M23-N23-AI23</f>
        <v>-6220.26490955864</v>
      </c>
      <c r="AK23" s="22" t="n">
        <f aca="false">AK22+AJ23</f>
        <v>-169534.530342875</v>
      </c>
      <c r="AL23" s="22" t="str">
        <f aca="false">IF($A23&gt;=Premissas!$C$18,O23*(1-Premissas!$C$45)-Premissas!$C$46*MAX(0,O23*(1-Premissas!$C$45)-(SUM($AI$5:$AI$355)+Premissas!$C$26*Premissas!$C$60)),"")</f>
        <v/>
      </c>
      <c r="AM23" s="22" t="str">
        <f aca="false">IF($A23&gt;=Premissas!$C$18,AK23+AL23,"")</f>
        <v/>
      </c>
      <c r="AN23" s="22" t="n">
        <f aca="false">AN22*(1+$P23)-AJ23</f>
        <v>187093.752762649</v>
      </c>
      <c r="AO23" s="22" t="n">
        <f aca="false">V23+S23</f>
        <v>40316.1767712766</v>
      </c>
    </row>
    <row r="24" customFormat="false" ht="15" hidden="false" customHeight="false" outlineLevel="0" collapsed="false">
      <c r="A24" s="26" t="n">
        <f aca="false">DATE(YEAR(A23),MONTH(A23)+1,1)</f>
        <v>46874</v>
      </c>
      <c r="B24" s="22" t="str">
        <f aca="false">IF($A24&lt;Premissas!$C$18,"Obra",IF($A24&lt;Premissas!$C$20,"Entrega/mobília","Airbnb"))</f>
        <v>Obra</v>
      </c>
      <c r="C24" s="36" t="n">
        <f aca="false">(YEAR($A24)-YEAR(Premissas!$C$16))*12+MONTH($A24)-MONTH(Premissas!$C$16)</f>
        <v>19</v>
      </c>
      <c r="D24" s="33" t="n">
        <f aca="false">IF($A24&gt;=Premissas!$C$20,Premissas!$C$31*IF(((YEAR($A24)-YEAR(Premissas!$C$20))*12+MONTH($A24)-MONTH(Premissas!$C$20))&lt;Premissas!$C$33,Premissas!$C$34,1),0)</f>
        <v>0</v>
      </c>
      <c r="E24" s="22" t="n">
        <f aca="false">D24*Premissas!$C$30*Premissas!$C$32*(1+Premissas!$C$58)^$C24</f>
        <v>0</v>
      </c>
      <c r="F24" s="22" t="n">
        <f aca="false">E24*Premissas!$C$35</f>
        <v>0</v>
      </c>
      <c r="G24" s="22" t="n">
        <f aca="false">E24*Premissas!$C$36</f>
        <v>0</v>
      </c>
      <c r="H24" s="22" t="n">
        <f aca="false">IF($A24&gt;=Premissas!$C$18,Premissas!$C$37*(1+Premissas!$C$58)^$C24,0)</f>
        <v>0</v>
      </c>
      <c r="I24" s="22" t="n">
        <f aca="false">IF($A24&gt;=Premissas!$C$20,Premissas!$C$38*(1+Premissas!$C$58)^$C24,0)</f>
        <v>0</v>
      </c>
      <c r="J24" s="22" t="n">
        <f aca="false">IF($A24&gt;=Premissas!$C$20,Premissas!$C$39*(1+Premissas!$C$58)^$C24,0)</f>
        <v>0</v>
      </c>
      <c r="K24" s="22" t="n">
        <f aca="false">IF($A24&gt;=Premissas!$C$20,MAX(0,E24-F24-G24-H24)*Premissas!$C$41,0)</f>
        <v>0</v>
      </c>
      <c r="L24" s="22" t="n">
        <f aca="false">E24-F24-G24-H24-I24-J24-K24</f>
        <v>0</v>
      </c>
      <c r="M24" s="22" t="n">
        <f aca="false">($A24=Premissas!$C$18)*Premissas!$C$26*Premissas!$C$60</f>
        <v>0</v>
      </c>
      <c r="N24" s="22" t="n">
        <f aca="false">IF(AND($A24&gt;=Premissas!$C$18,$A24&lt;Premissas!$C$20),Premissas!$C$27/MAX(1,Premissas!$C$19),0)</f>
        <v>0</v>
      </c>
      <c r="O24" s="22" t="str">
        <f aca="false">IF($A24&gt;=Premissas!$C$18,Premissas!$C$60*(1+Premissas!$C$59)^((YEAR($A24)-YEAR(Premissas!$C$18))*12+MONTH($A24)-MONTH(Premissas!$C$18)),"")</f>
        <v/>
      </c>
      <c r="P24" s="31" t="n">
        <f aca="false">(1+IF(YEAR($A24)&lt;=2026,Premissas!$C$49,IF(YEAR($A24)=2027,Premissas!$C$50,IF(YEAR($A24)=2028,Premissas!$C$51,Premissas!$C$52)))*(1-Premissas!$C$53))^(1/12)-1</f>
        <v>0.00747644014574678</v>
      </c>
      <c r="Q24" s="22" t="n">
        <f aca="false">($A24=Premissas!$C$16)*Premissas!$C$13</f>
        <v>0</v>
      </c>
      <c r="R24" s="22" t="n">
        <f aca="false">L24-M24-N24-Q24</f>
        <v>0</v>
      </c>
      <c r="S24" s="22" t="n">
        <f aca="false">S23+R24</f>
        <v>-250000</v>
      </c>
      <c r="T24" s="22" t="str">
        <f aca="false">IF($A24&gt;=Premissas!$C$18,O24*(1-Premissas!$C$45)-Premissas!$C$46*MAX(0,O24*(1-Premissas!$C$45)-(SUM($Q$5:$Q$355)+Premissas!$C$26*Premissas!$C$60)),"")</f>
        <v/>
      </c>
      <c r="U24" s="22" t="str">
        <f aca="false">IF($A24&gt;=Premissas!$C$18,S24+T24,"")</f>
        <v/>
      </c>
      <c r="V24" s="22" t="n">
        <f aca="false">V23*(1+$P24)-R24</f>
        <v>292486.708290249</v>
      </c>
      <c r="W24" s="22" t="n">
        <f aca="false">($A24=Premissas!$C$16)*Premissas!$C$9</f>
        <v>0</v>
      </c>
      <c r="X24" s="22" t="n">
        <f aca="false">L24-M24-N24-W24</f>
        <v>0</v>
      </c>
      <c r="Y24" s="22" t="n">
        <f aca="false">Y23+X24</f>
        <v>-280928</v>
      </c>
      <c r="Z24" s="22" t="str">
        <f aca="false">IF($A24&gt;=Premissas!$C$18,O24*(1-Premissas!$C$45)-Premissas!$C$46*MAX(0,O24*(1-Premissas!$C$45)-(SUM($W$5:$W$355)+Premissas!$C$26*Premissas!$C$60)),"")</f>
        <v/>
      </c>
      <c r="AA24" s="22" t="str">
        <f aca="false">IF($A24&gt;=Premissas!$C$18,Y24+Z24,"")</f>
        <v/>
      </c>
      <c r="AB24" s="22" t="n">
        <f aca="false">AB23*(1+$P24)-X24</f>
        <v>328670.823946252</v>
      </c>
      <c r="AC24" s="22" t="n">
        <f aca="false">AND($A24&gt;=Premissas!$C$16,$A24&lt;EDATE(Premissas!$C$16,3))*Premissas!$C$10/3*(1+Premissas!$C$56)^$C24</f>
        <v>0</v>
      </c>
      <c r="AD24" s="22" t="n">
        <f aca="false">L24-M24-N24-AC24</f>
        <v>0</v>
      </c>
      <c r="AE24" s="22" t="n">
        <f aca="false">AE23+AD24</f>
        <v>-288548.463880025</v>
      </c>
      <c r="AF24" s="22" t="str">
        <f aca="false">IF($A24&gt;=Premissas!$C$18,O24*(1-Premissas!$C$45)-Premissas!$C$46*MAX(0,O24*(1-Premissas!$C$45)-(SUM($AC$5:$AC$355)+Premissas!$C$26*Premissas!$C$60)),"")</f>
        <v/>
      </c>
      <c r="AG24" s="22" t="str">
        <f aca="false">IF($A24&gt;=Premissas!$C$18,AE24+AF24,"")</f>
        <v/>
      </c>
      <c r="AH24" s="22" t="n">
        <f aca="false">AH23*(1+$P24)-AD24</f>
        <v>334438.544065272</v>
      </c>
      <c r="AI24" s="22" t="n">
        <f aca="false">($A24=Premissas!$C$16)*0.2*Premissas!$C$11+AND($A24&gt;Premissas!$C$16,$A24&lt;=EDATE(Premissas!$C$16,43))*0.8*Premissas!$C$11/43*(1+Premissas!$C$56)^$C24</f>
        <v>6248.08006141843</v>
      </c>
      <c r="AJ24" s="22" t="n">
        <f aca="false">L24-M24-N24-AI24</f>
        <v>-6248.08006141843</v>
      </c>
      <c r="AK24" s="22" t="n">
        <f aca="false">AK23+AJ24</f>
        <v>-175782.610404294</v>
      </c>
      <c r="AL24" s="22" t="str">
        <f aca="false">IF($A24&gt;=Premissas!$C$18,O24*(1-Premissas!$C$45)-Premissas!$C$46*MAX(0,O24*(1-Premissas!$C$45)-(SUM($AI$5:$AI$355)+Premissas!$C$26*Premissas!$C$60)),"")</f>
        <v/>
      </c>
      <c r="AM24" s="22" t="str">
        <f aca="false">IF($A24&gt;=Premissas!$C$18,AK24+AL24,"")</f>
        <v/>
      </c>
      <c r="AN24" s="22" t="n">
        <f aca="false">AN23*(1+$P24)-AJ24</f>
        <v>194740.628068241</v>
      </c>
      <c r="AO24" s="22" t="n">
        <f aca="false">V24+S24</f>
        <v>42486.7082902491</v>
      </c>
    </row>
    <row r="25" customFormat="false" ht="15" hidden="false" customHeight="false" outlineLevel="0" collapsed="false">
      <c r="A25" s="26" t="n">
        <f aca="false">DATE(YEAR(A24),MONTH(A24)+1,1)</f>
        <v>46905</v>
      </c>
      <c r="B25" s="22" t="str">
        <f aca="false">IF($A25&lt;Premissas!$C$18,"Obra",IF($A25&lt;Premissas!$C$20,"Entrega/mobília","Airbnb"))</f>
        <v>Obra</v>
      </c>
      <c r="C25" s="36" t="n">
        <f aca="false">(YEAR($A25)-YEAR(Premissas!$C$16))*12+MONTH($A25)-MONTH(Premissas!$C$16)</f>
        <v>20</v>
      </c>
      <c r="D25" s="33" t="n">
        <f aca="false">IF($A25&gt;=Premissas!$C$20,Premissas!$C$31*IF(((YEAR($A25)-YEAR(Premissas!$C$20))*12+MONTH($A25)-MONTH(Premissas!$C$20))&lt;Premissas!$C$33,Premissas!$C$34,1),0)</f>
        <v>0</v>
      </c>
      <c r="E25" s="22" t="n">
        <f aca="false">D25*Premissas!$C$30*Premissas!$C$32*(1+Premissas!$C$58)^$C25</f>
        <v>0</v>
      </c>
      <c r="F25" s="22" t="n">
        <f aca="false">E25*Premissas!$C$35</f>
        <v>0</v>
      </c>
      <c r="G25" s="22" t="n">
        <f aca="false">E25*Premissas!$C$36</f>
        <v>0</v>
      </c>
      <c r="H25" s="22" t="n">
        <f aca="false">IF($A25&gt;=Premissas!$C$18,Premissas!$C$37*(1+Premissas!$C$58)^$C25,0)</f>
        <v>0</v>
      </c>
      <c r="I25" s="22" t="n">
        <f aca="false">IF($A25&gt;=Premissas!$C$20,Premissas!$C$38*(1+Premissas!$C$58)^$C25,0)</f>
        <v>0</v>
      </c>
      <c r="J25" s="22" t="n">
        <f aca="false">IF($A25&gt;=Premissas!$C$20,Premissas!$C$39*(1+Premissas!$C$58)^$C25,0)</f>
        <v>0</v>
      </c>
      <c r="K25" s="22" t="n">
        <f aca="false">IF($A25&gt;=Premissas!$C$20,MAX(0,E25-F25-G25-H25)*Premissas!$C$41,0)</f>
        <v>0</v>
      </c>
      <c r="L25" s="22" t="n">
        <f aca="false">E25-F25-G25-H25-I25-J25-K25</f>
        <v>0</v>
      </c>
      <c r="M25" s="22" t="n">
        <f aca="false">($A25=Premissas!$C$18)*Premissas!$C$26*Premissas!$C$60</f>
        <v>0</v>
      </c>
      <c r="N25" s="22" t="n">
        <f aca="false">IF(AND($A25&gt;=Premissas!$C$18,$A25&lt;Premissas!$C$20),Premissas!$C$27/MAX(1,Premissas!$C$19),0)</f>
        <v>0</v>
      </c>
      <c r="O25" s="22" t="str">
        <f aca="false">IF($A25&gt;=Premissas!$C$18,Premissas!$C$60*(1+Premissas!$C$59)^((YEAR($A25)-YEAR(Premissas!$C$18))*12+MONTH($A25)-MONTH(Premissas!$C$18)),"")</f>
        <v/>
      </c>
      <c r="P25" s="31" t="n">
        <f aca="false">(1+IF(YEAR($A25)&lt;=2026,Premissas!$C$49,IF(YEAR($A25)=2027,Premissas!$C$50,IF(YEAR($A25)=2028,Premissas!$C$51,Premissas!$C$52)))*(1-Premissas!$C$53))^(1/12)-1</f>
        <v>0.00747644014574678</v>
      </c>
      <c r="Q25" s="22" t="n">
        <f aca="false">($A25=Premissas!$C$16)*Premissas!$C$13</f>
        <v>0</v>
      </c>
      <c r="R25" s="22" t="n">
        <f aca="false">L25-M25-N25-Q25</f>
        <v>0</v>
      </c>
      <c r="S25" s="22" t="n">
        <f aca="false">S24+R25</f>
        <v>-250000</v>
      </c>
      <c r="T25" s="22" t="str">
        <f aca="false">IF($A25&gt;=Premissas!$C$18,O25*(1-Premissas!$C$45)-Premissas!$C$46*MAX(0,O25*(1-Premissas!$C$45)-(SUM($Q$5:$Q$355)+Premissas!$C$26*Premissas!$C$60)),"")</f>
        <v/>
      </c>
      <c r="U25" s="22" t="str">
        <f aca="false">IF($A25&gt;=Premissas!$C$18,S25+T25,"")</f>
        <v/>
      </c>
      <c r="V25" s="22" t="n">
        <f aca="false">V24*(1+$P25)-R25</f>
        <v>294673.467658208</v>
      </c>
      <c r="W25" s="22" t="n">
        <f aca="false">($A25=Premissas!$C$16)*Premissas!$C$9</f>
        <v>0</v>
      </c>
      <c r="X25" s="22" t="n">
        <f aca="false">L25-M25-N25-W25</f>
        <v>0</v>
      </c>
      <c r="Y25" s="22" t="n">
        <f aca="false">Y24+X25</f>
        <v>-280928</v>
      </c>
      <c r="Z25" s="22" t="str">
        <f aca="false">IF($A25&gt;=Premissas!$C$18,O25*(1-Premissas!$C$45)-Premissas!$C$46*MAX(0,O25*(1-Premissas!$C$45)-(SUM($W$5:$W$355)+Premissas!$C$26*Premissas!$C$60)),"")</f>
        <v/>
      </c>
      <c r="AA25" s="22" t="str">
        <f aca="false">IF($A25&gt;=Premissas!$C$18,Y25+Z25,"")</f>
        <v/>
      </c>
      <c r="AB25" s="22" t="n">
        <f aca="false">AB24*(1+$P25)-X25</f>
        <v>331128.11168914</v>
      </c>
      <c r="AC25" s="22" t="n">
        <f aca="false">AND($A25&gt;=Premissas!$C$16,$A25&lt;EDATE(Premissas!$C$16,3))*Premissas!$C$10/3*(1+Premissas!$C$56)^$C25</f>
        <v>0</v>
      </c>
      <c r="AD25" s="22" t="n">
        <f aca="false">L25-M25-N25-AC25</f>
        <v>0</v>
      </c>
      <c r="AE25" s="22" t="n">
        <f aca="false">AE24+AD25</f>
        <v>-288548.463880025</v>
      </c>
      <c r="AF25" s="22" t="str">
        <f aca="false">IF($A25&gt;=Premissas!$C$18,O25*(1-Premissas!$C$45)-Premissas!$C$46*MAX(0,O25*(1-Premissas!$C$45)-(SUM($AC$5:$AC$355)+Premissas!$C$26*Premissas!$C$60)),"")</f>
        <v/>
      </c>
      <c r="AG25" s="22" t="str">
        <f aca="false">IF($A25&gt;=Premissas!$C$18,AE25+AF25,"")</f>
        <v/>
      </c>
      <c r="AH25" s="22" t="n">
        <f aca="false">AH24*(1+$P25)-AD25</f>
        <v>336938.953822407</v>
      </c>
      <c r="AI25" s="22" t="n">
        <f aca="false">($A25=Premissas!$C$16)*0.2*Premissas!$C$11+AND($A25&gt;Premissas!$C$16,$A25&lt;=EDATE(Premissas!$C$16,43))*0.8*Premissas!$C$11/43*(1+Premissas!$C$56)^$C25</f>
        <v>6276.01959426268</v>
      </c>
      <c r="AJ25" s="22" t="n">
        <f aca="false">L25-M25-N25-AI25</f>
        <v>-6276.01959426268</v>
      </c>
      <c r="AK25" s="22" t="n">
        <f aca="false">AK24+AJ25</f>
        <v>-182058.629998557</v>
      </c>
      <c r="AL25" s="22" t="str">
        <f aca="false">IF($A25&gt;=Premissas!$C$18,O25*(1-Premissas!$C$45)-Premissas!$C$46*MAX(0,O25*(1-Premissas!$C$45)-(SUM($AI$5:$AI$355)+Premissas!$C$26*Premissas!$C$60)),"")</f>
        <v/>
      </c>
      <c r="AM25" s="22" t="str">
        <f aca="false">IF($A25&gt;=Premissas!$C$18,AK25+AL25,"")</f>
        <v/>
      </c>
      <c r="AN25" s="22" t="n">
        <f aca="false">AN24*(1+$P25)-AJ25</f>
        <v>202472.614312201</v>
      </c>
      <c r="AO25" s="22" t="n">
        <f aca="false">V25+S25</f>
        <v>44673.4676582076</v>
      </c>
    </row>
    <row r="26" customFormat="false" ht="15" hidden="false" customHeight="false" outlineLevel="0" collapsed="false">
      <c r="A26" s="26" t="n">
        <f aca="false">DATE(YEAR(A25),MONTH(A25)+1,1)</f>
        <v>46935</v>
      </c>
      <c r="B26" s="22" t="str">
        <f aca="false">IF($A26&lt;Premissas!$C$18,"Obra",IF($A26&lt;Premissas!$C$20,"Entrega/mobília","Airbnb"))</f>
        <v>Obra</v>
      </c>
      <c r="C26" s="36" t="n">
        <f aca="false">(YEAR($A26)-YEAR(Premissas!$C$16))*12+MONTH($A26)-MONTH(Premissas!$C$16)</f>
        <v>21</v>
      </c>
      <c r="D26" s="33" t="n">
        <f aca="false">IF($A26&gt;=Premissas!$C$20,Premissas!$C$31*IF(((YEAR($A26)-YEAR(Premissas!$C$20))*12+MONTH($A26)-MONTH(Premissas!$C$20))&lt;Premissas!$C$33,Premissas!$C$34,1),0)</f>
        <v>0</v>
      </c>
      <c r="E26" s="22" t="n">
        <f aca="false">D26*Premissas!$C$30*Premissas!$C$32*(1+Premissas!$C$58)^$C26</f>
        <v>0</v>
      </c>
      <c r="F26" s="22" t="n">
        <f aca="false">E26*Premissas!$C$35</f>
        <v>0</v>
      </c>
      <c r="G26" s="22" t="n">
        <f aca="false">E26*Premissas!$C$36</f>
        <v>0</v>
      </c>
      <c r="H26" s="22" t="n">
        <f aca="false">IF($A26&gt;=Premissas!$C$18,Premissas!$C$37*(1+Premissas!$C$58)^$C26,0)</f>
        <v>0</v>
      </c>
      <c r="I26" s="22" t="n">
        <f aca="false">IF($A26&gt;=Premissas!$C$20,Premissas!$C$38*(1+Premissas!$C$58)^$C26,0)</f>
        <v>0</v>
      </c>
      <c r="J26" s="22" t="n">
        <f aca="false">IF($A26&gt;=Premissas!$C$20,Premissas!$C$39*(1+Premissas!$C$58)^$C26,0)</f>
        <v>0</v>
      </c>
      <c r="K26" s="22" t="n">
        <f aca="false">IF($A26&gt;=Premissas!$C$20,MAX(0,E26-F26-G26-H26)*Premissas!$C$41,0)</f>
        <v>0</v>
      </c>
      <c r="L26" s="22" t="n">
        <f aca="false">E26-F26-G26-H26-I26-J26-K26</f>
        <v>0</v>
      </c>
      <c r="M26" s="22" t="n">
        <f aca="false">($A26=Premissas!$C$18)*Premissas!$C$26*Premissas!$C$60</f>
        <v>0</v>
      </c>
      <c r="N26" s="22" t="n">
        <f aca="false">IF(AND($A26&gt;=Premissas!$C$18,$A26&lt;Premissas!$C$20),Premissas!$C$27/MAX(1,Premissas!$C$19),0)</f>
        <v>0</v>
      </c>
      <c r="O26" s="22" t="str">
        <f aca="false">IF($A26&gt;=Premissas!$C$18,Premissas!$C$60*(1+Premissas!$C$59)^((YEAR($A26)-YEAR(Premissas!$C$18))*12+MONTH($A26)-MONTH(Premissas!$C$18)),"")</f>
        <v/>
      </c>
      <c r="P26" s="31" t="n">
        <f aca="false">(1+IF(YEAR($A26)&lt;=2026,Premissas!$C$49,IF(YEAR($A26)=2027,Premissas!$C$50,IF(YEAR($A26)=2028,Premissas!$C$51,Premissas!$C$52)))*(1-Premissas!$C$53))^(1/12)-1</f>
        <v>0.00747644014574678</v>
      </c>
      <c r="Q26" s="22" t="n">
        <f aca="false">($A26=Premissas!$C$16)*Premissas!$C$13</f>
        <v>0</v>
      </c>
      <c r="R26" s="22" t="n">
        <f aca="false">L26-M26-N26-Q26</f>
        <v>0</v>
      </c>
      <c r="S26" s="22" t="n">
        <f aca="false">S25+R26</f>
        <v>-250000</v>
      </c>
      <c r="T26" s="22" t="str">
        <f aca="false">IF($A26&gt;=Premissas!$C$18,O26*(1-Premissas!$C$45)-Premissas!$C$46*MAX(0,O26*(1-Premissas!$C$45)-(SUM($Q$5:$Q$355)+Premissas!$C$26*Premissas!$C$60)),"")</f>
        <v/>
      </c>
      <c r="U26" s="22" t="str">
        <f aca="false">IF($A26&gt;=Premissas!$C$18,S26+T26,"")</f>
        <v/>
      </c>
      <c r="V26" s="22" t="n">
        <f aca="false">V25*(1+$P26)-R26</f>
        <v>296876.576201694</v>
      </c>
      <c r="W26" s="22" t="n">
        <f aca="false">($A26=Premissas!$C$16)*Premissas!$C$9</f>
        <v>0</v>
      </c>
      <c r="X26" s="22" t="n">
        <f aca="false">L26-M26-N26-W26</f>
        <v>0</v>
      </c>
      <c r="Y26" s="22" t="n">
        <f aca="false">Y25+X26</f>
        <v>-280928</v>
      </c>
      <c r="Z26" s="22" t="str">
        <f aca="false">IF($A26&gt;=Premissas!$C$18,O26*(1-Premissas!$C$45)-Premissas!$C$46*MAX(0,O26*(1-Premissas!$C$45)-(SUM($W$5:$W$355)+Premissas!$C$26*Premissas!$C$60)),"")</f>
        <v/>
      </c>
      <c r="AA26" s="22" t="str">
        <f aca="false">IF($A26&gt;=Premissas!$C$18,Y26+Z26,"")</f>
        <v/>
      </c>
      <c r="AB26" s="22" t="n">
        <f aca="false">AB25*(1+$P26)-X26</f>
        <v>333603.771196758</v>
      </c>
      <c r="AC26" s="22" t="n">
        <f aca="false">AND($A26&gt;=Premissas!$C$16,$A26&lt;EDATE(Premissas!$C$16,3))*Premissas!$C$10/3*(1+Premissas!$C$56)^$C26</f>
        <v>0</v>
      </c>
      <c r="AD26" s="22" t="n">
        <f aca="false">L26-M26-N26-AC26</f>
        <v>0</v>
      </c>
      <c r="AE26" s="22" t="n">
        <f aca="false">AE25+AD26</f>
        <v>-288548.463880025</v>
      </c>
      <c r="AF26" s="22" t="str">
        <f aca="false">IF($A26&gt;=Premissas!$C$18,O26*(1-Premissas!$C$45)-Premissas!$C$46*MAX(0,O26*(1-Premissas!$C$45)-(SUM($AC$5:$AC$355)+Premissas!$C$26*Premissas!$C$60)),"")</f>
        <v/>
      </c>
      <c r="AG26" s="22" t="str">
        <f aca="false">IF($A26&gt;=Premissas!$C$18,AE26+AF26,"")</f>
        <v/>
      </c>
      <c r="AH26" s="22" t="n">
        <f aca="false">AH25*(1+$P26)-AD26</f>
        <v>339458.05774343</v>
      </c>
      <c r="AI26" s="22" t="n">
        <f aca="false">($A26=Premissas!$C$16)*0.2*Premissas!$C$11+AND($A26&gt;Premissas!$C$16,$A26&lt;=EDATE(Premissas!$C$16,43))*0.8*Premissas!$C$11/43*(1+Premissas!$C$56)^$C26</f>
        <v>6304.08406428568</v>
      </c>
      <c r="AJ26" s="22" t="n">
        <f aca="false">L26-M26-N26-AI26</f>
        <v>-6304.08406428568</v>
      </c>
      <c r="AK26" s="22" t="n">
        <f aca="false">AK25+AJ26</f>
        <v>-188362.714062842</v>
      </c>
      <c r="AL26" s="22" t="str">
        <f aca="false">IF($A26&gt;=Premissas!$C$18,O26*(1-Premissas!$C$45)-Premissas!$C$46*MAX(0,O26*(1-Premissas!$C$45)-(SUM($AI$5:$AI$355)+Premissas!$C$26*Premissas!$C$60)),"")</f>
        <v/>
      </c>
      <c r="AM26" s="22" t="str">
        <f aca="false">IF($A26&gt;=Premissas!$C$18,AK26+AL26,"")</f>
        <v/>
      </c>
      <c r="AN26" s="22" t="n">
        <f aca="false">AN25*(1+$P26)-AJ26</f>
        <v>210290.472758545</v>
      </c>
      <c r="AO26" s="22" t="n">
        <f aca="false">V26+S26</f>
        <v>46876.5762016938</v>
      </c>
    </row>
    <row r="27" customFormat="false" ht="15" hidden="false" customHeight="false" outlineLevel="0" collapsed="false">
      <c r="A27" s="26" t="n">
        <f aca="false">DATE(YEAR(A26),MONTH(A26)+1,1)</f>
        <v>46966</v>
      </c>
      <c r="B27" s="22" t="str">
        <f aca="false">IF($A27&lt;Premissas!$C$18,"Obra",IF($A27&lt;Premissas!$C$20,"Entrega/mobília","Airbnb"))</f>
        <v>Obra</v>
      </c>
      <c r="C27" s="36" t="n">
        <f aca="false">(YEAR($A27)-YEAR(Premissas!$C$16))*12+MONTH($A27)-MONTH(Premissas!$C$16)</f>
        <v>22</v>
      </c>
      <c r="D27" s="33" t="n">
        <f aca="false">IF($A27&gt;=Premissas!$C$20,Premissas!$C$31*IF(((YEAR($A27)-YEAR(Premissas!$C$20))*12+MONTH($A27)-MONTH(Premissas!$C$20))&lt;Premissas!$C$33,Premissas!$C$34,1),0)</f>
        <v>0</v>
      </c>
      <c r="E27" s="22" t="n">
        <f aca="false">D27*Premissas!$C$30*Premissas!$C$32*(1+Premissas!$C$58)^$C27</f>
        <v>0</v>
      </c>
      <c r="F27" s="22" t="n">
        <f aca="false">E27*Premissas!$C$35</f>
        <v>0</v>
      </c>
      <c r="G27" s="22" t="n">
        <f aca="false">E27*Premissas!$C$36</f>
        <v>0</v>
      </c>
      <c r="H27" s="22" t="n">
        <f aca="false">IF($A27&gt;=Premissas!$C$18,Premissas!$C$37*(1+Premissas!$C$58)^$C27,0)</f>
        <v>0</v>
      </c>
      <c r="I27" s="22" t="n">
        <f aca="false">IF($A27&gt;=Premissas!$C$20,Premissas!$C$38*(1+Premissas!$C$58)^$C27,0)</f>
        <v>0</v>
      </c>
      <c r="J27" s="22" t="n">
        <f aca="false">IF($A27&gt;=Premissas!$C$20,Premissas!$C$39*(1+Premissas!$C$58)^$C27,0)</f>
        <v>0</v>
      </c>
      <c r="K27" s="22" t="n">
        <f aca="false">IF($A27&gt;=Premissas!$C$20,MAX(0,E27-F27-G27-H27)*Premissas!$C$41,0)</f>
        <v>0</v>
      </c>
      <c r="L27" s="22" t="n">
        <f aca="false">E27-F27-G27-H27-I27-J27-K27</f>
        <v>0</v>
      </c>
      <c r="M27" s="22" t="n">
        <f aca="false">($A27=Premissas!$C$18)*Premissas!$C$26*Premissas!$C$60</f>
        <v>0</v>
      </c>
      <c r="N27" s="22" t="n">
        <f aca="false">IF(AND($A27&gt;=Premissas!$C$18,$A27&lt;Premissas!$C$20),Premissas!$C$27/MAX(1,Premissas!$C$19),0)</f>
        <v>0</v>
      </c>
      <c r="O27" s="22" t="str">
        <f aca="false">IF($A27&gt;=Premissas!$C$18,Premissas!$C$60*(1+Premissas!$C$59)^((YEAR($A27)-YEAR(Premissas!$C$18))*12+MONTH($A27)-MONTH(Premissas!$C$18)),"")</f>
        <v/>
      </c>
      <c r="P27" s="31" t="n">
        <f aca="false">(1+IF(YEAR($A27)&lt;=2026,Premissas!$C$49,IF(YEAR($A27)=2027,Premissas!$C$50,IF(YEAR($A27)=2028,Premissas!$C$51,Premissas!$C$52)))*(1-Premissas!$C$53))^(1/12)-1</f>
        <v>0.00747644014574678</v>
      </c>
      <c r="Q27" s="22" t="n">
        <f aca="false">($A27=Premissas!$C$16)*Premissas!$C$13</f>
        <v>0</v>
      </c>
      <c r="R27" s="22" t="n">
        <f aca="false">L27-M27-N27-Q27</f>
        <v>0</v>
      </c>
      <c r="S27" s="22" t="n">
        <f aca="false">S26+R27</f>
        <v>-250000</v>
      </c>
      <c r="T27" s="22" t="str">
        <f aca="false">IF($A27&gt;=Premissas!$C$18,O27*(1-Premissas!$C$45)-Premissas!$C$46*MAX(0,O27*(1-Premissas!$C$45)-(SUM($Q$5:$Q$355)+Premissas!$C$26*Premissas!$C$60)),"")</f>
        <v/>
      </c>
      <c r="U27" s="22" t="str">
        <f aca="false">IF($A27&gt;=Premissas!$C$18,S27+T27,"")</f>
        <v/>
      </c>
      <c r="V27" s="22" t="n">
        <f aca="false">V26*(1+$P27)-R27</f>
        <v>299096.15615434</v>
      </c>
      <c r="W27" s="22" t="n">
        <f aca="false">($A27=Premissas!$C$16)*Premissas!$C$9</f>
        <v>0</v>
      </c>
      <c r="X27" s="22" t="n">
        <f aca="false">L27-M27-N27-W27</f>
        <v>0</v>
      </c>
      <c r="Y27" s="22" t="n">
        <f aca="false">Y26+X27</f>
        <v>-280928</v>
      </c>
      <c r="Z27" s="22" t="str">
        <f aca="false">IF($A27&gt;=Premissas!$C$18,O27*(1-Premissas!$C$45)-Premissas!$C$46*MAX(0,O27*(1-Premissas!$C$45)-(SUM($W$5:$W$355)+Premissas!$C$26*Premissas!$C$60)),"")</f>
        <v/>
      </c>
      <c r="AA27" s="22" t="str">
        <f aca="false">IF($A27&gt;=Premissas!$C$18,Y27+Z27,"")</f>
        <v/>
      </c>
      <c r="AB27" s="22" t="n">
        <f aca="false">AB26*(1+$P27)-X27</f>
        <v>336097.939824506</v>
      </c>
      <c r="AC27" s="22" t="n">
        <f aca="false">AND($A27&gt;=Premissas!$C$16,$A27&lt;EDATE(Premissas!$C$16,3))*Premissas!$C$10/3*(1+Premissas!$C$56)^$C27</f>
        <v>0</v>
      </c>
      <c r="AD27" s="22" t="n">
        <f aca="false">L27-M27-N27-AC27</f>
        <v>0</v>
      </c>
      <c r="AE27" s="22" t="n">
        <f aca="false">AE26+AD27</f>
        <v>-288548.463880025</v>
      </c>
      <c r="AF27" s="22" t="str">
        <f aca="false">IF($A27&gt;=Premissas!$C$18,O27*(1-Premissas!$C$45)-Premissas!$C$46*MAX(0,O27*(1-Premissas!$C$45)-(SUM($AC$5:$AC$355)+Premissas!$C$26*Premissas!$C$60)),"")</f>
        <v/>
      </c>
      <c r="AG27" s="22" t="str">
        <f aca="false">IF($A27&gt;=Premissas!$C$18,AE27+AF27,"")</f>
        <v/>
      </c>
      <c r="AH27" s="22" t="n">
        <f aca="false">AH26*(1+$P27)-AD27</f>
        <v>341995.995594141</v>
      </c>
      <c r="AI27" s="22" t="n">
        <f aca="false">($A27=Premissas!$C$16)*0.2*Premissas!$C$11+AND($A27&gt;Premissas!$C$16,$A27&lt;=EDATE(Premissas!$C$16,43))*0.8*Premissas!$C$11/43*(1+Premissas!$C$56)^$C27</f>
        <v>6332.2740301689</v>
      </c>
      <c r="AJ27" s="22" t="n">
        <f aca="false">L27-M27-N27-AI27</f>
        <v>-6332.2740301689</v>
      </c>
      <c r="AK27" s="22" t="n">
        <f aca="false">AK26+AJ27</f>
        <v>-194694.988093011</v>
      </c>
      <c r="AL27" s="22" t="str">
        <f aca="false">IF($A27&gt;=Premissas!$C$18,O27*(1-Premissas!$C$45)-Premissas!$C$46*MAX(0,O27*(1-Premissas!$C$45)-(SUM($AI$5:$AI$355)+Premissas!$C$26*Premissas!$C$60)),"")</f>
        <v/>
      </c>
      <c r="AM27" s="22" t="str">
        <f aca="false">IF($A27&gt;=Premissas!$C$18,AK27+AL27,"")</f>
        <v/>
      </c>
      <c r="AN27" s="22" t="n">
        <f aca="false">AN26*(1+$P27)-AJ27</f>
        <v>218194.970921514</v>
      </c>
      <c r="AO27" s="22" t="n">
        <f aca="false">V27+S27</f>
        <v>49096.15615434</v>
      </c>
    </row>
    <row r="28" customFormat="false" ht="15" hidden="false" customHeight="false" outlineLevel="0" collapsed="false">
      <c r="A28" s="26" t="n">
        <f aca="false">DATE(YEAR(A27),MONTH(A27)+1,1)</f>
        <v>46997</v>
      </c>
      <c r="B28" s="22" t="str">
        <f aca="false">IF($A28&lt;Premissas!$C$18,"Obra",IF($A28&lt;Premissas!$C$20,"Entrega/mobília","Airbnb"))</f>
        <v>Obra</v>
      </c>
      <c r="C28" s="36" t="n">
        <f aca="false">(YEAR($A28)-YEAR(Premissas!$C$16))*12+MONTH($A28)-MONTH(Premissas!$C$16)</f>
        <v>23</v>
      </c>
      <c r="D28" s="33" t="n">
        <f aca="false">IF($A28&gt;=Premissas!$C$20,Premissas!$C$31*IF(((YEAR($A28)-YEAR(Premissas!$C$20))*12+MONTH($A28)-MONTH(Premissas!$C$20))&lt;Premissas!$C$33,Premissas!$C$34,1),0)</f>
        <v>0</v>
      </c>
      <c r="E28" s="22" t="n">
        <f aca="false">D28*Premissas!$C$30*Premissas!$C$32*(1+Premissas!$C$58)^$C28</f>
        <v>0</v>
      </c>
      <c r="F28" s="22" t="n">
        <f aca="false">E28*Premissas!$C$35</f>
        <v>0</v>
      </c>
      <c r="G28" s="22" t="n">
        <f aca="false">E28*Premissas!$C$36</f>
        <v>0</v>
      </c>
      <c r="H28" s="22" t="n">
        <f aca="false">IF($A28&gt;=Premissas!$C$18,Premissas!$C$37*(1+Premissas!$C$58)^$C28,0)</f>
        <v>0</v>
      </c>
      <c r="I28" s="22" t="n">
        <f aca="false">IF($A28&gt;=Premissas!$C$20,Premissas!$C$38*(1+Premissas!$C$58)^$C28,0)</f>
        <v>0</v>
      </c>
      <c r="J28" s="22" t="n">
        <f aca="false">IF($A28&gt;=Premissas!$C$20,Premissas!$C$39*(1+Premissas!$C$58)^$C28,0)</f>
        <v>0</v>
      </c>
      <c r="K28" s="22" t="n">
        <f aca="false">IF($A28&gt;=Premissas!$C$20,MAX(0,E28-F28-G28-H28)*Premissas!$C$41,0)</f>
        <v>0</v>
      </c>
      <c r="L28" s="22" t="n">
        <f aca="false">E28-F28-G28-H28-I28-J28-K28</f>
        <v>0</v>
      </c>
      <c r="M28" s="22" t="n">
        <f aca="false">($A28=Premissas!$C$18)*Premissas!$C$26*Premissas!$C$60</f>
        <v>0</v>
      </c>
      <c r="N28" s="22" t="n">
        <f aca="false">IF(AND($A28&gt;=Premissas!$C$18,$A28&lt;Premissas!$C$20),Premissas!$C$27/MAX(1,Premissas!$C$19),0)</f>
        <v>0</v>
      </c>
      <c r="O28" s="22" t="str">
        <f aca="false">IF($A28&gt;=Premissas!$C$18,Premissas!$C$60*(1+Premissas!$C$59)^((YEAR($A28)-YEAR(Premissas!$C$18))*12+MONTH($A28)-MONTH(Premissas!$C$18)),"")</f>
        <v/>
      </c>
      <c r="P28" s="31" t="n">
        <f aca="false">(1+IF(YEAR($A28)&lt;=2026,Premissas!$C$49,IF(YEAR($A28)=2027,Premissas!$C$50,IF(YEAR($A28)=2028,Premissas!$C$51,Premissas!$C$52)))*(1-Premissas!$C$53))^(1/12)-1</f>
        <v>0.00747644014574678</v>
      </c>
      <c r="Q28" s="22" t="n">
        <f aca="false">($A28=Premissas!$C$16)*Premissas!$C$13</f>
        <v>0</v>
      </c>
      <c r="R28" s="22" t="n">
        <f aca="false">L28-M28-N28-Q28</f>
        <v>0</v>
      </c>
      <c r="S28" s="22" t="n">
        <f aca="false">S27+R28</f>
        <v>-250000</v>
      </c>
      <c r="T28" s="22" t="str">
        <f aca="false">IF($A28&gt;=Premissas!$C$18,O28*(1-Premissas!$C$45)-Premissas!$C$46*MAX(0,O28*(1-Premissas!$C$45)-(SUM($Q$5:$Q$355)+Premissas!$C$26*Premissas!$C$60)),"")</f>
        <v/>
      </c>
      <c r="U28" s="22" t="str">
        <f aca="false">IF($A28&gt;=Premissas!$C$18,S28+T28,"")</f>
        <v/>
      </c>
      <c r="V28" s="22" t="n">
        <f aca="false">V27*(1+$P28)-R28</f>
        <v>301332.330663651</v>
      </c>
      <c r="W28" s="22" t="n">
        <f aca="false">($A28=Premissas!$C$16)*Premissas!$C$9</f>
        <v>0</v>
      </c>
      <c r="X28" s="22" t="n">
        <f aca="false">L28-M28-N28-W28</f>
        <v>0</v>
      </c>
      <c r="Y28" s="22" t="n">
        <f aca="false">Y27+X28</f>
        <v>-280928</v>
      </c>
      <c r="Z28" s="22" t="str">
        <f aca="false">IF($A28&gt;=Premissas!$C$18,O28*(1-Premissas!$C$45)-Premissas!$C$46*MAX(0,O28*(1-Premissas!$C$45)-(SUM($W$5:$W$355)+Premissas!$C$26*Premissas!$C$60)),"")</f>
        <v/>
      </c>
      <c r="AA28" s="22" t="str">
        <f aca="false">IF($A28&gt;=Premissas!$C$18,Y28+Z28,"")</f>
        <v/>
      </c>
      <c r="AB28" s="22" t="n">
        <f aca="false">AB27*(1+$P28)-X28</f>
        <v>338610.755954712</v>
      </c>
      <c r="AC28" s="22" t="n">
        <f aca="false">AND($A28&gt;=Premissas!$C$16,$A28&lt;EDATE(Premissas!$C$16,3))*Premissas!$C$10/3*(1+Premissas!$C$56)^$C28</f>
        <v>0</v>
      </c>
      <c r="AD28" s="22" t="n">
        <f aca="false">L28-M28-N28-AC28</f>
        <v>0</v>
      </c>
      <c r="AE28" s="22" t="n">
        <f aca="false">AE27+AD28</f>
        <v>-288548.463880025</v>
      </c>
      <c r="AF28" s="22" t="str">
        <f aca="false">IF($A28&gt;=Premissas!$C$18,O28*(1-Premissas!$C$45)-Premissas!$C$46*MAX(0,O28*(1-Premissas!$C$45)-(SUM($AC$5:$AC$355)+Premissas!$C$26*Premissas!$C$60)),"")</f>
        <v/>
      </c>
      <c r="AG28" s="22" t="str">
        <f aca="false">IF($A28&gt;=Premissas!$C$18,AE28+AF28,"")</f>
        <v/>
      </c>
      <c r="AH28" s="22" t="n">
        <f aca="false">AH27*(1+$P28)-AD28</f>
        <v>344552.908185285</v>
      </c>
      <c r="AI28" s="22" t="n">
        <f aca="false">($A28=Premissas!$C$16)*0.2*Premissas!$C$11+AND($A28&gt;Premissas!$C$16,$A28&lt;=EDATE(Premissas!$C$16,43))*0.8*Premissas!$C$11/43*(1+Premissas!$C$56)^$C28</f>
        <v>6360.59005309202</v>
      </c>
      <c r="AJ28" s="22" t="n">
        <f aca="false">L28-M28-N28-AI28</f>
        <v>-6360.59005309202</v>
      </c>
      <c r="AK28" s="22" t="n">
        <f aca="false">AK27+AJ28</f>
        <v>-201055.578146103</v>
      </c>
      <c r="AL28" s="22" t="str">
        <f aca="false">IF($A28&gt;=Premissas!$C$18,O28*(1-Premissas!$C$45)-Premissas!$C$46*MAX(0,O28*(1-Premissas!$C$45)-(SUM($AI$5:$AI$355)+Premissas!$C$26*Premissas!$C$60)),"")</f>
        <v/>
      </c>
      <c r="AM28" s="22" t="str">
        <f aca="false">IF($A28&gt;=Premissas!$C$18,AK28+AL28,"")</f>
        <v/>
      </c>
      <c r="AN28" s="22" t="n">
        <f aca="false">AN27*(1+$P28)-AJ28</f>
        <v>226186.882614803</v>
      </c>
      <c r="AO28" s="22" t="n">
        <f aca="false">V28+S28</f>
        <v>51332.3306636509</v>
      </c>
    </row>
    <row r="29" customFormat="false" ht="15" hidden="false" customHeight="false" outlineLevel="0" collapsed="false">
      <c r="A29" s="26" t="n">
        <f aca="false">DATE(YEAR(A28),MONTH(A28)+1,1)</f>
        <v>47027</v>
      </c>
      <c r="B29" s="22" t="str">
        <f aca="false">IF($A29&lt;Premissas!$C$18,"Obra",IF($A29&lt;Premissas!$C$20,"Entrega/mobília","Airbnb"))</f>
        <v>Obra</v>
      </c>
      <c r="C29" s="36" t="n">
        <f aca="false">(YEAR($A29)-YEAR(Premissas!$C$16))*12+MONTH($A29)-MONTH(Premissas!$C$16)</f>
        <v>24</v>
      </c>
      <c r="D29" s="33" t="n">
        <f aca="false">IF($A29&gt;=Premissas!$C$20,Premissas!$C$31*IF(((YEAR($A29)-YEAR(Premissas!$C$20))*12+MONTH($A29)-MONTH(Premissas!$C$20))&lt;Premissas!$C$33,Premissas!$C$34,1),0)</f>
        <v>0</v>
      </c>
      <c r="E29" s="22" t="n">
        <f aca="false">D29*Premissas!$C$30*Premissas!$C$32*(1+Premissas!$C$58)^$C29</f>
        <v>0</v>
      </c>
      <c r="F29" s="22" t="n">
        <f aca="false">E29*Premissas!$C$35</f>
        <v>0</v>
      </c>
      <c r="G29" s="22" t="n">
        <f aca="false">E29*Premissas!$C$36</f>
        <v>0</v>
      </c>
      <c r="H29" s="22" t="n">
        <f aca="false">IF($A29&gt;=Premissas!$C$18,Premissas!$C$37*(1+Premissas!$C$58)^$C29,0)</f>
        <v>0</v>
      </c>
      <c r="I29" s="22" t="n">
        <f aca="false">IF($A29&gt;=Premissas!$C$20,Premissas!$C$38*(1+Premissas!$C$58)^$C29,0)</f>
        <v>0</v>
      </c>
      <c r="J29" s="22" t="n">
        <f aca="false">IF($A29&gt;=Premissas!$C$20,Premissas!$C$39*(1+Premissas!$C$58)^$C29,0)</f>
        <v>0</v>
      </c>
      <c r="K29" s="22" t="n">
        <f aca="false">IF($A29&gt;=Premissas!$C$20,MAX(0,E29-F29-G29-H29)*Premissas!$C$41,0)</f>
        <v>0</v>
      </c>
      <c r="L29" s="22" t="n">
        <f aca="false">E29-F29-G29-H29-I29-J29-K29</f>
        <v>0</v>
      </c>
      <c r="M29" s="22" t="n">
        <f aca="false">($A29=Premissas!$C$18)*Premissas!$C$26*Premissas!$C$60</f>
        <v>0</v>
      </c>
      <c r="N29" s="22" t="n">
        <f aca="false">IF(AND($A29&gt;=Premissas!$C$18,$A29&lt;Premissas!$C$20),Premissas!$C$27/MAX(1,Premissas!$C$19),0)</f>
        <v>0</v>
      </c>
      <c r="O29" s="22" t="str">
        <f aca="false">IF($A29&gt;=Premissas!$C$18,Premissas!$C$60*(1+Premissas!$C$59)^((YEAR($A29)-YEAR(Premissas!$C$18))*12+MONTH($A29)-MONTH(Premissas!$C$18)),"")</f>
        <v/>
      </c>
      <c r="P29" s="31" t="n">
        <f aca="false">(1+IF(YEAR($A29)&lt;=2026,Premissas!$C$49,IF(YEAR($A29)=2027,Premissas!$C$50,IF(YEAR($A29)=2028,Premissas!$C$51,Premissas!$C$52)))*(1-Premissas!$C$53))^(1/12)-1</f>
        <v>0.00747644014574678</v>
      </c>
      <c r="Q29" s="22" t="n">
        <f aca="false">($A29=Premissas!$C$16)*Premissas!$C$13</f>
        <v>0</v>
      </c>
      <c r="R29" s="22" t="n">
        <f aca="false">L29-M29-N29-Q29</f>
        <v>0</v>
      </c>
      <c r="S29" s="22" t="n">
        <f aca="false">S28+R29</f>
        <v>-250000</v>
      </c>
      <c r="T29" s="22" t="str">
        <f aca="false">IF($A29&gt;=Premissas!$C$18,O29*(1-Premissas!$C$45)-Premissas!$C$46*MAX(0,O29*(1-Premissas!$C$45)-(SUM($Q$5:$Q$355)+Premissas!$C$26*Premissas!$C$60)),"")</f>
        <v/>
      </c>
      <c r="U29" s="22" t="str">
        <f aca="false">IF($A29&gt;=Premissas!$C$18,S29+T29,"")</f>
        <v/>
      </c>
      <c r="V29" s="22" t="n">
        <f aca="false">V28*(1+$P29)-R29</f>
        <v>303585.223797836</v>
      </c>
      <c r="W29" s="22" t="n">
        <f aca="false">($A29=Premissas!$C$16)*Premissas!$C$9</f>
        <v>0</v>
      </c>
      <c r="X29" s="22" t="n">
        <f aca="false">L29-M29-N29-W29</f>
        <v>0</v>
      </c>
      <c r="Y29" s="22" t="n">
        <f aca="false">Y28+X29</f>
        <v>-280928</v>
      </c>
      <c r="Z29" s="22" t="str">
        <f aca="false">IF($A29&gt;=Premissas!$C$18,O29*(1-Premissas!$C$45)-Premissas!$C$46*MAX(0,O29*(1-Premissas!$C$45)-(SUM($W$5:$W$355)+Premissas!$C$26*Premissas!$C$60)),"")</f>
        <v/>
      </c>
      <c r="AA29" s="22" t="str">
        <f aca="false">IF($A29&gt;=Premissas!$C$18,Y29+Z29,"")</f>
        <v/>
      </c>
      <c r="AB29" s="22" t="n">
        <f aca="false">AB28*(1+$P29)-X29</f>
        <v>341142.359004314</v>
      </c>
      <c r="AC29" s="22" t="n">
        <f aca="false">AND($A29&gt;=Premissas!$C$16,$A29&lt;EDATE(Premissas!$C$16,3))*Premissas!$C$10/3*(1+Premissas!$C$56)^$C29</f>
        <v>0</v>
      </c>
      <c r="AD29" s="22" t="n">
        <f aca="false">L29-M29-N29-AC29</f>
        <v>0</v>
      </c>
      <c r="AE29" s="22" t="n">
        <f aca="false">AE28+AD29</f>
        <v>-288548.463880025</v>
      </c>
      <c r="AF29" s="22" t="str">
        <f aca="false">IF($A29&gt;=Premissas!$C$18,O29*(1-Premissas!$C$45)-Premissas!$C$46*MAX(0,O29*(1-Premissas!$C$45)-(SUM($AC$5:$AC$355)+Premissas!$C$26*Premissas!$C$60)),"")</f>
        <v/>
      </c>
      <c r="AG29" s="22" t="str">
        <f aca="false">IF($A29&gt;=Premissas!$C$18,AE29+AF29,"")</f>
        <v/>
      </c>
      <c r="AH29" s="22" t="n">
        <f aca="false">AH28*(1+$P29)-AD29</f>
        <v>347128.937380376</v>
      </c>
      <c r="AI29" s="22" t="n">
        <f aca="false">($A29=Premissas!$C$16)*0.2*Premissas!$C$11+AND($A29&gt;Premissas!$C$16,$A29&lt;=EDATE(Premissas!$C$16,43))*0.8*Premissas!$C$11/43*(1+Premissas!$C$56)^$C29</f>
        <v>6389.03269674419</v>
      </c>
      <c r="AJ29" s="22" t="n">
        <f aca="false">L29-M29-N29-AI29</f>
        <v>-6389.03269674419</v>
      </c>
      <c r="AK29" s="22" t="n">
        <f aca="false">AK28+AJ29</f>
        <v>-207444.610842847</v>
      </c>
      <c r="AL29" s="22" t="str">
        <f aca="false">IF($A29&gt;=Premissas!$C$18,O29*(1-Premissas!$C$45)-Premissas!$C$46*MAX(0,O29*(1-Premissas!$C$45)-(SUM($AI$5:$AI$355)+Premissas!$C$26*Premissas!$C$60)),"")</f>
        <v/>
      </c>
      <c r="AM29" s="22" t="str">
        <f aca="false">IF($A29&gt;=Premissas!$C$18,AK29+AL29,"")</f>
        <v/>
      </c>
      <c r="AN29" s="22" t="n">
        <f aca="false">AN28*(1+$P29)-AJ29</f>
        <v>234266.98800117</v>
      </c>
      <c r="AO29" s="22" t="n">
        <f aca="false">V29+S29</f>
        <v>53585.2237978361</v>
      </c>
    </row>
    <row r="30" customFormat="false" ht="15" hidden="false" customHeight="false" outlineLevel="0" collapsed="false">
      <c r="A30" s="26" t="n">
        <f aca="false">DATE(YEAR(A29),MONTH(A29)+1,1)</f>
        <v>47058</v>
      </c>
      <c r="B30" s="22" t="str">
        <f aca="false">IF($A30&lt;Premissas!$C$18,"Obra",IF($A30&lt;Premissas!$C$20,"Entrega/mobília","Airbnb"))</f>
        <v>Obra</v>
      </c>
      <c r="C30" s="36" t="n">
        <f aca="false">(YEAR($A30)-YEAR(Premissas!$C$16))*12+MONTH($A30)-MONTH(Premissas!$C$16)</f>
        <v>25</v>
      </c>
      <c r="D30" s="33" t="n">
        <f aca="false">IF($A30&gt;=Premissas!$C$20,Premissas!$C$31*IF(((YEAR($A30)-YEAR(Premissas!$C$20))*12+MONTH($A30)-MONTH(Premissas!$C$20))&lt;Premissas!$C$33,Premissas!$C$34,1),0)</f>
        <v>0</v>
      </c>
      <c r="E30" s="22" t="n">
        <f aca="false">D30*Premissas!$C$30*Premissas!$C$32*(1+Premissas!$C$58)^$C30</f>
        <v>0</v>
      </c>
      <c r="F30" s="22" t="n">
        <f aca="false">E30*Premissas!$C$35</f>
        <v>0</v>
      </c>
      <c r="G30" s="22" t="n">
        <f aca="false">E30*Premissas!$C$36</f>
        <v>0</v>
      </c>
      <c r="H30" s="22" t="n">
        <f aca="false">IF($A30&gt;=Premissas!$C$18,Premissas!$C$37*(1+Premissas!$C$58)^$C30,0)</f>
        <v>0</v>
      </c>
      <c r="I30" s="22" t="n">
        <f aca="false">IF($A30&gt;=Premissas!$C$20,Premissas!$C$38*(1+Premissas!$C$58)^$C30,0)</f>
        <v>0</v>
      </c>
      <c r="J30" s="22" t="n">
        <f aca="false">IF($A30&gt;=Premissas!$C$20,Premissas!$C$39*(1+Premissas!$C$58)^$C30,0)</f>
        <v>0</v>
      </c>
      <c r="K30" s="22" t="n">
        <f aca="false">IF($A30&gt;=Premissas!$C$20,MAX(0,E30-F30-G30-H30)*Premissas!$C$41,0)</f>
        <v>0</v>
      </c>
      <c r="L30" s="22" t="n">
        <f aca="false">E30-F30-G30-H30-I30-J30-K30</f>
        <v>0</v>
      </c>
      <c r="M30" s="22" t="n">
        <f aca="false">($A30=Premissas!$C$18)*Premissas!$C$26*Premissas!$C$60</f>
        <v>0</v>
      </c>
      <c r="N30" s="22" t="n">
        <f aca="false">IF(AND($A30&gt;=Premissas!$C$18,$A30&lt;Premissas!$C$20),Premissas!$C$27/MAX(1,Premissas!$C$19),0)</f>
        <v>0</v>
      </c>
      <c r="O30" s="22" t="str">
        <f aca="false">IF($A30&gt;=Premissas!$C$18,Premissas!$C$60*(1+Premissas!$C$59)^((YEAR($A30)-YEAR(Premissas!$C$18))*12+MONTH($A30)-MONTH(Premissas!$C$18)),"")</f>
        <v/>
      </c>
      <c r="P30" s="31" t="n">
        <f aca="false">(1+IF(YEAR($A30)&lt;=2026,Premissas!$C$49,IF(YEAR($A30)=2027,Premissas!$C$50,IF(YEAR($A30)=2028,Premissas!$C$51,Premissas!$C$52)))*(1-Premissas!$C$53))^(1/12)-1</f>
        <v>0.00747644014574678</v>
      </c>
      <c r="Q30" s="22" t="n">
        <f aca="false">($A30=Premissas!$C$16)*Premissas!$C$13</f>
        <v>0</v>
      </c>
      <c r="R30" s="22" t="n">
        <f aca="false">L30-M30-N30-Q30</f>
        <v>0</v>
      </c>
      <c r="S30" s="22" t="n">
        <f aca="false">S29+R30</f>
        <v>-250000</v>
      </c>
      <c r="T30" s="22" t="str">
        <f aca="false">IF($A30&gt;=Premissas!$C$18,O30*(1-Premissas!$C$45)-Premissas!$C$46*MAX(0,O30*(1-Premissas!$C$45)-(SUM($Q$5:$Q$355)+Premissas!$C$26*Premissas!$C$60)),"")</f>
        <v/>
      </c>
      <c r="U30" s="22" t="str">
        <f aca="false">IF($A30&gt;=Premissas!$C$18,S30+T30,"")</f>
        <v/>
      </c>
      <c r="V30" s="22" t="n">
        <f aca="false">V29*(1+$P30)-R30</f>
        <v>305854.960552694</v>
      </c>
      <c r="W30" s="22" t="n">
        <f aca="false">($A30=Premissas!$C$16)*Premissas!$C$9</f>
        <v>0</v>
      </c>
      <c r="X30" s="22" t="n">
        <f aca="false">L30-M30-N30-W30</f>
        <v>0</v>
      </c>
      <c r="Y30" s="22" t="n">
        <f aca="false">Y29+X30</f>
        <v>-280928</v>
      </c>
      <c r="Z30" s="22" t="str">
        <f aca="false">IF($A30&gt;=Premissas!$C$18,O30*(1-Premissas!$C$45)-Premissas!$C$46*MAX(0,O30*(1-Premissas!$C$45)-(SUM($W$5:$W$355)+Premissas!$C$26*Premissas!$C$60)),"")</f>
        <v/>
      </c>
      <c r="AA30" s="22" t="str">
        <f aca="false">IF($A30&gt;=Premissas!$C$18,Y30+Z30,"")</f>
        <v/>
      </c>
      <c r="AB30" s="22" t="n">
        <f aca="false">AB29*(1+$P30)-X30</f>
        <v>343692.889432588</v>
      </c>
      <c r="AC30" s="22" t="n">
        <f aca="false">AND($A30&gt;=Premissas!$C$16,$A30&lt;EDATE(Premissas!$C$16,3))*Premissas!$C$10/3*(1+Premissas!$C$56)^$C30</f>
        <v>0</v>
      </c>
      <c r="AD30" s="22" t="n">
        <f aca="false">L30-M30-N30-AC30</f>
        <v>0</v>
      </c>
      <c r="AE30" s="22" t="n">
        <f aca="false">AE29+AD30</f>
        <v>-288548.463880025</v>
      </c>
      <c r="AF30" s="22" t="str">
        <f aca="false">IF($A30&gt;=Premissas!$C$18,O30*(1-Premissas!$C$45)-Premissas!$C$46*MAX(0,O30*(1-Premissas!$C$45)-(SUM($AC$5:$AC$355)+Premissas!$C$26*Premissas!$C$60)),"")</f>
        <v/>
      </c>
      <c r="AG30" s="22" t="str">
        <f aca="false">IF($A30&gt;=Premissas!$C$18,AE30+AF30,"")</f>
        <v/>
      </c>
      <c r="AH30" s="22" t="n">
        <f aca="false">AH29*(1+$P30)-AD30</f>
        <v>349724.226103557</v>
      </c>
      <c r="AI30" s="22" t="n">
        <f aca="false">($A30=Premissas!$C$16)*0.2*Premissas!$C$11+AND($A30&gt;Premissas!$C$16,$A30&lt;=EDATE(Premissas!$C$16,43))*0.8*Premissas!$C$11/43*(1+Premissas!$C$56)^$C30</f>
        <v>6417.60252733517</v>
      </c>
      <c r="AJ30" s="22" t="n">
        <f aca="false">L30-M30-N30-AI30</f>
        <v>-6417.60252733517</v>
      </c>
      <c r="AK30" s="22" t="n">
        <f aca="false">AK29+AJ30</f>
        <v>-213862.213370183</v>
      </c>
      <c r="AL30" s="22" t="str">
        <f aca="false">IF($A30&gt;=Premissas!$C$18,O30*(1-Premissas!$C$45)-Premissas!$C$46*MAX(0,O30*(1-Premissas!$C$45)-(SUM($AI$5:$AI$355)+Premissas!$C$26*Premissas!$C$60)),"")</f>
        <v/>
      </c>
      <c r="AM30" s="22" t="str">
        <f aca="false">IF($A30&gt;=Premissas!$C$18,AK30+AL30,"")</f>
        <v/>
      </c>
      <c r="AN30" s="22" t="n">
        <f aca="false">AN29*(1+$P30)-AJ30</f>
        <v>242436.07364242</v>
      </c>
      <c r="AO30" s="22" t="n">
        <f aca="false">V30+S30</f>
        <v>55854.9605526937</v>
      </c>
    </row>
    <row r="31" customFormat="false" ht="15" hidden="false" customHeight="false" outlineLevel="0" collapsed="false">
      <c r="A31" s="26" t="n">
        <f aca="false">DATE(YEAR(A30),MONTH(A30)+1,1)</f>
        <v>47088</v>
      </c>
      <c r="B31" s="22" t="str">
        <f aca="false">IF($A31&lt;Premissas!$C$18,"Obra",IF($A31&lt;Premissas!$C$20,"Entrega/mobília","Airbnb"))</f>
        <v>Obra</v>
      </c>
      <c r="C31" s="36" t="n">
        <f aca="false">(YEAR($A31)-YEAR(Premissas!$C$16))*12+MONTH($A31)-MONTH(Premissas!$C$16)</f>
        <v>26</v>
      </c>
      <c r="D31" s="33" t="n">
        <f aca="false">IF($A31&gt;=Premissas!$C$20,Premissas!$C$31*IF(((YEAR($A31)-YEAR(Premissas!$C$20))*12+MONTH($A31)-MONTH(Premissas!$C$20))&lt;Premissas!$C$33,Premissas!$C$34,1),0)</f>
        <v>0</v>
      </c>
      <c r="E31" s="22" t="n">
        <f aca="false">D31*Premissas!$C$30*Premissas!$C$32*(1+Premissas!$C$58)^$C31</f>
        <v>0</v>
      </c>
      <c r="F31" s="22" t="n">
        <f aca="false">E31*Premissas!$C$35</f>
        <v>0</v>
      </c>
      <c r="G31" s="22" t="n">
        <f aca="false">E31*Premissas!$C$36</f>
        <v>0</v>
      </c>
      <c r="H31" s="22" t="n">
        <f aca="false">IF($A31&gt;=Premissas!$C$18,Premissas!$C$37*(1+Premissas!$C$58)^$C31,0)</f>
        <v>0</v>
      </c>
      <c r="I31" s="22" t="n">
        <f aca="false">IF($A31&gt;=Premissas!$C$20,Premissas!$C$38*(1+Premissas!$C$58)^$C31,0)</f>
        <v>0</v>
      </c>
      <c r="J31" s="22" t="n">
        <f aca="false">IF($A31&gt;=Premissas!$C$20,Premissas!$C$39*(1+Premissas!$C$58)^$C31,0)</f>
        <v>0</v>
      </c>
      <c r="K31" s="22" t="n">
        <f aca="false">IF($A31&gt;=Premissas!$C$20,MAX(0,E31-F31-G31-H31)*Premissas!$C$41,0)</f>
        <v>0</v>
      </c>
      <c r="L31" s="22" t="n">
        <f aca="false">E31-F31-G31-H31-I31-J31-K31</f>
        <v>0</v>
      </c>
      <c r="M31" s="22" t="n">
        <f aca="false">($A31=Premissas!$C$18)*Premissas!$C$26*Premissas!$C$60</f>
        <v>0</v>
      </c>
      <c r="N31" s="22" t="n">
        <f aca="false">IF(AND($A31&gt;=Premissas!$C$18,$A31&lt;Premissas!$C$20),Premissas!$C$27/MAX(1,Premissas!$C$19),0)</f>
        <v>0</v>
      </c>
      <c r="O31" s="22" t="str">
        <f aca="false">IF($A31&gt;=Premissas!$C$18,Premissas!$C$60*(1+Premissas!$C$59)^((YEAR($A31)-YEAR(Premissas!$C$18))*12+MONTH($A31)-MONTH(Premissas!$C$18)),"")</f>
        <v/>
      </c>
      <c r="P31" s="31" t="n">
        <f aca="false">(1+IF(YEAR($A31)&lt;=2026,Premissas!$C$49,IF(YEAR($A31)=2027,Premissas!$C$50,IF(YEAR($A31)=2028,Premissas!$C$51,Premissas!$C$52)))*(1-Premissas!$C$53))^(1/12)-1</f>
        <v>0.00747644014574678</v>
      </c>
      <c r="Q31" s="22" t="n">
        <f aca="false">($A31=Premissas!$C$16)*Premissas!$C$13</f>
        <v>0</v>
      </c>
      <c r="R31" s="22" t="n">
        <f aca="false">L31-M31-N31-Q31</f>
        <v>0</v>
      </c>
      <c r="S31" s="22" t="n">
        <f aca="false">S30+R31</f>
        <v>-250000</v>
      </c>
      <c r="T31" s="22" t="str">
        <f aca="false">IF($A31&gt;=Premissas!$C$18,O31*(1-Premissas!$C$45)-Premissas!$C$46*MAX(0,O31*(1-Premissas!$C$45)-(SUM($Q$5:$Q$355)+Premissas!$C$26*Premissas!$C$60)),"")</f>
        <v/>
      </c>
      <c r="U31" s="22" t="str">
        <f aca="false">IF($A31&gt;=Premissas!$C$18,S31+T31,"")</f>
        <v/>
      </c>
      <c r="V31" s="22" t="n">
        <f aca="false">V30*(1+$P31)-R31</f>
        <v>308141.666858546</v>
      </c>
      <c r="W31" s="22" t="n">
        <f aca="false">($A31=Premissas!$C$16)*Premissas!$C$9</f>
        <v>0</v>
      </c>
      <c r="X31" s="22" t="n">
        <f aca="false">L31-M31-N31-W31</f>
        <v>0</v>
      </c>
      <c r="Y31" s="22" t="n">
        <f aca="false">Y30+X31</f>
        <v>-280928</v>
      </c>
      <c r="Z31" s="22" t="str">
        <f aca="false">IF($A31&gt;=Premissas!$C$18,O31*(1-Premissas!$C$45)-Premissas!$C$46*MAX(0,O31*(1-Premissas!$C$45)-(SUM($W$5:$W$355)+Premissas!$C$26*Premissas!$C$60)),"")</f>
        <v/>
      </c>
      <c r="AA31" s="22" t="str">
        <f aca="false">IF($A31&gt;=Premissas!$C$18,Y31+Z31,"")</f>
        <v/>
      </c>
      <c r="AB31" s="22" t="n">
        <f aca="false">AB30*(1+$P31)-X31</f>
        <v>346262.48874895</v>
      </c>
      <c r="AC31" s="22" t="n">
        <f aca="false">AND($A31&gt;=Premissas!$C$16,$A31&lt;EDATE(Premissas!$C$16,3))*Premissas!$C$10/3*(1+Premissas!$C$56)^$C31</f>
        <v>0</v>
      </c>
      <c r="AD31" s="22" t="n">
        <f aca="false">L31-M31-N31-AC31</f>
        <v>0</v>
      </c>
      <c r="AE31" s="22" t="n">
        <f aca="false">AE30+AD31</f>
        <v>-288548.463880025</v>
      </c>
      <c r="AF31" s="22" t="str">
        <f aca="false">IF($A31&gt;=Premissas!$C$18,O31*(1-Premissas!$C$45)-Premissas!$C$46*MAX(0,O31*(1-Premissas!$C$45)-(SUM($AC$5:$AC$355)+Premissas!$C$26*Premissas!$C$60)),"")</f>
        <v/>
      </c>
      <c r="AG31" s="22" t="str">
        <f aca="false">IF($A31&gt;=Premissas!$C$18,AE31+AF31,"")</f>
        <v/>
      </c>
      <c r="AH31" s="22" t="n">
        <f aca="false">AH30*(1+$P31)-AD31</f>
        <v>352338.918347537</v>
      </c>
      <c r="AI31" s="22" t="n">
        <f aca="false">($A31=Premissas!$C$16)*0.2*Premissas!$C$11+AND($A31&gt;Premissas!$C$16,$A31&lt;=EDATE(Premissas!$C$16,43))*0.8*Premissas!$C$11/43*(1+Premissas!$C$56)^$C31</f>
        <v>6446.30011360667</v>
      </c>
      <c r="AJ31" s="22" t="n">
        <f aca="false">L31-M31-N31-AI31</f>
        <v>-6446.30011360667</v>
      </c>
      <c r="AK31" s="22" t="n">
        <f aca="false">AK30+AJ31</f>
        <v>-220308.513483789</v>
      </c>
      <c r="AL31" s="22" t="str">
        <f aca="false">IF($A31&gt;=Premissas!$C$18,O31*(1-Premissas!$C$45)-Premissas!$C$46*MAX(0,O31*(1-Premissas!$C$45)-(SUM($AI$5:$AI$355)+Premissas!$C$26*Premissas!$C$60)),"")</f>
        <v/>
      </c>
      <c r="AM31" s="22" t="str">
        <f aca="false">IF($A31&gt;=Premissas!$C$18,AK31+AL31,"")</f>
        <v/>
      </c>
      <c r="AN31" s="22" t="n">
        <f aca="false">AN30*(1+$P31)-AJ31</f>
        <v>250694.932549784</v>
      </c>
      <c r="AO31" s="22" t="n">
        <f aca="false">V31+S31</f>
        <v>58141.6668585456</v>
      </c>
    </row>
    <row r="32" customFormat="false" ht="15" hidden="false" customHeight="false" outlineLevel="0" collapsed="false">
      <c r="A32" s="26" t="n">
        <f aca="false">DATE(YEAR(A31),MONTH(A31)+1,1)</f>
        <v>47119</v>
      </c>
      <c r="B32" s="22" t="str">
        <f aca="false">IF($A32&lt;Premissas!$C$18,"Obra",IF($A32&lt;Premissas!$C$20,"Entrega/mobília","Airbnb"))</f>
        <v>Obra</v>
      </c>
      <c r="C32" s="36" t="n">
        <f aca="false">(YEAR($A32)-YEAR(Premissas!$C$16))*12+MONTH($A32)-MONTH(Premissas!$C$16)</f>
        <v>27</v>
      </c>
      <c r="D32" s="33" t="n">
        <f aca="false">IF($A32&gt;=Premissas!$C$20,Premissas!$C$31*IF(((YEAR($A32)-YEAR(Premissas!$C$20))*12+MONTH($A32)-MONTH(Premissas!$C$20))&lt;Premissas!$C$33,Premissas!$C$34,1),0)</f>
        <v>0</v>
      </c>
      <c r="E32" s="22" t="n">
        <f aca="false">D32*Premissas!$C$30*Premissas!$C$32*(1+Premissas!$C$58)^$C32</f>
        <v>0</v>
      </c>
      <c r="F32" s="22" t="n">
        <f aca="false">E32*Premissas!$C$35</f>
        <v>0</v>
      </c>
      <c r="G32" s="22" t="n">
        <f aca="false">E32*Premissas!$C$36</f>
        <v>0</v>
      </c>
      <c r="H32" s="22" t="n">
        <f aca="false">IF($A32&gt;=Premissas!$C$18,Premissas!$C$37*(1+Premissas!$C$58)^$C32,0)</f>
        <v>0</v>
      </c>
      <c r="I32" s="22" t="n">
        <f aca="false">IF($A32&gt;=Premissas!$C$20,Premissas!$C$38*(1+Premissas!$C$58)^$C32,0)</f>
        <v>0</v>
      </c>
      <c r="J32" s="22" t="n">
        <f aca="false">IF($A32&gt;=Premissas!$C$20,Premissas!$C$39*(1+Premissas!$C$58)^$C32,0)</f>
        <v>0</v>
      </c>
      <c r="K32" s="22" t="n">
        <f aca="false">IF($A32&gt;=Premissas!$C$20,MAX(0,E32-F32-G32-H32)*Premissas!$C$41,0)</f>
        <v>0</v>
      </c>
      <c r="L32" s="22" t="n">
        <f aca="false">E32-F32-G32-H32-I32-J32-K32</f>
        <v>0</v>
      </c>
      <c r="M32" s="22" t="n">
        <f aca="false">($A32=Premissas!$C$18)*Premissas!$C$26*Premissas!$C$60</f>
        <v>0</v>
      </c>
      <c r="N32" s="22" t="n">
        <f aca="false">IF(AND($A32&gt;=Premissas!$C$18,$A32&lt;Premissas!$C$20),Premissas!$C$27/MAX(1,Premissas!$C$19),0)</f>
        <v>0</v>
      </c>
      <c r="O32" s="22" t="str">
        <f aca="false">IF($A32&gt;=Premissas!$C$18,Premissas!$C$60*(1+Premissas!$C$59)^((YEAR($A32)-YEAR(Premissas!$C$18))*12+MONTH($A32)-MONTH(Premissas!$C$18)),"")</f>
        <v/>
      </c>
      <c r="P32" s="31" t="n">
        <f aca="false">(1+IF(YEAR($A32)&lt;=2026,Premissas!$C$49,IF(YEAR($A32)=2027,Premissas!$C$50,IF(YEAR($A32)=2028,Premissas!$C$51,Premissas!$C$52)))*(1-Premissas!$C$53))^(1/12)-1</f>
        <v>0.00682149336596227</v>
      </c>
      <c r="Q32" s="22" t="n">
        <f aca="false">($A32=Premissas!$C$16)*Premissas!$C$13</f>
        <v>0</v>
      </c>
      <c r="R32" s="22" t="n">
        <f aca="false">L32-M32-N32-Q32</f>
        <v>0</v>
      </c>
      <c r="S32" s="22" t="n">
        <f aca="false">S31+R32</f>
        <v>-250000</v>
      </c>
      <c r="T32" s="22" t="str">
        <f aca="false">IF($A32&gt;=Premissas!$C$18,O32*(1-Premissas!$C$45)-Premissas!$C$46*MAX(0,O32*(1-Premissas!$C$45)-(SUM($Q$5:$Q$355)+Premissas!$C$26*Premissas!$C$60)),"")</f>
        <v/>
      </c>
      <c r="U32" s="22" t="str">
        <f aca="false">IF($A32&gt;=Premissas!$C$18,S32+T32,"")</f>
        <v/>
      </c>
      <c r="V32" s="22" t="n">
        <f aca="false">V31*(1+$P32)-R32</f>
        <v>310243.653194798</v>
      </c>
      <c r="W32" s="22" t="n">
        <f aca="false">($A32=Premissas!$C$16)*Premissas!$C$9</f>
        <v>0</v>
      </c>
      <c r="X32" s="22" t="n">
        <f aca="false">L32-M32-N32-W32</f>
        <v>0</v>
      </c>
      <c r="Y32" s="22" t="n">
        <f aca="false">Y31+X32</f>
        <v>-280928</v>
      </c>
      <c r="Z32" s="22" t="str">
        <f aca="false">IF($A32&gt;=Premissas!$C$18,O32*(1-Premissas!$C$45)-Premissas!$C$46*MAX(0,O32*(1-Premissas!$C$45)-(SUM($W$5:$W$355)+Premissas!$C$26*Premissas!$C$60)),"")</f>
        <v/>
      </c>
      <c r="AA32" s="22" t="str">
        <f aca="false">IF($A32&gt;=Premissas!$C$18,Y32+Z32,"")</f>
        <v/>
      </c>
      <c r="AB32" s="22" t="n">
        <f aca="false">AB31*(1+$P32)-X32</f>
        <v>348624.516018833</v>
      </c>
      <c r="AC32" s="22" t="n">
        <f aca="false">AND($A32&gt;=Premissas!$C$16,$A32&lt;EDATE(Premissas!$C$16,3))*Premissas!$C$10/3*(1+Premissas!$C$56)^$C32</f>
        <v>0</v>
      </c>
      <c r="AD32" s="22" t="n">
        <f aca="false">L32-M32-N32-AC32</f>
        <v>0</v>
      </c>
      <c r="AE32" s="22" t="n">
        <f aca="false">AE31+AD32</f>
        <v>-288548.463880025</v>
      </c>
      <c r="AF32" s="22" t="str">
        <f aca="false">IF($A32&gt;=Premissas!$C$18,O32*(1-Premissas!$C$45)-Premissas!$C$46*MAX(0,O32*(1-Premissas!$C$45)-(SUM($AC$5:$AC$355)+Premissas!$C$26*Premissas!$C$60)),"")</f>
        <v/>
      </c>
      <c r="AG32" s="22" t="str">
        <f aca="false">IF($A32&gt;=Premissas!$C$18,AE32+AF32,"")</f>
        <v/>
      </c>
      <c r="AH32" s="22" t="n">
        <f aca="false">AH31*(1+$P32)-AD32</f>
        <v>354742.395941616</v>
      </c>
      <c r="AI32" s="22" t="n">
        <f aca="false">($A32=Premissas!$C$16)*0.2*Premissas!$C$11+AND($A32&gt;Premissas!$C$16,$A32&lt;=EDATE(Premissas!$C$16,43))*0.8*Premissas!$C$11/43*(1+Premissas!$C$56)^$C32</f>
        <v>6475.12602684362</v>
      </c>
      <c r="AJ32" s="22" t="n">
        <f aca="false">L32-M32-N32-AI32</f>
        <v>-6475.12602684362</v>
      </c>
      <c r="AK32" s="22" t="n">
        <f aca="false">AK31+AJ32</f>
        <v>-226783.639510633</v>
      </c>
      <c r="AL32" s="22" t="str">
        <f aca="false">IF($A32&gt;=Premissas!$C$18,O32*(1-Premissas!$C$45)-Premissas!$C$46*MAX(0,O32*(1-Premissas!$C$45)-(SUM($AI$5:$AI$355)+Premissas!$C$26*Premissas!$C$60)),"")</f>
        <v/>
      </c>
      <c r="AM32" s="22" t="str">
        <f aca="false">IF($A32&gt;=Premissas!$C$18,AK32+AL32,"")</f>
        <v/>
      </c>
      <c r="AN32" s="22" t="n">
        <f aca="false">AN31*(1+$P32)-AJ32</f>
        <v>258880.172395897</v>
      </c>
      <c r="AO32" s="22" t="n">
        <f aca="false">V32+S32</f>
        <v>60243.6531947978</v>
      </c>
    </row>
    <row r="33" customFormat="false" ht="15" hidden="false" customHeight="false" outlineLevel="0" collapsed="false">
      <c r="A33" s="26" t="n">
        <f aca="false">DATE(YEAR(A32),MONTH(A32)+1,1)</f>
        <v>47150</v>
      </c>
      <c r="B33" s="22" t="str">
        <f aca="false">IF($A33&lt;Premissas!$C$18,"Obra",IF($A33&lt;Premissas!$C$20,"Entrega/mobília","Airbnb"))</f>
        <v>Obra</v>
      </c>
      <c r="C33" s="36" t="n">
        <f aca="false">(YEAR($A33)-YEAR(Premissas!$C$16))*12+MONTH($A33)-MONTH(Premissas!$C$16)</f>
        <v>28</v>
      </c>
      <c r="D33" s="33" t="n">
        <f aca="false">IF($A33&gt;=Premissas!$C$20,Premissas!$C$31*IF(((YEAR($A33)-YEAR(Premissas!$C$20))*12+MONTH($A33)-MONTH(Premissas!$C$20))&lt;Premissas!$C$33,Premissas!$C$34,1),0)</f>
        <v>0</v>
      </c>
      <c r="E33" s="22" t="n">
        <f aca="false">D33*Premissas!$C$30*Premissas!$C$32*(1+Premissas!$C$58)^$C33</f>
        <v>0</v>
      </c>
      <c r="F33" s="22" t="n">
        <f aca="false">E33*Premissas!$C$35</f>
        <v>0</v>
      </c>
      <c r="G33" s="22" t="n">
        <f aca="false">E33*Premissas!$C$36</f>
        <v>0</v>
      </c>
      <c r="H33" s="22" t="n">
        <f aca="false">IF($A33&gt;=Premissas!$C$18,Premissas!$C$37*(1+Premissas!$C$58)^$C33,0)</f>
        <v>0</v>
      </c>
      <c r="I33" s="22" t="n">
        <f aca="false">IF($A33&gt;=Premissas!$C$20,Premissas!$C$38*(1+Premissas!$C$58)^$C33,0)</f>
        <v>0</v>
      </c>
      <c r="J33" s="22" t="n">
        <f aca="false">IF($A33&gt;=Premissas!$C$20,Premissas!$C$39*(1+Premissas!$C$58)^$C33,0)</f>
        <v>0</v>
      </c>
      <c r="K33" s="22" t="n">
        <f aca="false">IF($A33&gt;=Premissas!$C$20,MAX(0,E33-F33-G33-H33)*Premissas!$C$41,0)</f>
        <v>0</v>
      </c>
      <c r="L33" s="22" t="n">
        <f aca="false">E33-F33-G33-H33-I33-J33-K33</f>
        <v>0</v>
      </c>
      <c r="M33" s="22" t="n">
        <f aca="false">($A33=Premissas!$C$18)*Premissas!$C$26*Premissas!$C$60</f>
        <v>0</v>
      </c>
      <c r="N33" s="22" t="n">
        <f aca="false">IF(AND($A33&gt;=Premissas!$C$18,$A33&lt;Premissas!$C$20),Premissas!$C$27/MAX(1,Premissas!$C$19),0)</f>
        <v>0</v>
      </c>
      <c r="O33" s="22" t="str">
        <f aca="false">IF($A33&gt;=Premissas!$C$18,Premissas!$C$60*(1+Premissas!$C$59)^((YEAR($A33)-YEAR(Premissas!$C$18))*12+MONTH($A33)-MONTH(Premissas!$C$18)),"")</f>
        <v/>
      </c>
      <c r="P33" s="31" t="n">
        <f aca="false">(1+IF(YEAR($A33)&lt;=2026,Premissas!$C$49,IF(YEAR($A33)=2027,Premissas!$C$50,IF(YEAR($A33)=2028,Premissas!$C$51,Premissas!$C$52)))*(1-Premissas!$C$53))^(1/12)-1</f>
        <v>0.00682149336596227</v>
      </c>
      <c r="Q33" s="22" t="n">
        <f aca="false">($A33=Premissas!$C$16)*Premissas!$C$13</f>
        <v>0</v>
      </c>
      <c r="R33" s="22" t="n">
        <f aca="false">L33-M33-N33-Q33</f>
        <v>0</v>
      </c>
      <c r="S33" s="22" t="n">
        <f aca="false">S32+R33</f>
        <v>-250000</v>
      </c>
      <c r="T33" s="22" t="str">
        <f aca="false">IF($A33&gt;=Premissas!$C$18,O33*(1-Premissas!$C$45)-Premissas!$C$46*MAX(0,O33*(1-Premissas!$C$45)-(SUM($Q$5:$Q$355)+Premissas!$C$26*Premissas!$C$60)),"")</f>
        <v/>
      </c>
      <c r="U33" s="22" t="str">
        <f aca="false">IF($A33&gt;=Premissas!$C$18,S33+T33,"")</f>
        <v/>
      </c>
      <c r="V33" s="22" t="n">
        <f aca="false">V32*(1+$P33)-R33</f>
        <v>312359.978216898</v>
      </c>
      <c r="W33" s="22" t="n">
        <f aca="false">($A33=Premissas!$C$16)*Premissas!$C$9</f>
        <v>0</v>
      </c>
      <c r="X33" s="22" t="n">
        <f aca="false">L33-M33-N33-W33</f>
        <v>0</v>
      </c>
      <c r="Y33" s="22" t="n">
        <f aca="false">Y32+X33</f>
        <v>-280928</v>
      </c>
      <c r="Z33" s="22" t="str">
        <f aca="false">IF($A33&gt;=Premissas!$C$18,O33*(1-Premissas!$C$45)-Premissas!$C$46*MAX(0,O33*(1-Premissas!$C$45)-(SUM($W$5:$W$355)+Premissas!$C$26*Premissas!$C$60)),"")</f>
        <v/>
      </c>
      <c r="AA33" s="22" t="str">
        <f aca="false">IF($A33&gt;=Premissas!$C$18,Y33+Z33,"")</f>
        <v/>
      </c>
      <c r="AB33" s="22" t="n">
        <f aca="false">AB32*(1+$P33)-X33</f>
        <v>351002.655842067</v>
      </c>
      <c r="AC33" s="22" t="n">
        <f aca="false">AND($A33&gt;=Premissas!$C$16,$A33&lt;EDATE(Premissas!$C$16,3))*Premissas!$C$10/3*(1+Premissas!$C$56)^$C33</f>
        <v>0</v>
      </c>
      <c r="AD33" s="22" t="n">
        <f aca="false">L33-M33-N33-AC33</f>
        <v>0</v>
      </c>
      <c r="AE33" s="22" t="n">
        <f aca="false">AE32+AD33</f>
        <v>-288548.463880025</v>
      </c>
      <c r="AF33" s="22" t="str">
        <f aca="false">IF($A33&gt;=Premissas!$C$18,O33*(1-Premissas!$C$45)-Premissas!$C$46*MAX(0,O33*(1-Premissas!$C$45)-(SUM($AC$5:$AC$355)+Premissas!$C$26*Premissas!$C$60)),"")</f>
        <v/>
      </c>
      <c r="AG33" s="22" t="str">
        <f aca="false">IF($A33&gt;=Premissas!$C$18,AE33+AF33,"")</f>
        <v/>
      </c>
      <c r="AH33" s="22" t="n">
        <f aca="false">AH32*(1+$P33)-AD33</f>
        <v>357162.268842157</v>
      </c>
      <c r="AI33" s="22" t="n">
        <f aca="false">($A33=Premissas!$C$16)*0.2*Premissas!$C$11+AND($A33&gt;Premissas!$C$16,$A33&lt;=EDATE(Premissas!$C$16,43))*0.8*Premissas!$C$11/43*(1+Premissas!$C$56)^$C33</f>
        <v>6504.08084088557</v>
      </c>
      <c r="AJ33" s="22" t="n">
        <f aca="false">L33-M33-N33-AI33</f>
        <v>-6504.08084088557</v>
      </c>
      <c r="AK33" s="22" t="n">
        <f aca="false">AK32+AJ33</f>
        <v>-233287.720351518</v>
      </c>
      <c r="AL33" s="22" t="str">
        <f aca="false">IF($A33&gt;=Premissas!$C$18,O33*(1-Premissas!$C$45)-Premissas!$C$46*MAX(0,O33*(1-Premissas!$C$45)-(SUM($AI$5:$AI$355)+Premissas!$C$26*Premissas!$C$60)),"")</f>
        <v/>
      </c>
      <c r="AM33" s="22" t="str">
        <f aca="false">IF($A33&gt;=Premissas!$C$18,AK33+AL33,"")</f>
        <v/>
      </c>
      <c r="AN33" s="22" t="n">
        <f aca="false">AN32*(1+$P33)-AJ33</f>
        <v>267150.20261536</v>
      </c>
      <c r="AO33" s="22" t="n">
        <f aca="false">V33+S33</f>
        <v>62359.978216898</v>
      </c>
    </row>
    <row r="34" customFormat="false" ht="15" hidden="false" customHeight="false" outlineLevel="0" collapsed="false">
      <c r="A34" s="26" t="n">
        <f aca="false">DATE(YEAR(A33),MONTH(A33)+1,1)</f>
        <v>47178</v>
      </c>
      <c r="B34" s="22" t="str">
        <f aca="false">IF($A34&lt;Premissas!$C$18,"Obra",IF($A34&lt;Premissas!$C$20,"Entrega/mobília","Airbnb"))</f>
        <v>Obra</v>
      </c>
      <c r="C34" s="36" t="n">
        <f aca="false">(YEAR($A34)-YEAR(Premissas!$C$16))*12+MONTH($A34)-MONTH(Premissas!$C$16)</f>
        <v>29</v>
      </c>
      <c r="D34" s="33" t="n">
        <f aca="false">IF($A34&gt;=Premissas!$C$20,Premissas!$C$31*IF(((YEAR($A34)-YEAR(Premissas!$C$20))*12+MONTH($A34)-MONTH(Premissas!$C$20))&lt;Premissas!$C$33,Premissas!$C$34,1),0)</f>
        <v>0</v>
      </c>
      <c r="E34" s="22" t="n">
        <f aca="false">D34*Premissas!$C$30*Premissas!$C$32*(1+Premissas!$C$58)^$C34</f>
        <v>0</v>
      </c>
      <c r="F34" s="22" t="n">
        <f aca="false">E34*Premissas!$C$35</f>
        <v>0</v>
      </c>
      <c r="G34" s="22" t="n">
        <f aca="false">E34*Premissas!$C$36</f>
        <v>0</v>
      </c>
      <c r="H34" s="22" t="n">
        <f aca="false">IF($A34&gt;=Premissas!$C$18,Premissas!$C$37*(1+Premissas!$C$58)^$C34,0)</f>
        <v>0</v>
      </c>
      <c r="I34" s="22" t="n">
        <f aca="false">IF($A34&gt;=Premissas!$C$20,Premissas!$C$38*(1+Premissas!$C$58)^$C34,0)</f>
        <v>0</v>
      </c>
      <c r="J34" s="22" t="n">
        <f aca="false">IF($A34&gt;=Premissas!$C$20,Premissas!$C$39*(1+Premissas!$C$58)^$C34,0)</f>
        <v>0</v>
      </c>
      <c r="K34" s="22" t="n">
        <f aca="false">IF($A34&gt;=Premissas!$C$20,MAX(0,E34-F34-G34-H34)*Premissas!$C$41,0)</f>
        <v>0</v>
      </c>
      <c r="L34" s="22" t="n">
        <f aca="false">E34-F34-G34-H34-I34-J34-K34</f>
        <v>0</v>
      </c>
      <c r="M34" s="22" t="n">
        <f aca="false">($A34=Premissas!$C$18)*Premissas!$C$26*Premissas!$C$60</f>
        <v>0</v>
      </c>
      <c r="N34" s="22" t="n">
        <f aca="false">IF(AND($A34&gt;=Premissas!$C$18,$A34&lt;Premissas!$C$20),Premissas!$C$27/MAX(1,Premissas!$C$19),0)</f>
        <v>0</v>
      </c>
      <c r="O34" s="22" t="str">
        <f aca="false">IF($A34&gt;=Premissas!$C$18,Premissas!$C$60*(1+Premissas!$C$59)^((YEAR($A34)-YEAR(Premissas!$C$18))*12+MONTH($A34)-MONTH(Premissas!$C$18)),"")</f>
        <v/>
      </c>
      <c r="P34" s="31" t="n">
        <f aca="false">(1+IF(YEAR($A34)&lt;=2026,Premissas!$C$49,IF(YEAR($A34)=2027,Premissas!$C$50,IF(YEAR($A34)=2028,Premissas!$C$51,Premissas!$C$52)))*(1-Premissas!$C$53))^(1/12)-1</f>
        <v>0.00682149336596227</v>
      </c>
      <c r="Q34" s="22" t="n">
        <f aca="false">($A34=Premissas!$C$16)*Premissas!$C$13</f>
        <v>0</v>
      </c>
      <c r="R34" s="22" t="n">
        <f aca="false">L34-M34-N34-Q34</f>
        <v>0</v>
      </c>
      <c r="S34" s="22" t="n">
        <f aca="false">S33+R34</f>
        <v>-250000</v>
      </c>
      <c r="T34" s="22" t="str">
        <f aca="false">IF($A34&gt;=Premissas!$C$18,O34*(1-Premissas!$C$45)-Premissas!$C$46*MAX(0,O34*(1-Premissas!$C$45)-(SUM($Q$5:$Q$355)+Premissas!$C$26*Premissas!$C$60)),"")</f>
        <v/>
      </c>
      <c r="U34" s="22" t="str">
        <f aca="false">IF($A34&gt;=Premissas!$C$18,S34+T34,"")</f>
        <v/>
      </c>
      <c r="V34" s="22" t="n">
        <f aca="false">V33*(1+$P34)-R34</f>
        <v>314490.739736097</v>
      </c>
      <c r="W34" s="22" t="n">
        <f aca="false">($A34=Premissas!$C$16)*Premissas!$C$9</f>
        <v>0</v>
      </c>
      <c r="X34" s="22" t="n">
        <f aca="false">L34-M34-N34-W34</f>
        <v>0</v>
      </c>
      <c r="Y34" s="22" t="n">
        <f aca="false">Y33+X34</f>
        <v>-280928</v>
      </c>
      <c r="Z34" s="22" t="str">
        <f aca="false">IF($A34&gt;=Premissas!$C$18,O34*(1-Premissas!$C$45)-Premissas!$C$46*MAX(0,O34*(1-Premissas!$C$45)-(SUM($W$5:$W$355)+Premissas!$C$26*Premissas!$C$60)),"")</f>
        <v/>
      </c>
      <c r="AA34" s="22" t="str">
        <f aca="false">IF($A34&gt;=Premissas!$C$18,Y34+Z34,"")</f>
        <v/>
      </c>
      <c r="AB34" s="22" t="n">
        <f aca="false">AB33*(1+$P34)-X34</f>
        <v>353397.018130329</v>
      </c>
      <c r="AC34" s="22" t="n">
        <f aca="false">AND($A34&gt;=Premissas!$C$16,$A34&lt;EDATE(Premissas!$C$16,3))*Premissas!$C$10/3*(1+Premissas!$C$56)^$C34</f>
        <v>0</v>
      </c>
      <c r="AD34" s="22" t="n">
        <f aca="false">L34-M34-N34-AC34</f>
        <v>0</v>
      </c>
      <c r="AE34" s="22" t="n">
        <f aca="false">AE33+AD34</f>
        <v>-288548.463880025</v>
      </c>
      <c r="AF34" s="22" t="str">
        <f aca="false">IF($A34&gt;=Premissas!$C$18,O34*(1-Premissas!$C$45)-Premissas!$C$46*MAX(0,O34*(1-Premissas!$C$45)-(SUM($AC$5:$AC$355)+Premissas!$C$26*Premissas!$C$60)),"")</f>
        <v/>
      </c>
      <c r="AG34" s="22" t="str">
        <f aca="false">IF($A34&gt;=Premissas!$C$18,AE34+AF34,"")</f>
        <v/>
      </c>
      <c r="AH34" s="22" t="n">
        <f aca="false">AH33*(1+$P34)-AD34</f>
        <v>359598.648889636</v>
      </c>
      <c r="AI34" s="22" t="n">
        <f aca="false">($A34=Premissas!$C$16)*0.2*Premissas!$C$11+AND($A34&gt;Premissas!$C$16,$A34&lt;=EDATE(Premissas!$C$16,43))*0.8*Premissas!$C$11/43*(1+Premissas!$C$56)^$C34</f>
        <v>6533.16513213812</v>
      </c>
      <c r="AJ34" s="22" t="n">
        <f aca="false">L34-M34-N34-AI34</f>
        <v>-6533.16513213812</v>
      </c>
      <c r="AK34" s="22" t="n">
        <f aca="false">AK33+AJ34</f>
        <v>-239820.885483657</v>
      </c>
      <c r="AL34" s="22" t="str">
        <f aca="false">IF($A34&gt;=Premissas!$C$18,O34*(1-Premissas!$C$45)-Premissas!$C$46*MAX(0,O34*(1-Premissas!$C$45)-(SUM($AI$5:$AI$355)+Premissas!$C$26*Premissas!$C$60)),"")</f>
        <v/>
      </c>
      <c r="AM34" s="22" t="str">
        <f aca="false">IF($A34&gt;=Premissas!$C$18,AK34+AL34,"")</f>
        <v/>
      </c>
      <c r="AN34" s="22" t="n">
        <f aca="false">AN33*(1+$P34)-AJ34</f>
        <v>275505.731082354</v>
      </c>
      <c r="AO34" s="22" t="n">
        <f aca="false">V34+S34</f>
        <v>64490.7397360967</v>
      </c>
    </row>
    <row r="35" customFormat="false" ht="15" hidden="false" customHeight="false" outlineLevel="0" collapsed="false">
      <c r="A35" s="26" t="n">
        <f aca="false">DATE(YEAR(A34),MONTH(A34)+1,1)</f>
        <v>47209</v>
      </c>
      <c r="B35" s="22" t="str">
        <f aca="false">IF($A35&lt;Premissas!$C$18,"Obra",IF($A35&lt;Premissas!$C$20,"Entrega/mobília","Airbnb"))</f>
        <v>Obra</v>
      </c>
      <c r="C35" s="36" t="n">
        <f aca="false">(YEAR($A35)-YEAR(Premissas!$C$16))*12+MONTH($A35)-MONTH(Premissas!$C$16)</f>
        <v>30</v>
      </c>
      <c r="D35" s="33" t="n">
        <f aca="false">IF($A35&gt;=Premissas!$C$20,Premissas!$C$31*IF(((YEAR($A35)-YEAR(Premissas!$C$20))*12+MONTH($A35)-MONTH(Premissas!$C$20))&lt;Premissas!$C$33,Premissas!$C$34,1),0)</f>
        <v>0</v>
      </c>
      <c r="E35" s="22" t="n">
        <f aca="false">D35*Premissas!$C$30*Premissas!$C$32*(1+Premissas!$C$58)^$C35</f>
        <v>0</v>
      </c>
      <c r="F35" s="22" t="n">
        <f aca="false">E35*Premissas!$C$35</f>
        <v>0</v>
      </c>
      <c r="G35" s="22" t="n">
        <f aca="false">E35*Premissas!$C$36</f>
        <v>0</v>
      </c>
      <c r="H35" s="22" t="n">
        <f aca="false">IF($A35&gt;=Premissas!$C$18,Premissas!$C$37*(1+Premissas!$C$58)^$C35,0)</f>
        <v>0</v>
      </c>
      <c r="I35" s="22" t="n">
        <f aca="false">IF($A35&gt;=Premissas!$C$20,Premissas!$C$38*(1+Premissas!$C$58)^$C35,0)</f>
        <v>0</v>
      </c>
      <c r="J35" s="22" t="n">
        <f aca="false">IF($A35&gt;=Premissas!$C$20,Premissas!$C$39*(1+Premissas!$C$58)^$C35,0)</f>
        <v>0</v>
      </c>
      <c r="K35" s="22" t="n">
        <f aca="false">IF($A35&gt;=Premissas!$C$20,MAX(0,E35-F35-G35-H35)*Premissas!$C$41,0)</f>
        <v>0</v>
      </c>
      <c r="L35" s="22" t="n">
        <f aca="false">E35-F35-G35-H35-I35-J35-K35</f>
        <v>0</v>
      </c>
      <c r="M35" s="22" t="n">
        <f aca="false">($A35=Premissas!$C$18)*Premissas!$C$26*Premissas!$C$60</f>
        <v>0</v>
      </c>
      <c r="N35" s="22" t="n">
        <f aca="false">IF(AND($A35&gt;=Premissas!$C$18,$A35&lt;Premissas!$C$20),Premissas!$C$27/MAX(1,Premissas!$C$19),0)</f>
        <v>0</v>
      </c>
      <c r="O35" s="22" t="str">
        <f aca="false">IF($A35&gt;=Premissas!$C$18,Premissas!$C$60*(1+Premissas!$C$59)^((YEAR($A35)-YEAR(Premissas!$C$18))*12+MONTH($A35)-MONTH(Premissas!$C$18)),"")</f>
        <v/>
      </c>
      <c r="P35" s="31" t="n">
        <f aca="false">(1+IF(YEAR($A35)&lt;=2026,Premissas!$C$49,IF(YEAR($A35)=2027,Premissas!$C$50,IF(YEAR($A35)=2028,Premissas!$C$51,Premissas!$C$52)))*(1-Premissas!$C$53))^(1/12)-1</f>
        <v>0.00682149336596227</v>
      </c>
      <c r="Q35" s="22" t="n">
        <f aca="false">($A35=Premissas!$C$16)*Premissas!$C$13</f>
        <v>0</v>
      </c>
      <c r="R35" s="22" t="n">
        <f aca="false">L35-M35-N35-Q35</f>
        <v>0</v>
      </c>
      <c r="S35" s="22" t="n">
        <f aca="false">S34+R35</f>
        <v>-250000</v>
      </c>
      <c r="T35" s="22" t="str">
        <f aca="false">IF($A35&gt;=Premissas!$C$18,O35*(1-Premissas!$C$45)-Premissas!$C$46*MAX(0,O35*(1-Premissas!$C$45)-(SUM($Q$5:$Q$355)+Premissas!$C$26*Premissas!$C$60)),"")</f>
        <v/>
      </c>
      <c r="U35" s="22" t="str">
        <f aca="false">IF($A35&gt;=Premissas!$C$18,S35+T35,"")</f>
        <v/>
      </c>
      <c r="V35" s="22" t="n">
        <f aca="false">V34*(1+$P35)-R35</f>
        <v>316636.036230863</v>
      </c>
      <c r="W35" s="22" t="n">
        <f aca="false">($A35=Premissas!$C$16)*Premissas!$C$9</f>
        <v>0</v>
      </c>
      <c r="X35" s="22" t="n">
        <f aca="false">L35-M35-N35-W35</f>
        <v>0</v>
      </c>
      <c r="Y35" s="22" t="n">
        <f aca="false">Y34+X35</f>
        <v>-280928</v>
      </c>
      <c r="Z35" s="22" t="str">
        <f aca="false">IF($A35&gt;=Premissas!$C$18,O35*(1-Premissas!$C$45)-Premissas!$C$46*MAX(0,O35*(1-Premissas!$C$45)-(SUM($W$5:$W$355)+Premissas!$C$26*Premissas!$C$60)),"")</f>
        <v/>
      </c>
      <c r="AA35" s="22" t="str">
        <f aca="false">IF($A35&gt;=Premissas!$C$18,Y35+Z35,"")</f>
        <v/>
      </c>
      <c r="AB35" s="22" t="n">
        <f aca="false">AB34*(1+$P35)-X35</f>
        <v>355807.713545056</v>
      </c>
      <c r="AC35" s="22" t="n">
        <f aca="false">AND($A35&gt;=Premissas!$C$16,$A35&lt;EDATE(Premissas!$C$16,3))*Premissas!$C$10/3*(1+Premissas!$C$56)^$C35</f>
        <v>0</v>
      </c>
      <c r="AD35" s="22" t="n">
        <f aca="false">L35-M35-N35-AC35</f>
        <v>0</v>
      </c>
      <c r="AE35" s="22" t="n">
        <f aca="false">AE34+AD35</f>
        <v>-288548.463880025</v>
      </c>
      <c r="AF35" s="22" t="str">
        <f aca="false">IF($A35&gt;=Premissas!$C$18,O35*(1-Premissas!$C$45)-Premissas!$C$46*MAX(0,O35*(1-Premissas!$C$45)-(SUM($AC$5:$AC$355)+Premissas!$C$26*Premissas!$C$60)),"")</f>
        <v/>
      </c>
      <c r="AG35" s="22" t="str">
        <f aca="false">IF($A35&gt;=Premissas!$C$18,AE35+AF35,"")</f>
        <v/>
      </c>
      <c r="AH35" s="22" t="n">
        <f aca="false">AH34*(1+$P35)-AD35</f>
        <v>362051.648687445</v>
      </c>
      <c r="AI35" s="22" t="n">
        <f aca="false">($A35=Premissas!$C$16)*0.2*Premissas!$C$11+AND($A35&gt;Premissas!$C$16,$A35&lt;=EDATE(Premissas!$C$16,43))*0.8*Premissas!$C$11/43*(1+Premissas!$C$56)^$C35</f>
        <v>6562.37947958437</v>
      </c>
      <c r="AJ35" s="22" t="n">
        <f aca="false">L35-M35-N35-AI35</f>
        <v>-6562.37947958437</v>
      </c>
      <c r="AK35" s="22" t="n">
        <f aca="false">AK34+AJ35</f>
        <v>-246383.264963241</v>
      </c>
      <c r="AL35" s="22" t="str">
        <f aca="false">IF($A35&gt;=Premissas!$C$18,O35*(1-Premissas!$C$45)-Premissas!$C$46*MAX(0,O35*(1-Premissas!$C$45)-(SUM($AI$5:$AI$355)+Premissas!$C$26*Premissas!$C$60)),"")</f>
        <v/>
      </c>
      <c r="AM35" s="22" t="str">
        <f aca="false">IF($A35&gt;=Premissas!$C$18,AK35+AL35,"")</f>
        <v/>
      </c>
      <c r="AN35" s="22" t="n">
        <f aca="false">AN34*(1+$P35)-AJ35</f>
        <v>283947.471078802</v>
      </c>
      <c r="AO35" s="22" t="n">
        <f aca="false">V35+S35</f>
        <v>66636.0362308631</v>
      </c>
    </row>
    <row r="36" customFormat="false" ht="15" hidden="false" customHeight="false" outlineLevel="0" collapsed="false">
      <c r="A36" s="26" t="n">
        <f aca="false">DATE(YEAR(A35),MONTH(A35)+1,1)</f>
        <v>47239</v>
      </c>
      <c r="B36" s="22" t="str">
        <f aca="false">IF($A36&lt;Premissas!$C$18,"Obra",IF($A36&lt;Premissas!$C$20,"Entrega/mobília","Airbnb"))</f>
        <v>Obra</v>
      </c>
      <c r="C36" s="36" t="n">
        <f aca="false">(YEAR($A36)-YEAR(Premissas!$C$16))*12+MONTH($A36)-MONTH(Premissas!$C$16)</f>
        <v>31</v>
      </c>
      <c r="D36" s="33" t="n">
        <f aca="false">IF($A36&gt;=Premissas!$C$20,Premissas!$C$31*IF(((YEAR($A36)-YEAR(Premissas!$C$20))*12+MONTH($A36)-MONTH(Premissas!$C$20))&lt;Premissas!$C$33,Premissas!$C$34,1),0)</f>
        <v>0</v>
      </c>
      <c r="E36" s="22" t="n">
        <f aca="false">D36*Premissas!$C$30*Premissas!$C$32*(1+Premissas!$C$58)^$C36</f>
        <v>0</v>
      </c>
      <c r="F36" s="22" t="n">
        <f aca="false">E36*Premissas!$C$35</f>
        <v>0</v>
      </c>
      <c r="G36" s="22" t="n">
        <f aca="false">E36*Premissas!$C$36</f>
        <v>0</v>
      </c>
      <c r="H36" s="22" t="n">
        <f aca="false">IF($A36&gt;=Premissas!$C$18,Premissas!$C$37*(1+Premissas!$C$58)^$C36,0)</f>
        <v>0</v>
      </c>
      <c r="I36" s="22" t="n">
        <f aca="false">IF($A36&gt;=Premissas!$C$20,Premissas!$C$38*(1+Premissas!$C$58)^$C36,0)</f>
        <v>0</v>
      </c>
      <c r="J36" s="22" t="n">
        <f aca="false">IF($A36&gt;=Premissas!$C$20,Premissas!$C$39*(1+Premissas!$C$58)^$C36,0)</f>
        <v>0</v>
      </c>
      <c r="K36" s="22" t="n">
        <f aca="false">IF($A36&gt;=Premissas!$C$20,MAX(0,E36-F36-G36-H36)*Premissas!$C$41,0)</f>
        <v>0</v>
      </c>
      <c r="L36" s="22" t="n">
        <f aca="false">E36-F36-G36-H36-I36-J36-K36</f>
        <v>0</v>
      </c>
      <c r="M36" s="22" t="n">
        <f aca="false">($A36=Premissas!$C$18)*Premissas!$C$26*Premissas!$C$60</f>
        <v>0</v>
      </c>
      <c r="N36" s="22" t="n">
        <f aca="false">IF(AND($A36&gt;=Premissas!$C$18,$A36&lt;Premissas!$C$20),Premissas!$C$27/MAX(1,Premissas!$C$19),0)</f>
        <v>0</v>
      </c>
      <c r="O36" s="22" t="str">
        <f aca="false">IF($A36&gt;=Premissas!$C$18,Premissas!$C$60*(1+Premissas!$C$59)^((YEAR($A36)-YEAR(Premissas!$C$18))*12+MONTH($A36)-MONTH(Premissas!$C$18)),"")</f>
        <v/>
      </c>
      <c r="P36" s="31" t="n">
        <f aca="false">(1+IF(YEAR($A36)&lt;=2026,Premissas!$C$49,IF(YEAR($A36)=2027,Premissas!$C$50,IF(YEAR($A36)=2028,Premissas!$C$51,Premissas!$C$52)))*(1-Premissas!$C$53))^(1/12)-1</f>
        <v>0.00682149336596227</v>
      </c>
      <c r="Q36" s="22" t="n">
        <f aca="false">($A36=Premissas!$C$16)*Premissas!$C$13</f>
        <v>0</v>
      </c>
      <c r="R36" s="22" t="n">
        <f aca="false">L36-M36-N36-Q36</f>
        <v>0</v>
      </c>
      <c r="S36" s="22" t="n">
        <f aca="false">S35+R36</f>
        <v>-250000</v>
      </c>
      <c r="T36" s="22" t="str">
        <f aca="false">IF($A36&gt;=Premissas!$C$18,O36*(1-Premissas!$C$45)-Premissas!$C$46*MAX(0,O36*(1-Premissas!$C$45)-(SUM($Q$5:$Q$355)+Premissas!$C$26*Premissas!$C$60)),"")</f>
        <v/>
      </c>
      <c r="U36" s="22" t="str">
        <f aca="false">IF($A36&gt;=Premissas!$C$18,S36+T36,"")</f>
        <v/>
      </c>
      <c r="V36" s="22" t="n">
        <f aca="false">V35*(1+$P36)-R36</f>
        <v>318795.966851437</v>
      </c>
      <c r="W36" s="22" t="n">
        <f aca="false">($A36=Premissas!$C$16)*Premissas!$C$9</f>
        <v>0</v>
      </c>
      <c r="X36" s="22" t="n">
        <f aca="false">L36-M36-N36-W36</f>
        <v>0</v>
      </c>
      <c r="Y36" s="22" t="n">
        <f aca="false">Y35+X36</f>
        <v>-280928</v>
      </c>
      <c r="Z36" s="22" t="str">
        <f aca="false">IF($A36&gt;=Premissas!$C$18,O36*(1-Premissas!$C$45)-Premissas!$C$46*MAX(0,O36*(1-Premissas!$C$45)-(SUM($W$5:$W$355)+Premissas!$C$26*Premissas!$C$60)),"")</f>
        <v/>
      </c>
      <c r="AA36" s="22" t="str">
        <f aca="false">IF($A36&gt;=Premissas!$C$18,Y36+Z36,"")</f>
        <v/>
      </c>
      <c r="AB36" s="22" t="n">
        <f aca="false">AB35*(1+$P36)-X36</f>
        <v>358234.853502561</v>
      </c>
      <c r="AC36" s="22" t="n">
        <f aca="false">AND($A36&gt;=Premissas!$C$16,$A36&lt;EDATE(Premissas!$C$16,3))*Premissas!$C$10/3*(1+Premissas!$C$56)^$C36</f>
        <v>0</v>
      </c>
      <c r="AD36" s="22" t="n">
        <f aca="false">L36-M36-N36-AC36</f>
        <v>0</v>
      </c>
      <c r="AE36" s="22" t="n">
        <f aca="false">AE35+AD36</f>
        <v>-288548.463880025</v>
      </c>
      <c r="AF36" s="22" t="str">
        <f aca="false">IF($A36&gt;=Premissas!$C$18,O36*(1-Premissas!$C$45)-Premissas!$C$46*MAX(0,O36*(1-Premissas!$C$45)-(SUM($AC$5:$AC$355)+Premissas!$C$26*Premissas!$C$60)),"")</f>
        <v/>
      </c>
      <c r="AG36" s="22" t="str">
        <f aca="false">IF($A36&gt;=Premissas!$C$18,AE36+AF36,"")</f>
        <v/>
      </c>
      <c r="AH36" s="22" t="n">
        <f aca="false">AH35*(1+$P36)-AD36</f>
        <v>364521.381607102</v>
      </c>
      <c r="AI36" s="22" t="n">
        <f aca="false">($A36=Premissas!$C$16)*0.2*Premissas!$C$11+AND($A36&gt;Premissas!$C$16,$A36&lt;=EDATE(Premissas!$C$16,43))*0.8*Premissas!$C$11/43*(1+Premissas!$C$56)^$C36</f>
        <v>6591.72446479645</v>
      </c>
      <c r="AJ36" s="22" t="n">
        <f aca="false">L36-M36-N36-AI36</f>
        <v>-6591.72446479645</v>
      </c>
      <c r="AK36" s="22" t="n">
        <f aca="false">AK35+AJ36</f>
        <v>-252974.989428037</v>
      </c>
      <c r="AL36" s="22" t="str">
        <f aca="false">IF($A36&gt;=Premissas!$C$18,O36*(1-Premissas!$C$45)-Premissas!$C$46*MAX(0,O36*(1-Premissas!$C$45)-(SUM($AI$5:$AI$355)+Premissas!$C$26*Premissas!$C$60)),"")</f>
        <v/>
      </c>
      <c r="AM36" s="22" t="str">
        <f aca="false">IF($A36&gt;=Premissas!$C$18,AK36+AL36,"")</f>
        <v/>
      </c>
      <c r="AN36" s="22" t="n">
        <f aca="false">AN35*(1+$P36)-AJ36</f>
        <v>292476.141333844</v>
      </c>
      <c r="AO36" s="22" t="n">
        <f aca="false">V36+S36</f>
        <v>68795.9668514365</v>
      </c>
    </row>
    <row r="37" customFormat="false" ht="15" hidden="false" customHeight="false" outlineLevel="0" collapsed="false">
      <c r="A37" s="26" t="n">
        <f aca="false">DATE(YEAR(A36),MONTH(A36)+1,1)</f>
        <v>47270</v>
      </c>
      <c r="B37" s="22" t="str">
        <f aca="false">IF($A37&lt;Premissas!$C$18,"Obra",IF($A37&lt;Premissas!$C$20,"Entrega/mobília","Airbnb"))</f>
        <v>Obra</v>
      </c>
      <c r="C37" s="36" t="n">
        <f aca="false">(YEAR($A37)-YEAR(Premissas!$C$16))*12+MONTH($A37)-MONTH(Premissas!$C$16)</f>
        <v>32</v>
      </c>
      <c r="D37" s="33" t="n">
        <f aca="false">IF($A37&gt;=Premissas!$C$20,Premissas!$C$31*IF(((YEAR($A37)-YEAR(Premissas!$C$20))*12+MONTH($A37)-MONTH(Premissas!$C$20))&lt;Premissas!$C$33,Premissas!$C$34,1),0)</f>
        <v>0</v>
      </c>
      <c r="E37" s="22" t="n">
        <f aca="false">D37*Premissas!$C$30*Premissas!$C$32*(1+Premissas!$C$58)^$C37</f>
        <v>0</v>
      </c>
      <c r="F37" s="22" t="n">
        <f aca="false">E37*Premissas!$C$35</f>
        <v>0</v>
      </c>
      <c r="G37" s="22" t="n">
        <f aca="false">E37*Premissas!$C$36</f>
        <v>0</v>
      </c>
      <c r="H37" s="22" t="n">
        <f aca="false">IF($A37&gt;=Premissas!$C$18,Premissas!$C$37*(1+Premissas!$C$58)^$C37,0)</f>
        <v>0</v>
      </c>
      <c r="I37" s="22" t="n">
        <f aca="false">IF($A37&gt;=Premissas!$C$20,Premissas!$C$38*(1+Premissas!$C$58)^$C37,0)</f>
        <v>0</v>
      </c>
      <c r="J37" s="22" t="n">
        <f aca="false">IF($A37&gt;=Premissas!$C$20,Premissas!$C$39*(1+Premissas!$C$58)^$C37,0)</f>
        <v>0</v>
      </c>
      <c r="K37" s="22" t="n">
        <f aca="false">IF($A37&gt;=Premissas!$C$20,MAX(0,E37-F37-G37-H37)*Premissas!$C$41,0)</f>
        <v>0</v>
      </c>
      <c r="L37" s="22" t="n">
        <f aca="false">E37-F37-G37-H37-I37-J37-K37</f>
        <v>0</v>
      </c>
      <c r="M37" s="22" t="n">
        <f aca="false">($A37=Premissas!$C$18)*Premissas!$C$26*Premissas!$C$60</f>
        <v>0</v>
      </c>
      <c r="N37" s="22" t="n">
        <f aca="false">IF(AND($A37&gt;=Premissas!$C$18,$A37&lt;Premissas!$C$20),Premissas!$C$27/MAX(1,Premissas!$C$19),0)</f>
        <v>0</v>
      </c>
      <c r="O37" s="22" t="str">
        <f aca="false">IF($A37&gt;=Premissas!$C$18,Premissas!$C$60*(1+Premissas!$C$59)^((YEAR($A37)-YEAR(Premissas!$C$18))*12+MONTH($A37)-MONTH(Premissas!$C$18)),"")</f>
        <v/>
      </c>
      <c r="P37" s="31" t="n">
        <f aca="false">(1+IF(YEAR($A37)&lt;=2026,Premissas!$C$49,IF(YEAR($A37)=2027,Premissas!$C$50,IF(YEAR($A37)=2028,Premissas!$C$51,Premissas!$C$52)))*(1-Premissas!$C$53))^(1/12)-1</f>
        <v>0.00682149336596227</v>
      </c>
      <c r="Q37" s="22" t="n">
        <f aca="false">($A37=Premissas!$C$16)*Premissas!$C$13</f>
        <v>0</v>
      </c>
      <c r="R37" s="22" t="n">
        <f aca="false">L37-M37-N37-Q37</f>
        <v>0</v>
      </c>
      <c r="S37" s="22" t="n">
        <f aca="false">S36+R37</f>
        <v>-250000</v>
      </c>
      <c r="T37" s="22" t="str">
        <f aca="false">IF($A37&gt;=Premissas!$C$18,O37*(1-Premissas!$C$45)-Premissas!$C$46*MAX(0,O37*(1-Premissas!$C$45)-(SUM($Q$5:$Q$355)+Premissas!$C$26*Premissas!$C$60)),"")</f>
        <v/>
      </c>
      <c r="U37" s="22" t="str">
        <f aca="false">IF($A37&gt;=Premissas!$C$18,S37+T37,"")</f>
        <v/>
      </c>
      <c r="V37" s="22" t="n">
        <f aca="false">V36*(1+$P37)-R37</f>
        <v>320970.631424409</v>
      </c>
      <c r="W37" s="22" t="n">
        <f aca="false">($A37=Premissas!$C$16)*Premissas!$C$9</f>
        <v>0</v>
      </c>
      <c r="X37" s="22" t="n">
        <f aca="false">L37-M37-N37-W37</f>
        <v>0</v>
      </c>
      <c r="Y37" s="22" t="n">
        <f aca="false">Y36+X37</f>
        <v>-280928</v>
      </c>
      <c r="Z37" s="22" t="str">
        <f aca="false">IF($A37&gt;=Premissas!$C$18,O37*(1-Premissas!$C$45)-Premissas!$C$46*MAX(0,O37*(1-Premissas!$C$45)-(SUM($W$5:$W$355)+Premissas!$C$26*Premissas!$C$60)),"")</f>
        <v/>
      </c>
      <c r="AA37" s="22" t="str">
        <f aca="false">IF($A37&gt;=Premissas!$C$18,Y37+Z37,"")</f>
        <v/>
      </c>
      <c r="AB37" s="22" t="n">
        <f aca="false">AB36*(1+$P37)-X37</f>
        <v>360678.550179186</v>
      </c>
      <c r="AC37" s="22" t="n">
        <f aca="false">AND($A37&gt;=Premissas!$C$16,$A37&lt;EDATE(Premissas!$C$16,3))*Premissas!$C$10/3*(1+Premissas!$C$56)^$C37</f>
        <v>0</v>
      </c>
      <c r="AD37" s="22" t="n">
        <f aca="false">L37-M37-N37-AC37</f>
        <v>0</v>
      </c>
      <c r="AE37" s="22" t="n">
        <f aca="false">AE36+AD37</f>
        <v>-288548.463880025</v>
      </c>
      <c r="AF37" s="22" t="str">
        <f aca="false">IF($A37&gt;=Premissas!$C$18,O37*(1-Premissas!$C$45)-Premissas!$C$46*MAX(0,O37*(1-Premissas!$C$45)-(SUM($AC$5:$AC$355)+Premissas!$C$26*Premissas!$C$60)),"")</f>
        <v/>
      </c>
      <c r="AG37" s="22" t="str">
        <f aca="false">IF($A37&gt;=Premissas!$C$18,AE37+AF37,"")</f>
        <v/>
      </c>
      <c r="AH37" s="22" t="n">
        <f aca="false">AH36*(1+$P37)-AD37</f>
        <v>367007.961793487</v>
      </c>
      <c r="AI37" s="22" t="n">
        <f aca="false">($A37=Premissas!$C$16)*0.2*Premissas!$C$11+AND($A37&gt;Premissas!$C$16,$A37&lt;=EDATE(Premissas!$C$16,43))*0.8*Premissas!$C$11/43*(1+Premissas!$C$56)^$C37</f>
        <v>6621.20067194712</v>
      </c>
      <c r="AJ37" s="22" t="n">
        <f aca="false">L37-M37-N37-AI37</f>
        <v>-6621.20067194712</v>
      </c>
      <c r="AK37" s="22" t="n">
        <f aca="false">AK36+AJ37</f>
        <v>-259596.190099985</v>
      </c>
      <c r="AL37" s="22" t="str">
        <f aca="false">IF($A37&gt;=Premissas!$C$18,O37*(1-Premissas!$C$45)-Premissas!$C$46*MAX(0,O37*(1-Premissas!$C$45)-(SUM($AI$5:$AI$355)+Premissas!$C$26*Premissas!$C$60)),"")</f>
        <v/>
      </c>
      <c r="AM37" s="22" t="str">
        <f aca="false">IF($A37&gt;=Premissas!$C$18,AK37+AL37,"")</f>
        <v/>
      </c>
      <c r="AN37" s="22" t="n">
        <f aca="false">AN36*(1+$P37)-AJ37</f>
        <v>301092.466063602</v>
      </c>
      <c r="AO37" s="22" t="n">
        <f aca="false">V37+S37</f>
        <v>70970.6314244091</v>
      </c>
    </row>
    <row r="38" customFormat="false" ht="15" hidden="false" customHeight="false" outlineLevel="0" collapsed="false">
      <c r="A38" s="26" t="n">
        <f aca="false">DATE(YEAR(A37),MONTH(A37)+1,1)</f>
        <v>47300</v>
      </c>
      <c r="B38" s="22" t="str">
        <f aca="false">IF($A38&lt;Premissas!$C$18,"Obra",IF($A38&lt;Premissas!$C$20,"Entrega/mobília","Airbnb"))</f>
        <v>Obra</v>
      </c>
      <c r="C38" s="36" t="n">
        <f aca="false">(YEAR($A38)-YEAR(Premissas!$C$16))*12+MONTH($A38)-MONTH(Premissas!$C$16)</f>
        <v>33</v>
      </c>
      <c r="D38" s="33" t="n">
        <f aca="false">IF($A38&gt;=Premissas!$C$20,Premissas!$C$31*IF(((YEAR($A38)-YEAR(Premissas!$C$20))*12+MONTH($A38)-MONTH(Premissas!$C$20))&lt;Premissas!$C$33,Premissas!$C$34,1),0)</f>
        <v>0</v>
      </c>
      <c r="E38" s="22" t="n">
        <f aca="false">D38*Premissas!$C$30*Premissas!$C$32*(1+Premissas!$C$58)^$C38</f>
        <v>0</v>
      </c>
      <c r="F38" s="22" t="n">
        <f aca="false">E38*Premissas!$C$35</f>
        <v>0</v>
      </c>
      <c r="G38" s="22" t="n">
        <f aca="false">E38*Premissas!$C$36</f>
        <v>0</v>
      </c>
      <c r="H38" s="22" t="n">
        <f aca="false">IF($A38&gt;=Premissas!$C$18,Premissas!$C$37*(1+Premissas!$C$58)^$C38,0)</f>
        <v>0</v>
      </c>
      <c r="I38" s="22" t="n">
        <f aca="false">IF($A38&gt;=Premissas!$C$20,Premissas!$C$38*(1+Premissas!$C$58)^$C38,0)</f>
        <v>0</v>
      </c>
      <c r="J38" s="22" t="n">
        <f aca="false">IF($A38&gt;=Premissas!$C$20,Premissas!$C$39*(1+Premissas!$C$58)^$C38,0)</f>
        <v>0</v>
      </c>
      <c r="K38" s="22" t="n">
        <f aca="false">IF($A38&gt;=Premissas!$C$20,MAX(0,E38-F38-G38-H38)*Premissas!$C$41,0)</f>
        <v>0</v>
      </c>
      <c r="L38" s="22" t="n">
        <f aca="false">E38-F38-G38-H38-I38-J38-K38</f>
        <v>0</v>
      </c>
      <c r="M38" s="22" t="n">
        <f aca="false">($A38=Premissas!$C$18)*Premissas!$C$26*Premissas!$C$60</f>
        <v>0</v>
      </c>
      <c r="N38" s="22" t="n">
        <f aca="false">IF(AND($A38&gt;=Premissas!$C$18,$A38&lt;Premissas!$C$20),Premissas!$C$27/MAX(1,Premissas!$C$19),0)</f>
        <v>0</v>
      </c>
      <c r="O38" s="22" t="str">
        <f aca="false">IF($A38&gt;=Premissas!$C$18,Premissas!$C$60*(1+Premissas!$C$59)^((YEAR($A38)-YEAR(Premissas!$C$18))*12+MONTH($A38)-MONTH(Premissas!$C$18)),"")</f>
        <v/>
      </c>
      <c r="P38" s="31" t="n">
        <f aca="false">(1+IF(YEAR($A38)&lt;=2026,Premissas!$C$49,IF(YEAR($A38)=2027,Premissas!$C$50,IF(YEAR($A38)=2028,Premissas!$C$51,Premissas!$C$52)))*(1-Premissas!$C$53))^(1/12)-1</f>
        <v>0.00682149336596227</v>
      </c>
      <c r="Q38" s="22" t="n">
        <f aca="false">($A38=Premissas!$C$16)*Premissas!$C$13</f>
        <v>0</v>
      </c>
      <c r="R38" s="22" t="n">
        <f aca="false">L38-M38-N38-Q38</f>
        <v>0</v>
      </c>
      <c r="S38" s="22" t="n">
        <f aca="false">S37+R38</f>
        <v>-250000</v>
      </c>
      <c r="T38" s="22" t="str">
        <f aca="false">IF($A38&gt;=Premissas!$C$18,O38*(1-Premissas!$C$45)-Premissas!$C$46*MAX(0,O38*(1-Premissas!$C$45)-(SUM($Q$5:$Q$355)+Premissas!$C$26*Premissas!$C$60)),"")</f>
        <v/>
      </c>
      <c r="U38" s="22" t="str">
        <f aca="false">IF($A38&gt;=Premissas!$C$18,S38+T38,"")</f>
        <v/>
      </c>
      <c r="V38" s="22" t="n">
        <f aca="false">V37*(1+$P38)-R38</f>
        <v>323160.130457339</v>
      </c>
      <c r="W38" s="22" t="n">
        <f aca="false">($A38=Premissas!$C$16)*Premissas!$C$9</f>
        <v>0</v>
      </c>
      <c r="X38" s="22" t="n">
        <f aca="false">L38-M38-N38-W38</f>
        <v>0</v>
      </c>
      <c r="Y38" s="22" t="n">
        <f aca="false">Y37+X38</f>
        <v>-280928</v>
      </c>
      <c r="Z38" s="22" t="str">
        <f aca="false">IF($A38&gt;=Premissas!$C$18,O38*(1-Premissas!$C$45)-Premissas!$C$46*MAX(0,O38*(1-Premissas!$C$45)-(SUM($W$5:$W$355)+Premissas!$C$26*Premissas!$C$60)),"")</f>
        <v/>
      </c>
      <c r="AA38" s="22" t="str">
        <f aca="false">IF($A38&gt;=Premissas!$C$18,Y38+Z38,"")</f>
        <v/>
      </c>
      <c r="AB38" s="22" t="n">
        <f aca="false">AB37*(1+$P38)-X38</f>
        <v>363138.916516478</v>
      </c>
      <c r="AC38" s="22" t="n">
        <f aca="false">AND($A38&gt;=Premissas!$C$16,$A38&lt;EDATE(Premissas!$C$16,3))*Premissas!$C$10/3*(1+Premissas!$C$56)^$C38</f>
        <v>0</v>
      </c>
      <c r="AD38" s="22" t="n">
        <f aca="false">L38-M38-N38-AC38</f>
        <v>0</v>
      </c>
      <c r="AE38" s="22" t="n">
        <f aca="false">AE37+AD38</f>
        <v>-288548.463880025</v>
      </c>
      <c r="AF38" s="22" t="str">
        <f aca="false">IF($A38&gt;=Premissas!$C$18,O38*(1-Premissas!$C$45)-Premissas!$C$46*MAX(0,O38*(1-Premissas!$C$45)-(SUM($AC$5:$AC$355)+Premissas!$C$26*Premissas!$C$60)),"")</f>
        <v/>
      </c>
      <c r="AG38" s="22" t="str">
        <f aca="false">IF($A38&gt;=Premissas!$C$18,AE38+AF38,"")</f>
        <v/>
      </c>
      <c r="AH38" s="22" t="n">
        <f aca="false">AH37*(1+$P38)-AD38</f>
        <v>369511.504170116</v>
      </c>
      <c r="AI38" s="22" t="n">
        <f aca="false">($A38=Premissas!$C$16)*0.2*Premissas!$C$11+AND($A38&gt;Premissas!$C$16,$A38&lt;=EDATE(Premissas!$C$16,43))*0.8*Premissas!$C$11/43*(1+Premissas!$C$56)^$C38</f>
        <v>6650.80868782139</v>
      </c>
      <c r="AJ38" s="22" t="n">
        <f aca="false">L38-M38-N38-AI38</f>
        <v>-6650.80868782139</v>
      </c>
      <c r="AK38" s="22" t="n">
        <f aca="false">AK37+AJ38</f>
        <v>-266246.998787806</v>
      </c>
      <c r="AL38" s="22" t="str">
        <f aca="false">IF($A38&gt;=Premissas!$C$18,O38*(1-Premissas!$C$45)-Premissas!$C$46*MAX(0,O38*(1-Premissas!$C$45)-(SUM($AI$5:$AI$355)+Premissas!$C$26*Premissas!$C$60)),"")</f>
        <v/>
      </c>
      <c r="AM38" s="22" t="str">
        <f aca="false">IF($A38&gt;=Premissas!$C$18,AK38+AL38,"")</f>
        <v/>
      </c>
      <c r="AN38" s="22" t="n">
        <f aca="false">AN37*(1+$P38)-AJ38</f>
        <v>309797.175011218</v>
      </c>
      <c r="AO38" s="22" t="n">
        <f aca="false">V38+S38</f>
        <v>73160.1304573395</v>
      </c>
    </row>
    <row r="39" customFormat="false" ht="15" hidden="false" customHeight="false" outlineLevel="0" collapsed="false">
      <c r="A39" s="26" t="n">
        <f aca="false">DATE(YEAR(A38),MONTH(A38)+1,1)</f>
        <v>47331</v>
      </c>
      <c r="B39" s="22" t="str">
        <f aca="false">IF($A39&lt;Premissas!$C$18,"Obra",IF($A39&lt;Premissas!$C$20,"Entrega/mobília","Airbnb"))</f>
        <v>Obra</v>
      </c>
      <c r="C39" s="36" t="n">
        <f aca="false">(YEAR($A39)-YEAR(Premissas!$C$16))*12+MONTH($A39)-MONTH(Premissas!$C$16)</f>
        <v>34</v>
      </c>
      <c r="D39" s="33" t="n">
        <f aca="false">IF($A39&gt;=Premissas!$C$20,Premissas!$C$31*IF(((YEAR($A39)-YEAR(Premissas!$C$20))*12+MONTH($A39)-MONTH(Premissas!$C$20))&lt;Premissas!$C$33,Premissas!$C$34,1),0)</f>
        <v>0</v>
      </c>
      <c r="E39" s="22" t="n">
        <f aca="false">D39*Premissas!$C$30*Premissas!$C$32*(1+Premissas!$C$58)^$C39</f>
        <v>0</v>
      </c>
      <c r="F39" s="22" t="n">
        <f aca="false">E39*Premissas!$C$35</f>
        <v>0</v>
      </c>
      <c r="G39" s="22" t="n">
        <f aca="false">E39*Premissas!$C$36</f>
        <v>0</v>
      </c>
      <c r="H39" s="22" t="n">
        <f aca="false">IF($A39&gt;=Premissas!$C$18,Premissas!$C$37*(1+Premissas!$C$58)^$C39,0)</f>
        <v>0</v>
      </c>
      <c r="I39" s="22" t="n">
        <f aca="false">IF($A39&gt;=Premissas!$C$20,Premissas!$C$38*(1+Premissas!$C$58)^$C39,0)</f>
        <v>0</v>
      </c>
      <c r="J39" s="22" t="n">
        <f aca="false">IF($A39&gt;=Premissas!$C$20,Premissas!$C$39*(1+Premissas!$C$58)^$C39,0)</f>
        <v>0</v>
      </c>
      <c r="K39" s="22" t="n">
        <f aca="false">IF($A39&gt;=Premissas!$C$20,MAX(0,E39-F39-G39-H39)*Premissas!$C$41,0)</f>
        <v>0</v>
      </c>
      <c r="L39" s="22" t="n">
        <f aca="false">E39-F39-G39-H39-I39-J39-K39</f>
        <v>0</v>
      </c>
      <c r="M39" s="22" t="n">
        <f aca="false">($A39=Premissas!$C$18)*Premissas!$C$26*Premissas!$C$60</f>
        <v>0</v>
      </c>
      <c r="N39" s="22" t="n">
        <f aca="false">IF(AND($A39&gt;=Premissas!$C$18,$A39&lt;Premissas!$C$20),Premissas!$C$27/MAX(1,Premissas!$C$19),0)</f>
        <v>0</v>
      </c>
      <c r="O39" s="22" t="str">
        <f aca="false">IF($A39&gt;=Premissas!$C$18,Premissas!$C$60*(1+Premissas!$C$59)^((YEAR($A39)-YEAR(Premissas!$C$18))*12+MONTH($A39)-MONTH(Premissas!$C$18)),"")</f>
        <v/>
      </c>
      <c r="P39" s="31" t="n">
        <f aca="false">(1+IF(YEAR($A39)&lt;=2026,Premissas!$C$49,IF(YEAR($A39)=2027,Premissas!$C$50,IF(YEAR($A39)=2028,Premissas!$C$51,Premissas!$C$52)))*(1-Premissas!$C$53))^(1/12)-1</f>
        <v>0.00682149336596227</v>
      </c>
      <c r="Q39" s="22" t="n">
        <f aca="false">($A39=Premissas!$C$16)*Premissas!$C$13</f>
        <v>0</v>
      </c>
      <c r="R39" s="22" t="n">
        <f aca="false">L39-M39-N39-Q39</f>
        <v>0</v>
      </c>
      <c r="S39" s="22" t="n">
        <f aca="false">S38+R39</f>
        <v>-250000</v>
      </c>
      <c r="T39" s="22" t="str">
        <f aca="false">IF($A39&gt;=Premissas!$C$18,O39*(1-Premissas!$C$45)-Premissas!$C$46*MAX(0,O39*(1-Premissas!$C$45)-(SUM($Q$5:$Q$355)+Premissas!$C$26*Premissas!$C$60)),"")</f>
        <v/>
      </c>
      <c r="U39" s="22" t="str">
        <f aca="false">IF($A39&gt;=Premissas!$C$18,S39+T39,"")</f>
        <v/>
      </c>
      <c r="V39" s="22" t="n">
        <f aca="false">V38*(1+$P39)-R39</f>
        <v>325364.565143398</v>
      </c>
      <c r="W39" s="22" t="n">
        <f aca="false">($A39=Premissas!$C$16)*Premissas!$C$9</f>
        <v>0</v>
      </c>
      <c r="X39" s="22" t="n">
        <f aca="false">L39-M39-N39-W39</f>
        <v>0</v>
      </c>
      <c r="Y39" s="22" t="n">
        <f aca="false">Y38+X39</f>
        <v>-280928</v>
      </c>
      <c r="Z39" s="22" t="str">
        <f aca="false">IF($A39&gt;=Premissas!$C$18,O39*(1-Premissas!$C$45)-Premissas!$C$46*MAX(0,O39*(1-Premissas!$C$45)-(SUM($W$5:$W$355)+Premissas!$C$26*Premissas!$C$60)),"")</f>
        <v/>
      </c>
      <c r="AA39" s="22" t="str">
        <f aca="false">IF($A39&gt;=Premissas!$C$18,Y39+Z39,"")</f>
        <v/>
      </c>
      <c r="AB39" s="22" t="n">
        <f aca="false">AB38*(1+$P39)-X39</f>
        <v>365616.066226418</v>
      </c>
      <c r="AC39" s="22" t="n">
        <f aca="false">AND($A39&gt;=Premissas!$C$16,$A39&lt;EDATE(Premissas!$C$16,3))*Premissas!$C$10/3*(1+Premissas!$C$56)^$C39</f>
        <v>0</v>
      </c>
      <c r="AD39" s="22" t="n">
        <f aca="false">L39-M39-N39-AC39</f>
        <v>0</v>
      </c>
      <c r="AE39" s="22" t="n">
        <f aca="false">AE38+AD39</f>
        <v>-288548.463880025</v>
      </c>
      <c r="AF39" s="22" t="str">
        <f aca="false">IF($A39&gt;=Premissas!$C$18,O39*(1-Premissas!$C$45)-Premissas!$C$46*MAX(0,O39*(1-Premissas!$C$45)-(SUM($AC$5:$AC$355)+Premissas!$C$26*Premissas!$C$60)),"")</f>
        <v/>
      </c>
      <c r="AG39" s="22" t="str">
        <f aca="false">IF($A39&gt;=Premissas!$C$18,AE39+AF39,"")</f>
        <v/>
      </c>
      <c r="AH39" s="22" t="n">
        <f aca="false">AH38*(1+$P39)-AD39</f>
        <v>372032.124444459</v>
      </c>
      <c r="AI39" s="22" t="n">
        <f aca="false">($A39=Premissas!$C$16)*0.2*Premissas!$C$11+AND($A39&gt;Premissas!$C$16,$A39&lt;=EDATE(Premissas!$C$16,43))*0.8*Premissas!$C$11/43*(1+Premissas!$C$56)^$C39</f>
        <v>6680.54910182819</v>
      </c>
      <c r="AJ39" s="22" t="n">
        <f aca="false">L39-M39-N39-AI39</f>
        <v>-6680.54910182819</v>
      </c>
      <c r="AK39" s="22" t="n">
        <f aca="false">AK38+AJ39</f>
        <v>-272927.547889634</v>
      </c>
      <c r="AL39" s="22" t="str">
        <f aca="false">IF($A39&gt;=Premissas!$C$18,O39*(1-Premissas!$C$45)-Premissas!$C$46*MAX(0,O39*(1-Premissas!$C$45)-(SUM($AI$5:$AI$355)+Premissas!$C$26*Premissas!$C$60)),"")</f>
        <v/>
      </c>
      <c r="AM39" s="22" t="str">
        <f aca="false">IF($A39&gt;=Premissas!$C$18,AK39+AL39,"")</f>
        <v/>
      </c>
      <c r="AN39" s="22" t="n">
        <f aca="false">AN38*(1+$P39)-AJ39</f>
        <v>318591.003487179</v>
      </c>
      <c r="AO39" s="22" t="n">
        <f aca="false">V39+S39</f>
        <v>75364.5651433977</v>
      </c>
    </row>
    <row r="40" customFormat="false" ht="15" hidden="false" customHeight="false" outlineLevel="0" collapsed="false">
      <c r="A40" s="26" t="n">
        <f aca="false">DATE(YEAR(A39),MONTH(A39)+1,1)</f>
        <v>47362</v>
      </c>
      <c r="B40" s="22" t="str">
        <f aca="false">IF($A40&lt;Premissas!$C$18,"Obra",IF($A40&lt;Premissas!$C$20,"Entrega/mobília","Airbnb"))</f>
        <v>Obra</v>
      </c>
      <c r="C40" s="36" t="n">
        <f aca="false">(YEAR($A40)-YEAR(Premissas!$C$16))*12+MONTH($A40)-MONTH(Premissas!$C$16)</f>
        <v>35</v>
      </c>
      <c r="D40" s="33" t="n">
        <f aca="false">IF($A40&gt;=Premissas!$C$20,Premissas!$C$31*IF(((YEAR($A40)-YEAR(Premissas!$C$20))*12+MONTH($A40)-MONTH(Premissas!$C$20))&lt;Premissas!$C$33,Premissas!$C$34,1),0)</f>
        <v>0</v>
      </c>
      <c r="E40" s="22" t="n">
        <f aca="false">D40*Premissas!$C$30*Premissas!$C$32*(1+Premissas!$C$58)^$C40</f>
        <v>0</v>
      </c>
      <c r="F40" s="22" t="n">
        <f aca="false">E40*Premissas!$C$35</f>
        <v>0</v>
      </c>
      <c r="G40" s="22" t="n">
        <f aca="false">E40*Premissas!$C$36</f>
        <v>0</v>
      </c>
      <c r="H40" s="22" t="n">
        <f aca="false">IF($A40&gt;=Premissas!$C$18,Premissas!$C$37*(1+Premissas!$C$58)^$C40,0)</f>
        <v>0</v>
      </c>
      <c r="I40" s="22" t="n">
        <f aca="false">IF($A40&gt;=Premissas!$C$20,Premissas!$C$38*(1+Premissas!$C$58)^$C40,0)</f>
        <v>0</v>
      </c>
      <c r="J40" s="22" t="n">
        <f aca="false">IF($A40&gt;=Premissas!$C$20,Premissas!$C$39*(1+Premissas!$C$58)^$C40,0)</f>
        <v>0</v>
      </c>
      <c r="K40" s="22" t="n">
        <f aca="false">IF($A40&gt;=Premissas!$C$20,MAX(0,E40-F40-G40-H40)*Premissas!$C$41,0)</f>
        <v>0</v>
      </c>
      <c r="L40" s="22" t="n">
        <f aca="false">E40-F40-G40-H40-I40-J40-K40</f>
        <v>0</v>
      </c>
      <c r="M40" s="22" t="n">
        <f aca="false">($A40=Premissas!$C$18)*Premissas!$C$26*Premissas!$C$60</f>
        <v>0</v>
      </c>
      <c r="N40" s="22" t="n">
        <f aca="false">IF(AND($A40&gt;=Premissas!$C$18,$A40&lt;Premissas!$C$20),Premissas!$C$27/MAX(1,Premissas!$C$19),0)</f>
        <v>0</v>
      </c>
      <c r="O40" s="22" t="str">
        <f aca="false">IF($A40&gt;=Premissas!$C$18,Premissas!$C$60*(1+Premissas!$C$59)^((YEAR($A40)-YEAR(Premissas!$C$18))*12+MONTH($A40)-MONTH(Premissas!$C$18)),"")</f>
        <v/>
      </c>
      <c r="P40" s="31" t="n">
        <f aca="false">(1+IF(YEAR($A40)&lt;=2026,Premissas!$C$49,IF(YEAR($A40)=2027,Premissas!$C$50,IF(YEAR($A40)=2028,Premissas!$C$51,Premissas!$C$52)))*(1-Premissas!$C$53))^(1/12)-1</f>
        <v>0.00682149336596227</v>
      </c>
      <c r="Q40" s="22" t="n">
        <f aca="false">($A40=Premissas!$C$16)*Premissas!$C$13</f>
        <v>0</v>
      </c>
      <c r="R40" s="22" t="n">
        <f aca="false">L40-M40-N40-Q40</f>
        <v>0</v>
      </c>
      <c r="S40" s="22" t="n">
        <f aca="false">S39+R40</f>
        <v>-250000</v>
      </c>
      <c r="T40" s="22" t="str">
        <f aca="false">IF($A40&gt;=Premissas!$C$18,O40*(1-Premissas!$C$45)-Premissas!$C$46*MAX(0,O40*(1-Premissas!$C$45)-(SUM($Q$5:$Q$355)+Premissas!$C$26*Premissas!$C$60)),"")</f>
        <v/>
      </c>
      <c r="U40" s="22" t="str">
        <f aca="false">IF($A40&gt;=Premissas!$C$18,S40+T40,"")</f>
        <v/>
      </c>
      <c r="V40" s="22" t="n">
        <f aca="false">V39*(1+$P40)-R40</f>
        <v>327584.037366043</v>
      </c>
      <c r="W40" s="22" t="n">
        <f aca="false">($A40=Premissas!$C$16)*Premissas!$C$9</f>
        <v>0</v>
      </c>
      <c r="X40" s="22" t="n">
        <f aca="false">L40-M40-N40-W40</f>
        <v>0</v>
      </c>
      <c r="Y40" s="22" t="n">
        <f aca="false">Y39+X40</f>
        <v>-280928</v>
      </c>
      <c r="Z40" s="22" t="str">
        <f aca="false">IF($A40&gt;=Premissas!$C$18,O40*(1-Premissas!$C$45)-Premissas!$C$46*MAX(0,O40*(1-Premissas!$C$45)-(SUM($W$5:$W$355)+Premissas!$C$26*Premissas!$C$60)),"")</f>
        <v/>
      </c>
      <c r="AA40" s="22" t="str">
        <f aca="false">IF($A40&gt;=Premissas!$C$18,Y40+Z40,"")</f>
        <v/>
      </c>
      <c r="AB40" s="22" t="n">
        <f aca="false">AB39*(1+$P40)-X40</f>
        <v>368110.11379667</v>
      </c>
      <c r="AC40" s="22" t="n">
        <f aca="false">AND($A40&gt;=Premissas!$C$16,$A40&lt;EDATE(Premissas!$C$16,3))*Premissas!$C$10/3*(1+Premissas!$C$56)^$C40</f>
        <v>0</v>
      </c>
      <c r="AD40" s="22" t="n">
        <f aca="false">L40-M40-N40-AC40</f>
        <v>0</v>
      </c>
      <c r="AE40" s="22" t="n">
        <f aca="false">AE39+AD40</f>
        <v>-288548.463880025</v>
      </c>
      <c r="AF40" s="22" t="str">
        <f aca="false">IF($A40&gt;=Premissas!$C$18,O40*(1-Premissas!$C$45)-Premissas!$C$46*MAX(0,O40*(1-Premissas!$C$45)-(SUM($AC$5:$AC$355)+Premissas!$C$26*Premissas!$C$60)),"")</f>
        <v/>
      </c>
      <c r="AG40" s="22" t="str">
        <f aca="false">IF($A40&gt;=Premissas!$C$18,AE40+AF40,"")</f>
        <v/>
      </c>
      <c r="AH40" s="22" t="n">
        <f aca="false">AH39*(1+$P40)-AD40</f>
        <v>374569.939113282</v>
      </c>
      <c r="AI40" s="22" t="n">
        <f aca="false">($A40=Premissas!$C$16)*0.2*Premissas!$C$11+AND($A40&gt;Premissas!$C$16,$A40&lt;=EDATE(Premissas!$C$16,43))*0.8*Premissas!$C$11/43*(1+Premissas!$C$56)^$C40</f>
        <v>6710.42250601208</v>
      </c>
      <c r="AJ40" s="22" t="n">
        <f aca="false">L40-M40-N40-AI40</f>
        <v>-6710.42250601208</v>
      </c>
      <c r="AK40" s="22" t="n">
        <f aca="false">AK39+AJ40</f>
        <v>-279637.970395646</v>
      </c>
      <c r="AL40" s="22" t="str">
        <f aca="false">IF($A40&gt;=Premissas!$C$18,O40*(1-Premissas!$C$45)-Premissas!$C$46*MAX(0,O40*(1-Premissas!$C$45)-(SUM($AI$5:$AI$355)+Premissas!$C$26*Premissas!$C$60)),"")</f>
        <v/>
      </c>
      <c r="AM40" s="22" t="str">
        <f aca="false">IF($A40&gt;=Premissas!$C$18,AK40+AL40,"")</f>
        <v/>
      </c>
      <c r="AN40" s="22" t="n">
        <f aca="false">AN39*(1+$P40)-AJ40</f>
        <v>327474.692409934</v>
      </c>
      <c r="AO40" s="22" t="n">
        <f aca="false">V40+S40</f>
        <v>77584.0373660426</v>
      </c>
    </row>
    <row r="41" customFormat="false" ht="15" hidden="false" customHeight="false" outlineLevel="0" collapsed="false">
      <c r="A41" s="26" t="n">
        <f aca="false">DATE(YEAR(A40),MONTH(A40)+1,1)</f>
        <v>47392</v>
      </c>
      <c r="B41" s="22" t="str">
        <f aca="false">IF($A41&lt;Premissas!$C$18,"Obra",IF($A41&lt;Premissas!$C$20,"Entrega/mobília","Airbnb"))</f>
        <v>Obra</v>
      </c>
      <c r="C41" s="36" t="n">
        <f aca="false">(YEAR($A41)-YEAR(Premissas!$C$16))*12+MONTH($A41)-MONTH(Premissas!$C$16)</f>
        <v>36</v>
      </c>
      <c r="D41" s="33" t="n">
        <f aca="false">IF($A41&gt;=Premissas!$C$20,Premissas!$C$31*IF(((YEAR($A41)-YEAR(Premissas!$C$20))*12+MONTH($A41)-MONTH(Premissas!$C$20))&lt;Premissas!$C$33,Premissas!$C$34,1),0)</f>
        <v>0</v>
      </c>
      <c r="E41" s="22" t="n">
        <f aca="false">D41*Premissas!$C$30*Premissas!$C$32*(1+Premissas!$C$58)^$C41</f>
        <v>0</v>
      </c>
      <c r="F41" s="22" t="n">
        <f aca="false">E41*Premissas!$C$35</f>
        <v>0</v>
      </c>
      <c r="G41" s="22" t="n">
        <f aca="false">E41*Premissas!$C$36</f>
        <v>0</v>
      </c>
      <c r="H41" s="22" t="n">
        <f aca="false">IF($A41&gt;=Premissas!$C$18,Premissas!$C$37*(1+Premissas!$C$58)^$C41,0)</f>
        <v>0</v>
      </c>
      <c r="I41" s="22" t="n">
        <f aca="false">IF($A41&gt;=Premissas!$C$20,Premissas!$C$38*(1+Premissas!$C$58)^$C41,0)</f>
        <v>0</v>
      </c>
      <c r="J41" s="22" t="n">
        <f aca="false">IF($A41&gt;=Premissas!$C$20,Premissas!$C$39*(1+Premissas!$C$58)^$C41,0)</f>
        <v>0</v>
      </c>
      <c r="K41" s="22" t="n">
        <f aca="false">IF($A41&gt;=Premissas!$C$20,MAX(0,E41-F41-G41-H41)*Premissas!$C$41,0)</f>
        <v>0</v>
      </c>
      <c r="L41" s="22" t="n">
        <f aca="false">E41-F41-G41-H41-I41-J41-K41</f>
        <v>0</v>
      </c>
      <c r="M41" s="22" t="n">
        <f aca="false">($A41=Premissas!$C$18)*Premissas!$C$26*Premissas!$C$60</f>
        <v>0</v>
      </c>
      <c r="N41" s="22" t="n">
        <f aca="false">IF(AND($A41&gt;=Premissas!$C$18,$A41&lt;Premissas!$C$20),Premissas!$C$27/MAX(1,Premissas!$C$19),0)</f>
        <v>0</v>
      </c>
      <c r="O41" s="22" t="str">
        <f aca="false">IF($A41&gt;=Premissas!$C$18,Premissas!$C$60*(1+Premissas!$C$59)^((YEAR($A41)-YEAR(Premissas!$C$18))*12+MONTH($A41)-MONTH(Premissas!$C$18)),"")</f>
        <v/>
      </c>
      <c r="P41" s="31" t="n">
        <f aca="false">(1+IF(YEAR($A41)&lt;=2026,Premissas!$C$49,IF(YEAR($A41)=2027,Premissas!$C$50,IF(YEAR($A41)=2028,Premissas!$C$51,Premissas!$C$52)))*(1-Premissas!$C$53))^(1/12)-1</f>
        <v>0.00682149336596227</v>
      </c>
      <c r="Q41" s="22" t="n">
        <f aca="false">($A41=Premissas!$C$16)*Premissas!$C$13</f>
        <v>0</v>
      </c>
      <c r="R41" s="22" t="n">
        <f aca="false">L41-M41-N41-Q41</f>
        <v>0</v>
      </c>
      <c r="S41" s="22" t="n">
        <f aca="false">S40+R41</f>
        <v>-250000</v>
      </c>
      <c r="T41" s="22" t="str">
        <f aca="false">IF($A41&gt;=Premissas!$C$18,O41*(1-Premissas!$C$45)-Premissas!$C$46*MAX(0,O41*(1-Premissas!$C$45)-(SUM($Q$5:$Q$355)+Premissas!$C$26*Premissas!$C$60)),"")</f>
        <v/>
      </c>
      <c r="U41" s="22" t="str">
        <f aca="false">IF($A41&gt;=Premissas!$C$18,S41+T41,"")</f>
        <v/>
      </c>
      <c r="V41" s="22" t="n">
        <f aca="false">V40*(1+$P41)-R41</f>
        <v>329818.64970373</v>
      </c>
      <c r="W41" s="22" t="n">
        <f aca="false">($A41=Premissas!$C$16)*Premissas!$C$9</f>
        <v>0</v>
      </c>
      <c r="X41" s="22" t="n">
        <f aca="false">L41-M41-N41-W41</f>
        <v>0</v>
      </c>
      <c r="Y41" s="22" t="n">
        <f aca="false">Y40+X41</f>
        <v>-280928</v>
      </c>
      <c r="Z41" s="22" t="str">
        <f aca="false">IF($A41&gt;=Premissas!$C$18,O41*(1-Premissas!$C$45)-Premissas!$C$46*MAX(0,O41*(1-Premissas!$C$45)-(SUM($W$5:$W$355)+Premissas!$C$26*Premissas!$C$60)),"")</f>
        <v/>
      </c>
      <c r="AA41" s="22" t="str">
        <f aca="false">IF($A41&gt;=Premissas!$C$18,Y41+Z41,"")</f>
        <v/>
      </c>
      <c r="AB41" s="22" t="n">
        <f aca="false">AB40*(1+$P41)-X41</f>
        <v>370621.174495878</v>
      </c>
      <c r="AC41" s="22" t="n">
        <f aca="false">AND($A41&gt;=Premissas!$C$16,$A41&lt;EDATE(Premissas!$C$16,3))*Premissas!$C$10/3*(1+Premissas!$C$56)^$C41</f>
        <v>0</v>
      </c>
      <c r="AD41" s="22" t="n">
        <f aca="false">L41-M41-N41-AC41</f>
        <v>0</v>
      </c>
      <c r="AE41" s="22" t="n">
        <f aca="false">AE40+AD41</f>
        <v>-288548.463880025</v>
      </c>
      <c r="AF41" s="22" t="str">
        <f aca="false">IF($A41&gt;=Premissas!$C$18,O41*(1-Premissas!$C$45)-Premissas!$C$46*MAX(0,O41*(1-Premissas!$C$45)-(SUM($AC$5:$AC$355)+Premissas!$C$26*Premissas!$C$60)),"")</f>
        <v/>
      </c>
      <c r="AG41" s="22" t="str">
        <f aca="false">IF($A41&gt;=Premissas!$C$18,AE41+AF41,"")</f>
        <v/>
      </c>
      <c r="AH41" s="22" t="n">
        <f aca="false">AH40*(1+$P41)-AD41</f>
        <v>377125.065468032</v>
      </c>
      <c r="AI41" s="22" t="n">
        <f aca="false">($A41=Premissas!$C$16)*0.2*Premissas!$C$11+AND($A41&gt;Premissas!$C$16,$A41&lt;=EDATE(Premissas!$C$16,43))*0.8*Premissas!$C$11/43*(1+Premissas!$C$56)^$C41</f>
        <v>6740.42949506512</v>
      </c>
      <c r="AJ41" s="22" t="n">
        <f aca="false">L41-M41-N41-AI41</f>
        <v>-6740.42949506512</v>
      </c>
      <c r="AK41" s="22" t="n">
        <f aca="false">AK40+AJ41</f>
        <v>-286378.399890711</v>
      </c>
      <c r="AL41" s="22" t="str">
        <f aca="false">IF($A41&gt;=Premissas!$C$18,O41*(1-Premissas!$C$45)-Premissas!$C$46*MAX(0,O41*(1-Premissas!$C$45)-(SUM($AI$5:$AI$355)+Premissas!$C$26*Premissas!$C$60)),"")</f>
        <v/>
      </c>
      <c r="AM41" s="22" t="str">
        <f aca="false">IF($A41&gt;=Premissas!$C$18,AK41+AL41,"")</f>
        <v/>
      </c>
      <c r="AN41" s="22" t="n">
        <f aca="false">AN40*(1+$P41)-AJ41</f>
        <v>336448.988346794</v>
      </c>
      <c r="AO41" s="22" t="n">
        <f aca="false">V41+S41</f>
        <v>79818.6497037302</v>
      </c>
    </row>
    <row r="42" customFormat="false" ht="15" hidden="false" customHeight="false" outlineLevel="0" collapsed="false">
      <c r="A42" s="26" t="n">
        <f aca="false">DATE(YEAR(A41),MONTH(A41)+1,1)</f>
        <v>47423</v>
      </c>
      <c r="B42" s="22" t="str">
        <f aca="false">IF($A42&lt;Premissas!$C$18,"Obra",IF($A42&lt;Premissas!$C$20,"Entrega/mobília","Airbnb"))</f>
        <v>Obra</v>
      </c>
      <c r="C42" s="36" t="n">
        <f aca="false">(YEAR($A42)-YEAR(Premissas!$C$16))*12+MONTH($A42)-MONTH(Premissas!$C$16)</f>
        <v>37</v>
      </c>
      <c r="D42" s="33" t="n">
        <f aca="false">IF($A42&gt;=Premissas!$C$20,Premissas!$C$31*IF(((YEAR($A42)-YEAR(Premissas!$C$20))*12+MONTH($A42)-MONTH(Premissas!$C$20))&lt;Premissas!$C$33,Premissas!$C$34,1),0)</f>
        <v>0</v>
      </c>
      <c r="E42" s="22" t="n">
        <f aca="false">D42*Premissas!$C$30*Premissas!$C$32*(1+Premissas!$C$58)^$C42</f>
        <v>0</v>
      </c>
      <c r="F42" s="22" t="n">
        <f aca="false">E42*Premissas!$C$35</f>
        <v>0</v>
      </c>
      <c r="G42" s="22" t="n">
        <f aca="false">E42*Premissas!$C$36</f>
        <v>0</v>
      </c>
      <c r="H42" s="22" t="n">
        <f aca="false">IF($A42&gt;=Premissas!$C$18,Premissas!$C$37*(1+Premissas!$C$58)^$C42,0)</f>
        <v>0</v>
      </c>
      <c r="I42" s="22" t="n">
        <f aca="false">IF($A42&gt;=Premissas!$C$20,Premissas!$C$38*(1+Premissas!$C$58)^$C42,0)</f>
        <v>0</v>
      </c>
      <c r="J42" s="22" t="n">
        <f aca="false">IF($A42&gt;=Premissas!$C$20,Premissas!$C$39*(1+Premissas!$C$58)^$C42,0)</f>
        <v>0</v>
      </c>
      <c r="K42" s="22" t="n">
        <f aca="false">IF($A42&gt;=Premissas!$C$20,MAX(0,E42-F42-G42-H42)*Premissas!$C$41,0)</f>
        <v>0</v>
      </c>
      <c r="L42" s="22" t="n">
        <f aca="false">E42-F42-G42-H42-I42-J42-K42</f>
        <v>0</v>
      </c>
      <c r="M42" s="22" t="n">
        <f aca="false">($A42=Premissas!$C$18)*Premissas!$C$26*Premissas!$C$60</f>
        <v>0</v>
      </c>
      <c r="N42" s="22" t="n">
        <f aca="false">IF(AND($A42&gt;=Premissas!$C$18,$A42&lt;Premissas!$C$20),Premissas!$C$27/MAX(1,Premissas!$C$19),0)</f>
        <v>0</v>
      </c>
      <c r="O42" s="22" t="str">
        <f aca="false">IF($A42&gt;=Premissas!$C$18,Premissas!$C$60*(1+Premissas!$C$59)^((YEAR($A42)-YEAR(Premissas!$C$18))*12+MONTH($A42)-MONTH(Premissas!$C$18)),"")</f>
        <v/>
      </c>
      <c r="P42" s="31" t="n">
        <f aca="false">(1+IF(YEAR($A42)&lt;=2026,Premissas!$C$49,IF(YEAR($A42)=2027,Premissas!$C$50,IF(YEAR($A42)=2028,Premissas!$C$51,Premissas!$C$52)))*(1-Premissas!$C$53))^(1/12)-1</f>
        <v>0.00682149336596227</v>
      </c>
      <c r="Q42" s="22" t="n">
        <f aca="false">($A42=Premissas!$C$16)*Premissas!$C$13</f>
        <v>0</v>
      </c>
      <c r="R42" s="22" t="n">
        <f aca="false">L42-M42-N42-Q42</f>
        <v>0</v>
      </c>
      <c r="S42" s="22" t="n">
        <f aca="false">S41+R42</f>
        <v>-250000</v>
      </c>
      <c r="T42" s="22" t="str">
        <f aca="false">IF($A42&gt;=Premissas!$C$18,O42*(1-Premissas!$C$45)-Premissas!$C$46*MAX(0,O42*(1-Premissas!$C$45)-(SUM($Q$5:$Q$355)+Premissas!$C$26*Premissas!$C$60)),"")</f>
        <v/>
      </c>
      <c r="U42" s="22" t="str">
        <f aca="false">IF($A42&gt;=Premissas!$C$18,S42+T42,"")</f>
        <v/>
      </c>
      <c r="V42" s="22" t="n">
        <f aca="false">V41*(1+$P42)-R42</f>
        <v>332068.505434655</v>
      </c>
      <c r="W42" s="22" t="n">
        <f aca="false">($A42=Premissas!$C$16)*Premissas!$C$9</f>
        <v>0</v>
      </c>
      <c r="X42" s="22" t="n">
        <f aca="false">L42-M42-N42-W42</f>
        <v>0</v>
      </c>
      <c r="Y42" s="22" t="n">
        <f aca="false">Y41+X42</f>
        <v>-280928</v>
      </c>
      <c r="Z42" s="22" t="str">
        <f aca="false">IF($A42&gt;=Premissas!$C$18,O42*(1-Premissas!$C$45)-Premissas!$C$46*MAX(0,O42*(1-Premissas!$C$45)-(SUM($W$5:$W$355)+Premissas!$C$26*Premissas!$C$60)),"")</f>
        <v/>
      </c>
      <c r="AA42" s="22" t="str">
        <f aca="false">IF($A42&gt;=Premissas!$C$18,Y42+Z42,"")</f>
        <v/>
      </c>
      <c r="AB42" s="22" t="n">
        <f aca="false">AB41*(1+$P42)-X42</f>
        <v>373149.364378987</v>
      </c>
      <c r="AC42" s="22" t="n">
        <f aca="false">AND($A42&gt;=Premissas!$C$16,$A42&lt;EDATE(Premissas!$C$16,3))*Premissas!$C$10/3*(1+Premissas!$C$56)^$C42</f>
        <v>0</v>
      </c>
      <c r="AD42" s="22" t="n">
        <f aca="false">L42-M42-N42-AC42</f>
        <v>0</v>
      </c>
      <c r="AE42" s="22" t="n">
        <f aca="false">AE41+AD42</f>
        <v>-288548.463880025</v>
      </c>
      <c r="AF42" s="22" t="str">
        <f aca="false">IF($A42&gt;=Premissas!$C$18,O42*(1-Premissas!$C$45)-Premissas!$C$46*MAX(0,O42*(1-Premissas!$C$45)-(SUM($AC$5:$AC$355)+Premissas!$C$26*Premissas!$C$60)),"")</f>
        <v/>
      </c>
      <c r="AG42" s="22" t="str">
        <f aca="false">IF($A42&gt;=Premissas!$C$18,AE42+AF42,"")</f>
        <v/>
      </c>
      <c r="AH42" s="22" t="n">
        <f aca="false">AH41*(1+$P42)-AD42</f>
        <v>379697.621600261</v>
      </c>
      <c r="AI42" s="22" t="n">
        <f aca="false">($A42=Premissas!$C$16)*0.2*Premissas!$C$11+AND($A42&gt;Premissas!$C$16,$A42&lt;=EDATE(Premissas!$C$16,43))*0.8*Premissas!$C$11/43*(1+Premissas!$C$56)^$C42</f>
        <v>6770.57066633861</v>
      </c>
      <c r="AJ42" s="22" t="n">
        <f aca="false">L42-M42-N42-AI42</f>
        <v>-6770.57066633861</v>
      </c>
      <c r="AK42" s="22" t="n">
        <f aca="false">AK41+AJ42</f>
        <v>-293148.97055705</v>
      </c>
      <c r="AL42" s="22" t="str">
        <f aca="false">IF($A42&gt;=Premissas!$C$18,O42*(1-Premissas!$C$45)-Premissas!$C$46*MAX(0,O42*(1-Premissas!$C$45)-(SUM($AI$5:$AI$355)+Premissas!$C$26*Premissas!$C$60)),"")</f>
        <v/>
      </c>
      <c r="AM42" s="22" t="str">
        <f aca="false">IF($A42&gt;=Premissas!$C$18,AK42+AL42,"")</f>
        <v/>
      </c>
      <c r="AN42" s="22" t="n">
        <f aca="false">AN41*(1+$P42)-AJ42</f>
        <v>345514.643555125</v>
      </c>
      <c r="AO42" s="22" t="n">
        <f aca="false">V42+S42</f>
        <v>82068.5054346548</v>
      </c>
    </row>
    <row r="43" customFormat="false" ht="15" hidden="false" customHeight="false" outlineLevel="0" collapsed="false">
      <c r="A43" s="26" t="n">
        <f aca="false">DATE(YEAR(A42),MONTH(A42)+1,1)</f>
        <v>47453</v>
      </c>
      <c r="B43" s="22" t="str">
        <f aca="false">IF($A43&lt;Premissas!$C$18,"Obra",IF($A43&lt;Premissas!$C$20,"Entrega/mobília","Airbnb"))</f>
        <v>Obra</v>
      </c>
      <c r="C43" s="36" t="n">
        <f aca="false">(YEAR($A43)-YEAR(Premissas!$C$16))*12+MONTH($A43)-MONTH(Premissas!$C$16)</f>
        <v>38</v>
      </c>
      <c r="D43" s="33" t="n">
        <f aca="false">IF($A43&gt;=Premissas!$C$20,Premissas!$C$31*IF(((YEAR($A43)-YEAR(Premissas!$C$20))*12+MONTH($A43)-MONTH(Premissas!$C$20))&lt;Premissas!$C$33,Premissas!$C$34,1),0)</f>
        <v>0</v>
      </c>
      <c r="E43" s="22" t="n">
        <f aca="false">D43*Premissas!$C$30*Premissas!$C$32*(1+Premissas!$C$58)^$C43</f>
        <v>0</v>
      </c>
      <c r="F43" s="22" t="n">
        <f aca="false">E43*Premissas!$C$35</f>
        <v>0</v>
      </c>
      <c r="G43" s="22" t="n">
        <f aca="false">E43*Premissas!$C$36</f>
        <v>0</v>
      </c>
      <c r="H43" s="22" t="n">
        <f aca="false">IF($A43&gt;=Premissas!$C$18,Premissas!$C$37*(1+Premissas!$C$58)^$C43,0)</f>
        <v>0</v>
      </c>
      <c r="I43" s="22" t="n">
        <f aca="false">IF($A43&gt;=Premissas!$C$20,Premissas!$C$38*(1+Premissas!$C$58)^$C43,0)</f>
        <v>0</v>
      </c>
      <c r="J43" s="22" t="n">
        <f aca="false">IF($A43&gt;=Premissas!$C$20,Premissas!$C$39*(1+Premissas!$C$58)^$C43,0)</f>
        <v>0</v>
      </c>
      <c r="K43" s="22" t="n">
        <f aca="false">IF($A43&gt;=Premissas!$C$20,MAX(0,E43-F43-G43-H43)*Premissas!$C$41,0)</f>
        <v>0</v>
      </c>
      <c r="L43" s="22" t="n">
        <f aca="false">E43-F43-G43-H43-I43-J43-K43</f>
        <v>0</v>
      </c>
      <c r="M43" s="22" t="n">
        <f aca="false">($A43=Premissas!$C$18)*Premissas!$C$26*Premissas!$C$60</f>
        <v>0</v>
      </c>
      <c r="N43" s="22" t="n">
        <f aca="false">IF(AND($A43&gt;=Premissas!$C$18,$A43&lt;Premissas!$C$20),Premissas!$C$27/MAX(1,Premissas!$C$19),0)</f>
        <v>0</v>
      </c>
      <c r="O43" s="22" t="str">
        <f aca="false">IF($A43&gt;=Premissas!$C$18,Premissas!$C$60*(1+Premissas!$C$59)^((YEAR($A43)-YEAR(Premissas!$C$18))*12+MONTH($A43)-MONTH(Premissas!$C$18)),"")</f>
        <v/>
      </c>
      <c r="P43" s="31" t="n">
        <f aca="false">(1+IF(YEAR($A43)&lt;=2026,Premissas!$C$49,IF(YEAR($A43)=2027,Premissas!$C$50,IF(YEAR($A43)=2028,Premissas!$C$51,Premissas!$C$52)))*(1-Premissas!$C$53))^(1/12)-1</f>
        <v>0.00682149336596227</v>
      </c>
      <c r="Q43" s="22" t="n">
        <f aca="false">($A43=Premissas!$C$16)*Premissas!$C$13</f>
        <v>0</v>
      </c>
      <c r="R43" s="22" t="n">
        <f aca="false">L43-M43-N43-Q43</f>
        <v>0</v>
      </c>
      <c r="S43" s="22" t="n">
        <f aca="false">S42+R43</f>
        <v>-250000</v>
      </c>
      <c r="T43" s="22" t="str">
        <f aca="false">IF($A43&gt;=Premissas!$C$18,O43*(1-Premissas!$C$45)-Premissas!$C$46*MAX(0,O43*(1-Premissas!$C$45)-(SUM($Q$5:$Q$355)+Premissas!$C$26*Premissas!$C$60)),"")</f>
        <v/>
      </c>
      <c r="U43" s="22" t="str">
        <f aca="false">IF($A43&gt;=Premissas!$C$18,S43+T43,"")</f>
        <v/>
      </c>
      <c r="V43" s="22" t="n">
        <f aca="false">V42*(1+$P43)-R43</f>
        <v>334333.708541522</v>
      </c>
      <c r="W43" s="22" t="n">
        <f aca="false">($A43=Premissas!$C$16)*Premissas!$C$9</f>
        <v>0</v>
      </c>
      <c r="X43" s="22" t="n">
        <f aca="false">L43-M43-N43-W43</f>
        <v>0</v>
      </c>
      <c r="Y43" s="22" t="n">
        <f aca="false">Y42+X43</f>
        <v>-280928</v>
      </c>
      <c r="Z43" s="22" t="str">
        <f aca="false">IF($A43&gt;=Premissas!$C$18,O43*(1-Premissas!$C$45)-Premissas!$C$46*MAX(0,O43*(1-Premissas!$C$45)-(SUM($W$5:$W$355)+Premissas!$C$26*Premissas!$C$60)),"")</f>
        <v/>
      </c>
      <c r="AA43" s="22" t="str">
        <f aca="false">IF($A43&gt;=Premissas!$C$18,Y43+Z43,"")</f>
        <v/>
      </c>
      <c r="AB43" s="22" t="n">
        <f aca="false">AB42*(1+$P43)-X43</f>
        <v>375694.800292611</v>
      </c>
      <c r="AC43" s="22" t="n">
        <f aca="false">AND($A43&gt;=Premissas!$C$16,$A43&lt;EDATE(Premissas!$C$16,3))*Premissas!$C$10/3*(1+Premissas!$C$56)^$C43</f>
        <v>0</v>
      </c>
      <c r="AD43" s="22" t="n">
        <f aca="false">L43-M43-N43-AC43</f>
        <v>0</v>
      </c>
      <c r="AE43" s="22" t="n">
        <f aca="false">AE42+AD43</f>
        <v>-288548.463880025</v>
      </c>
      <c r="AF43" s="22" t="str">
        <f aca="false">IF($A43&gt;=Premissas!$C$18,O43*(1-Premissas!$C$45)-Premissas!$C$46*MAX(0,O43*(1-Premissas!$C$45)-(SUM($AC$5:$AC$355)+Premissas!$C$26*Premissas!$C$60)),"")</f>
        <v/>
      </c>
      <c r="AG43" s="22" t="str">
        <f aca="false">IF($A43&gt;=Premissas!$C$18,AE43+AF43,"")</f>
        <v/>
      </c>
      <c r="AH43" s="22" t="n">
        <f aca="false">AH42*(1+$P43)-AD43</f>
        <v>382287.726407078</v>
      </c>
      <c r="AI43" s="22" t="n">
        <f aca="false">($A43=Premissas!$C$16)*0.2*Premissas!$C$11+AND($A43&gt;Premissas!$C$16,$A43&lt;=EDATE(Premissas!$C$16,43))*0.8*Premissas!$C$11/43*(1+Premissas!$C$56)^$C43</f>
        <v>6800.84661985504</v>
      </c>
      <c r="AJ43" s="22" t="n">
        <f aca="false">L43-M43-N43-AI43</f>
        <v>-6800.84661985504</v>
      </c>
      <c r="AK43" s="22" t="n">
        <f aca="false">AK42+AJ43</f>
        <v>-299949.817176905</v>
      </c>
      <c r="AL43" s="22" t="str">
        <f aca="false">IF($A43&gt;=Premissas!$C$18,O43*(1-Premissas!$C$45)-Premissas!$C$46*MAX(0,O43*(1-Premissas!$C$45)-(SUM($AI$5:$AI$355)+Premissas!$C$26*Premissas!$C$60)),"")</f>
        <v/>
      </c>
      <c r="AM43" s="22" t="str">
        <f aca="false">IF($A43&gt;=Premissas!$C$18,AK43+AL43,"")</f>
        <v/>
      </c>
      <c r="AN43" s="22" t="n">
        <f aca="false">AN42*(1+$P43)-AJ43</f>
        <v>354672.416023834</v>
      </c>
      <c r="AO43" s="22" t="n">
        <f aca="false">V43+S43</f>
        <v>84333.7085415223</v>
      </c>
    </row>
    <row r="44" customFormat="false" ht="15" hidden="false" customHeight="false" outlineLevel="0" collapsed="false">
      <c r="A44" s="26" t="n">
        <f aca="false">DATE(YEAR(A43),MONTH(A43)+1,1)</f>
        <v>47484</v>
      </c>
      <c r="B44" s="22" t="str">
        <f aca="false">IF($A44&lt;Premissas!$C$18,"Obra",IF($A44&lt;Premissas!$C$20,"Entrega/mobília","Airbnb"))</f>
        <v>Obra</v>
      </c>
      <c r="C44" s="36" t="n">
        <f aca="false">(YEAR($A44)-YEAR(Premissas!$C$16))*12+MONTH($A44)-MONTH(Premissas!$C$16)</f>
        <v>39</v>
      </c>
      <c r="D44" s="33" t="n">
        <f aca="false">IF($A44&gt;=Premissas!$C$20,Premissas!$C$31*IF(((YEAR($A44)-YEAR(Premissas!$C$20))*12+MONTH($A44)-MONTH(Premissas!$C$20))&lt;Premissas!$C$33,Premissas!$C$34,1),0)</f>
        <v>0</v>
      </c>
      <c r="E44" s="22" t="n">
        <f aca="false">D44*Premissas!$C$30*Premissas!$C$32*(1+Premissas!$C$58)^$C44</f>
        <v>0</v>
      </c>
      <c r="F44" s="22" t="n">
        <f aca="false">E44*Premissas!$C$35</f>
        <v>0</v>
      </c>
      <c r="G44" s="22" t="n">
        <f aca="false">E44*Premissas!$C$36</f>
        <v>0</v>
      </c>
      <c r="H44" s="22" t="n">
        <f aca="false">IF($A44&gt;=Premissas!$C$18,Premissas!$C$37*(1+Premissas!$C$58)^$C44,0)</f>
        <v>0</v>
      </c>
      <c r="I44" s="22" t="n">
        <f aca="false">IF($A44&gt;=Premissas!$C$20,Premissas!$C$38*(1+Premissas!$C$58)^$C44,0)</f>
        <v>0</v>
      </c>
      <c r="J44" s="22" t="n">
        <f aca="false">IF($A44&gt;=Premissas!$C$20,Premissas!$C$39*(1+Premissas!$C$58)^$C44,0)</f>
        <v>0</v>
      </c>
      <c r="K44" s="22" t="n">
        <f aca="false">IF($A44&gt;=Premissas!$C$20,MAX(0,E44-F44-G44-H44)*Premissas!$C$41,0)</f>
        <v>0</v>
      </c>
      <c r="L44" s="22" t="n">
        <f aca="false">E44-F44-G44-H44-I44-J44-K44</f>
        <v>0</v>
      </c>
      <c r="M44" s="22" t="n">
        <f aca="false">($A44=Premissas!$C$18)*Premissas!$C$26*Premissas!$C$60</f>
        <v>0</v>
      </c>
      <c r="N44" s="22" t="n">
        <f aca="false">IF(AND($A44&gt;=Premissas!$C$18,$A44&lt;Premissas!$C$20),Premissas!$C$27/MAX(1,Premissas!$C$19),0)</f>
        <v>0</v>
      </c>
      <c r="O44" s="22" t="str">
        <f aca="false">IF($A44&gt;=Premissas!$C$18,Premissas!$C$60*(1+Premissas!$C$59)^((YEAR($A44)-YEAR(Premissas!$C$18))*12+MONTH($A44)-MONTH(Premissas!$C$18)),"")</f>
        <v/>
      </c>
      <c r="P44" s="31" t="n">
        <f aca="false">(1+IF(YEAR($A44)&lt;=2026,Premissas!$C$49,IF(YEAR($A44)=2027,Premissas!$C$50,IF(YEAR($A44)=2028,Premissas!$C$51,Premissas!$C$52)))*(1-Premissas!$C$53))^(1/12)-1</f>
        <v>0.00682149336596227</v>
      </c>
      <c r="Q44" s="22" t="n">
        <f aca="false">($A44=Premissas!$C$16)*Premissas!$C$13</f>
        <v>0</v>
      </c>
      <c r="R44" s="22" t="n">
        <f aca="false">L44-M44-N44-Q44</f>
        <v>0</v>
      </c>
      <c r="S44" s="22" t="n">
        <f aca="false">S43+R44</f>
        <v>-250000</v>
      </c>
      <c r="T44" s="22" t="str">
        <f aca="false">IF($A44&gt;=Premissas!$C$18,O44*(1-Premissas!$C$45)-Premissas!$C$46*MAX(0,O44*(1-Premissas!$C$45)-(SUM($Q$5:$Q$355)+Premissas!$C$26*Premissas!$C$60)),"")</f>
        <v/>
      </c>
      <c r="U44" s="22" t="str">
        <f aca="false">IF($A44&gt;=Premissas!$C$18,S44+T44,"")</f>
        <v/>
      </c>
      <c r="V44" s="22" t="n">
        <f aca="false">V43*(1+$P44)-R44</f>
        <v>336614.363716356</v>
      </c>
      <c r="W44" s="22" t="n">
        <f aca="false">($A44=Premissas!$C$16)*Premissas!$C$9</f>
        <v>0</v>
      </c>
      <c r="X44" s="22" t="n">
        <f aca="false">L44-M44-N44-W44</f>
        <v>0</v>
      </c>
      <c r="Y44" s="22" t="n">
        <f aca="false">Y43+X44</f>
        <v>-280928</v>
      </c>
      <c r="Z44" s="22" t="str">
        <f aca="false">IF($A44&gt;=Premissas!$C$18,O44*(1-Premissas!$C$45)-Premissas!$C$46*MAX(0,O44*(1-Premissas!$C$45)-(SUM($W$5:$W$355)+Premissas!$C$26*Premissas!$C$60)),"")</f>
        <v/>
      </c>
      <c r="AA44" s="22" t="str">
        <f aca="false">IF($A44&gt;=Premissas!$C$18,Y44+Z44,"")</f>
        <v/>
      </c>
      <c r="AB44" s="22" t="n">
        <f aca="false">AB43*(1+$P44)-X44</f>
        <v>378257.599880434</v>
      </c>
      <c r="AC44" s="22" t="n">
        <f aca="false">AND($A44&gt;=Premissas!$C$16,$A44&lt;EDATE(Premissas!$C$16,3))*Premissas!$C$10/3*(1+Premissas!$C$56)^$C44</f>
        <v>0</v>
      </c>
      <c r="AD44" s="22" t="n">
        <f aca="false">L44-M44-N44-AC44</f>
        <v>0</v>
      </c>
      <c r="AE44" s="22" t="n">
        <f aca="false">AE43+AD44</f>
        <v>-288548.463880025</v>
      </c>
      <c r="AF44" s="22" t="str">
        <f aca="false">IF($A44&gt;=Premissas!$C$18,O44*(1-Premissas!$C$45)-Premissas!$C$46*MAX(0,O44*(1-Premissas!$C$45)-(SUM($AC$5:$AC$355)+Premissas!$C$26*Premissas!$C$60)),"")</f>
        <v/>
      </c>
      <c r="AG44" s="22" t="str">
        <f aca="false">IF($A44&gt;=Premissas!$C$18,AE44+AF44,"")</f>
        <v/>
      </c>
      <c r="AH44" s="22" t="n">
        <f aca="false">AH43*(1+$P44)-AD44</f>
        <v>384895.499596653</v>
      </c>
      <c r="AI44" s="22" t="n">
        <f aca="false">($A44=Premissas!$C$16)*0.2*Premissas!$C$11+AND($A44&gt;Premissas!$C$16,$A44&lt;=EDATE(Premissas!$C$16,43))*0.8*Premissas!$C$11/43*(1+Premissas!$C$56)^$C44</f>
        <v>6831.25795832002</v>
      </c>
      <c r="AJ44" s="22" t="n">
        <f aca="false">L44-M44-N44-AI44</f>
        <v>-6831.25795832002</v>
      </c>
      <c r="AK44" s="22" t="n">
        <f aca="false">AK43+AJ44</f>
        <v>-306781.075135225</v>
      </c>
      <c r="AL44" s="22" t="str">
        <f aca="false">IF($A44&gt;=Premissas!$C$18,O44*(1-Premissas!$C$45)-Premissas!$C$46*MAX(0,O44*(1-Premissas!$C$45)-(SUM($AI$5:$AI$355)+Premissas!$C$26*Premissas!$C$60)),"")</f>
        <v/>
      </c>
      <c r="AM44" s="22" t="str">
        <f aca="false">IF($A44&gt;=Premissas!$C$18,AK44+AL44,"")</f>
        <v/>
      </c>
      <c r="AN44" s="22" t="n">
        <f aca="false">AN43*(1+$P44)-AJ44</f>
        <v>363923.06951515</v>
      </c>
      <c r="AO44" s="22" t="n">
        <f aca="false">V44+S44</f>
        <v>86614.3637163559</v>
      </c>
    </row>
    <row r="45" customFormat="false" ht="15" hidden="false" customHeight="false" outlineLevel="0" collapsed="false">
      <c r="A45" s="26" t="n">
        <f aca="false">DATE(YEAR(A44),MONTH(A44)+1,1)</f>
        <v>47515</v>
      </c>
      <c r="B45" s="22" t="str">
        <f aca="false">IF($A45&lt;Premissas!$C$18,"Obra",IF($A45&lt;Premissas!$C$20,"Entrega/mobília","Airbnb"))</f>
        <v>Obra</v>
      </c>
      <c r="C45" s="36" t="n">
        <f aca="false">(YEAR($A45)-YEAR(Premissas!$C$16))*12+MONTH($A45)-MONTH(Premissas!$C$16)</f>
        <v>40</v>
      </c>
      <c r="D45" s="33" t="n">
        <f aca="false">IF($A45&gt;=Premissas!$C$20,Premissas!$C$31*IF(((YEAR($A45)-YEAR(Premissas!$C$20))*12+MONTH($A45)-MONTH(Premissas!$C$20))&lt;Premissas!$C$33,Premissas!$C$34,1),0)</f>
        <v>0</v>
      </c>
      <c r="E45" s="22" t="n">
        <f aca="false">D45*Premissas!$C$30*Premissas!$C$32*(1+Premissas!$C$58)^$C45</f>
        <v>0</v>
      </c>
      <c r="F45" s="22" t="n">
        <f aca="false">E45*Premissas!$C$35</f>
        <v>0</v>
      </c>
      <c r="G45" s="22" t="n">
        <f aca="false">E45*Premissas!$C$36</f>
        <v>0</v>
      </c>
      <c r="H45" s="22" t="n">
        <f aca="false">IF($A45&gt;=Premissas!$C$18,Premissas!$C$37*(1+Premissas!$C$58)^$C45,0)</f>
        <v>0</v>
      </c>
      <c r="I45" s="22" t="n">
        <f aca="false">IF($A45&gt;=Premissas!$C$20,Premissas!$C$38*(1+Premissas!$C$58)^$C45,0)</f>
        <v>0</v>
      </c>
      <c r="J45" s="22" t="n">
        <f aca="false">IF($A45&gt;=Premissas!$C$20,Premissas!$C$39*(1+Premissas!$C$58)^$C45,0)</f>
        <v>0</v>
      </c>
      <c r="K45" s="22" t="n">
        <f aca="false">IF($A45&gt;=Premissas!$C$20,MAX(0,E45-F45-G45-H45)*Premissas!$C$41,0)</f>
        <v>0</v>
      </c>
      <c r="L45" s="22" t="n">
        <f aca="false">E45-F45-G45-H45-I45-J45-K45</f>
        <v>0</v>
      </c>
      <c r="M45" s="22" t="n">
        <f aca="false">($A45=Premissas!$C$18)*Premissas!$C$26*Premissas!$C$60</f>
        <v>0</v>
      </c>
      <c r="N45" s="22" t="n">
        <f aca="false">IF(AND($A45&gt;=Premissas!$C$18,$A45&lt;Premissas!$C$20),Premissas!$C$27/MAX(1,Premissas!$C$19),0)</f>
        <v>0</v>
      </c>
      <c r="O45" s="22" t="str">
        <f aca="false">IF($A45&gt;=Premissas!$C$18,Premissas!$C$60*(1+Premissas!$C$59)^((YEAR($A45)-YEAR(Premissas!$C$18))*12+MONTH($A45)-MONTH(Premissas!$C$18)),"")</f>
        <v/>
      </c>
      <c r="P45" s="31" t="n">
        <f aca="false">(1+IF(YEAR($A45)&lt;=2026,Premissas!$C$49,IF(YEAR($A45)=2027,Premissas!$C$50,IF(YEAR($A45)=2028,Premissas!$C$51,Premissas!$C$52)))*(1-Premissas!$C$53))^(1/12)-1</f>
        <v>0.00682149336596227</v>
      </c>
      <c r="Q45" s="22" t="n">
        <f aca="false">($A45=Premissas!$C$16)*Premissas!$C$13</f>
        <v>0</v>
      </c>
      <c r="R45" s="22" t="n">
        <f aca="false">L45-M45-N45-Q45</f>
        <v>0</v>
      </c>
      <c r="S45" s="22" t="n">
        <f aca="false">S44+R45</f>
        <v>-250000</v>
      </c>
      <c r="T45" s="22" t="str">
        <f aca="false">IF($A45&gt;=Premissas!$C$18,O45*(1-Premissas!$C$45)-Premissas!$C$46*MAX(0,O45*(1-Premissas!$C$45)-(SUM($Q$5:$Q$355)+Premissas!$C$26*Premissas!$C$60)),"")</f>
        <v/>
      </c>
      <c r="U45" s="22" t="str">
        <f aca="false">IF($A45&gt;=Premissas!$C$18,S45+T45,"")</f>
        <v/>
      </c>
      <c r="V45" s="22" t="n">
        <f aca="false">V44*(1+$P45)-R45</f>
        <v>338910.576365335</v>
      </c>
      <c r="W45" s="22" t="n">
        <f aca="false">($A45=Premissas!$C$16)*Premissas!$C$9</f>
        <v>0</v>
      </c>
      <c r="X45" s="22" t="n">
        <f aca="false">L45-M45-N45-W45</f>
        <v>0</v>
      </c>
      <c r="Y45" s="22" t="n">
        <f aca="false">Y44+X45</f>
        <v>-280928</v>
      </c>
      <c r="Z45" s="22" t="str">
        <f aca="false">IF($A45&gt;=Premissas!$C$18,O45*(1-Premissas!$C$45)-Premissas!$C$46*MAX(0,O45*(1-Premissas!$C$45)-(SUM($W$5:$W$355)+Premissas!$C$26*Premissas!$C$60)),"")</f>
        <v/>
      </c>
      <c r="AA45" s="22" t="str">
        <f aca="false">IF($A45&gt;=Premissas!$C$18,Y45+Z45,"")</f>
        <v/>
      </c>
      <c r="AB45" s="22" t="n">
        <f aca="false">AB44*(1+$P45)-X45</f>
        <v>380837.881588643</v>
      </c>
      <c r="AC45" s="22" t="n">
        <f aca="false">AND($A45&gt;=Premissas!$C$16,$A45&lt;EDATE(Premissas!$C$16,3))*Premissas!$C$10/3*(1+Premissas!$C$56)^$C45</f>
        <v>0</v>
      </c>
      <c r="AD45" s="22" t="n">
        <f aca="false">L45-M45-N45-AC45</f>
        <v>0</v>
      </c>
      <c r="AE45" s="22" t="n">
        <f aca="false">AE44+AD45</f>
        <v>-288548.463880025</v>
      </c>
      <c r="AF45" s="22" t="str">
        <f aca="false">IF($A45&gt;=Premissas!$C$18,O45*(1-Premissas!$C$45)-Premissas!$C$46*MAX(0,O45*(1-Premissas!$C$45)-(SUM($AC$5:$AC$355)+Premissas!$C$26*Premissas!$C$60)),"")</f>
        <v/>
      </c>
      <c r="AG45" s="22" t="str">
        <f aca="false">IF($A45&gt;=Premissas!$C$18,AE45+AF45,"")</f>
        <v/>
      </c>
      <c r="AH45" s="22" t="n">
        <f aca="false">AH44*(1+$P45)-AD45</f>
        <v>387521.061693741</v>
      </c>
      <c r="AI45" s="22" t="n">
        <f aca="false">($A45=Premissas!$C$16)*0.2*Premissas!$C$11+AND($A45&gt;Premissas!$C$16,$A45&lt;=EDATE(Premissas!$C$16,43))*0.8*Premissas!$C$11/43*(1+Premissas!$C$56)^$C45</f>
        <v>6861.80528713428</v>
      </c>
      <c r="AJ45" s="22" t="n">
        <f aca="false">L45-M45-N45-AI45</f>
        <v>-6861.80528713428</v>
      </c>
      <c r="AK45" s="22" t="n">
        <f aca="false">AK44+AJ45</f>
        <v>-313642.880422359</v>
      </c>
      <c r="AL45" s="22" t="str">
        <f aca="false">IF($A45&gt;=Premissas!$C$18,O45*(1-Premissas!$C$45)-Premissas!$C$46*MAX(0,O45*(1-Premissas!$C$45)-(SUM($AI$5:$AI$355)+Premissas!$C$26*Premissas!$C$60)),"")</f>
        <v/>
      </c>
      <c r="AM45" s="22" t="str">
        <f aca="false">IF($A45&gt;=Premissas!$C$18,AK45+AL45,"")</f>
        <v/>
      </c>
      <c r="AN45" s="22" t="n">
        <f aca="false">AN44*(1+$P45)-AJ45</f>
        <v>373267.373606703</v>
      </c>
      <c r="AO45" s="22" t="n">
        <f aca="false">V45+S45</f>
        <v>88910.5763653346</v>
      </c>
    </row>
    <row r="46" customFormat="false" ht="15" hidden="false" customHeight="false" outlineLevel="0" collapsed="false">
      <c r="A46" s="26" t="n">
        <f aca="false">DATE(YEAR(A45),MONTH(A45)+1,1)</f>
        <v>47543</v>
      </c>
      <c r="B46" s="22" t="str">
        <f aca="false">IF($A46&lt;Premissas!$C$18,"Obra",IF($A46&lt;Premissas!$C$20,"Entrega/mobília","Airbnb"))</f>
        <v>Obra</v>
      </c>
      <c r="C46" s="36" t="n">
        <f aca="false">(YEAR($A46)-YEAR(Premissas!$C$16))*12+MONTH($A46)-MONTH(Premissas!$C$16)</f>
        <v>41</v>
      </c>
      <c r="D46" s="33" t="n">
        <f aca="false">IF($A46&gt;=Premissas!$C$20,Premissas!$C$31*IF(((YEAR($A46)-YEAR(Premissas!$C$20))*12+MONTH($A46)-MONTH(Premissas!$C$20))&lt;Premissas!$C$33,Premissas!$C$34,1),0)</f>
        <v>0</v>
      </c>
      <c r="E46" s="22" t="n">
        <f aca="false">D46*Premissas!$C$30*Premissas!$C$32*(1+Premissas!$C$58)^$C46</f>
        <v>0</v>
      </c>
      <c r="F46" s="22" t="n">
        <f aca="false">E46*Premissas!$C$35</f>
        <v>0</v>
      </c>
      <c r="G46" s="22" t="n">
        <f aca="false">E46*Premissas!$C$36</f>
        <v>0</v>
      </c>
      <c r="H46" s="22" t="n">
        <f aca="false">IF($A46&gt;=Premissas!$C$18,Premissas!$C$37*(1+Premissas!$C$58)^$C46,0)</f>
        <v>0</v>
      </c>
      <c r="I46" s="22" t="n">
        <f aca="false">IF($A46&gt;=Premissas!$C$20,Premissas!$C$38*(1+Premissas!$C$58)^$C46,0)</f>
        <v>0</v>
      </c>
      <c r="J46" s="22" t="n">
        <f aca="false">IF($A46&gt;=Premissas!$C$20,Premissas!$C$39*(1+Premissas!$C$58)^$C46,0)</f>
        <v>0</v>
      </c>
      <c r="K46" s="22" t="n">
        <f aca="false">IF($A46&gt;=Premissas!$C$20,MAX(0,E46-F46-G46-H46)*Premissas!$C$41,0)</f>
        <v>0</v>
      </c>
      <c r="L46" s="22" t="n">
        <f aca="false">E46-F46-G46-H46-I46-J46-K46</f>
        <v>0</v>
      </c>
      <c r="M46" s="22" t="n">
        <f aca="false">($A46=Premissas!$C$18)*Premissas!$C$26*Premissas!$C$60</f>
        <v>0</v>
      </c>
      <c r="N46" s="22" t="n">
        <f aca="false">IF(AND($A46&gt;=Premissas!$C$18,$A46&lt;Premissas!$C$20),Premissas!$C$27/MAX(1,Premissas!$C$19),0)</f>
        <v>0</v>
      </c>
      <c r="O46" s="22" t="str">
        <f aca="false">IF($A46&gt;=Premissas!$C$18,Premissas!$C$60*(1+Premissas!$C$59)^((YEAR($A46)-YEAR(Premissas!$C$18))*12+MONTH($A46)-MONTH(Premissas!$C$18)),"")</f>
        <v/>
      </c>
      <c r="P46" s="31" t="n">
        <f aca="false">(1+IF(YEAR($A46)&lt;=2026,Premissas!$C$49,IF(YEAR($A46)=2027,Premissas!$C$50,IF(YEAR($A46)=2028,Premissas!$C$51,Premissas!$C$52)))*(1-Premissas!$C$53))^(1/12)-1</f>
        <v>0.00682149336596227</v>
      </c>
      <c r="Q46" s="22" t="n">
        <f aca="false">($A46=Premissas!$C$16)*Premissas!$C$13</f>
        <v>0</v>
      </c>
      <c r="R46" s="22" t="n">
        <f aca="false">L46-M46-N46-Q46</f>
        <v>0</v>
      </c>
      <c r="S46" s="22" t="n">
        <f aca="false">S45+R46</f>
        <v>-250000</v>
      </c>
      <c r="T46" s="22" t="str">
        <f aca="false">IF($A46&gt;=Premissas!$C$18,O46*(1-Premissas!$C$45)-Premissas!$C$46*MAX(0,O46*(1-Premissas!$C$45)-(SUM($Q$5:$Q$355)+Premissas!$C$26*Premissas!$C$60)),"")</f>
        <v/>
      </c>
      <c r="U46" s="22" t="str">
        <f aca="false">IF($A46&gt;=Premissas!$C$18,S46+T46,"")</f>
        <v/>
      </c>
      <c r="V46" s="22" t="n">
        <f aca="false">V45*(1+$P46)-R46</f>
        <v>341222.452613665</v>
      </c>
      <c r="W46" s="22" t="n">
        <f aca="false">($A46=Premissas!$C$16)*Premissas!$C$9</f>
        <v>0</v>
      </c>
      <c r="X46" s="22" t="n">
        <f aca="false">L46-M46-N46-W46</f>
        <v>0</v>
      </c>
      <c r="Y46" s="22" t="n">
        <f aca="false">Y45+X46</f>
        <v>-280928</v>
      </c>
      <c r="Z46" s="22" t="str">
        <f aca="false">IF($A46&gt;=Premissas!$C$18,O46*(1-Premissas!$C$45)-Premissas!$C$46*MAX(0,O46*(1-Premissas!$C$45)-(SUM($W$5:$W$355)+Premissas!$C$26*Premissas!$C$60)),"")</f>
        <v/>
      </c>
      <c r="AA46" s="22" t="str">
        <f aca="false">IF($A46&gt;=Premissas!$C$18,Y46+Z46,"")</f>
        <v/>
      </c>
      <c r="AB46" s="22" t="n">
        <f aca="false">AB45*(1+$P46)-X46</f>
        <v>383435.764671407</v>
      </c>
      <c r="AC46" s="22" t="n">
        <f aca="false">AND($A46&gt;=Premissas!$C$16,$A46&lt;EDATE(Premissas!$C$16,3))*Premissas!$C$10/3*(1+Premissas!$C$56)^$C46</f>
        <v>0</v>
      </c>
      <c r="AD46" s="22" t="n">
        <f aca="false">L46-M46-N46-AC46</f>
        <v>0</v>
      </c>
      <c r="AE46" s="22" t="n">
        <f aca="false">AE45+AD46</f>
        <v>-288548.463880025</v>
      </c>
      <c r="AF46" s="22" t="str">
        <f aca="false">IF($A46&gt;=Premissas!$C$18,O46*(1-Premissas!$C$45)-Premissas!$C$46*MAX(0,O46*(1-Premissas!$C$45)-(SUM($AC$5:$AC$355)+Premissas!$C$26*Premissas!$C$60)),"")</f>
        <v/>
      </c>
      <c r="AG46" s="22" t="str">
        <f aca="false">IF($A46&gt;=Premissas!$C$18,AE46+AF46,"")</f>
        <v/>
      </c>
      <c r="AH46" s="22" t="n">
        <f aca="false">AH45*(1+$P46)-AD46</f>
        <v>390164.534045255</v>
      </c>
      <c r="AI46" s="22" t="n">
        <f aca="false">($A46=Premissas!$C$16)*0.2*Premissas!$C$11+AND($A46&gt;Premissas!$C$16,$A46&lt;=EDATE(Premissas!$C$16,43))*0.8*Premissas!$C$11/43*(1+Premissas!$C$56)^$C46</f>
        <v>6892.48921440572</v>
      </c>
      <c r="AJ46" s="22" t="n">
        <f aca="false">L46-M46-N46-AI46</f>
        <v>-6892.48921440572</v>
      </c>
      <c r="AK46" s="22" t="n">
        <f aca="false">AK45+AJ46</f>
        <v>-320535.369636765</v>
      </c>
      <c r="AL46" s="22" t="str">
        <f aca="false">IF($A46&gt;=Premissas!$C$18,O46*(1-Premissas!$C$45)-Premissas!$C$46*MAX(0,O46*(1-Premissas!$C$45)-(SUM($AI$5:$AI$355)+Premissas!$C$26*Premissas!$C$60)),"")</f>
        <v/>
      </c>
      <c r="AM46" s="22" t="str">
        <f aca="false">IF($A46&gt;=Premissas!$C$18,AK46+AL46,"")</f>
        <v/>
      </c>
      <c r="AN46" s="22" t="n">
        <f aca="false">AN45*(1+$P46)-AJ46</f>
        <v>382706.103733897</v>
      </c>
      <c r="AO46" s="22" t="n">
        <f aca="false">V46+S46</f>
        <v>91222.4526136652</v>
      </c>
    </row>
    <row r="47" customFormat="false" ht="15" hidden="false" customHeight="false" outlineLevel="0" collapsed="false">
      <c r="A47" s="26" t="n">
        <f aca="false">DATE(YEAR(A46),MONTH(A46)+1,1)</f>
        <v>47574</v>
      </c>
      <c r="B47" s="22" t="str">
        <f aca="false">IF($A47&lt;Premissas!$C$18,"Obra",IF($A47&lt;Premissas!$C$20,"Entrega/mobília","Airbnb"))</f>
        <v>Obra</v>
      </c>
      <c r="C47" s="36" t="n">
        <f aca="false">(YEAR($A47)-YEAR(Premissas!$C$16))*12+MONTH($A47)-MONTH(Premissas!$C$16)</f>
        <v>42</v>
      </c>
      <c r="D47" s="33" t="n">
        <f aca="false">IF($A47&gt;=Premissas!$C$20,Premissas!$C$31*IF(((YEAR($A47)-YEAR(Premissas!$C$20))*12+MONTH($A47)-MONTH(Premissas!$C$20))&lt;Premissas!$C$33,Premissas!$C$34,1),0)</f>
        <v>0</v>
      </c>
      <c r="E47" s="22" t="n">
        <f aca="false">D47*Premissas!$C$30*Premissas!$C$32*(1+Premissas!$C$58)^$C47</f>
        <v>0</v>
      </c>
      <c r="F47" s="22" t="n">
        <f aca="false">E47*Premissas!$C$35</f>
        <v>0</v>
      </c>
      <c r="G47" s="22" t="n">
        <f aca="false">E47*Premissas!$C$36</f>
        <v>0</v>
      </c>
      <c r="H47" s="22" t="n">
        <f aca="false">IF($A47&gt;=Premissas!$C$18,Premissas!$C$37*(1+Premissas!$C$58)^$C47,0)</f>
        <v>0</v>
      </c>
      <c r="I47" s="22" t="n">
        <f aca="false">IF($A47&gt;=Premissas!$C$20,Premissas!$C$38*(1+Premissas!$C$58)^$C47,0)</f>
        <v>0</v>
      </c>
      <c r="J47" s="22" t="n">
        <f aca="false">IF($A47&gt;=Premissas!$C$20,Premissas!$C$39*(1+Premissas!$C$58)^$C47,0)</f>
        <v>0</v>
      </c>
      <c r="K47" s="22" t="n">
        <f aca="false">IF($A47&gt;=Premissas!$C$20,MAX(0,E47-F47-G47-H47)*Premissas!$C$41,0)</f>
        <v>0</v>
      </c>
      <c r="L47" s="22" t="n">
        <f aca="false">E47-F47-G47-H47-I47-J47-K47</f>
        <v>0</v>
      </c>
      <c r="M47" s="22" t="n">
        <f aca="false">($A47=Premissas!$C$18)*Premissas!$C$26*Premissas!$C$60</f>
        <v>0</v>
      </c>
      <c r="N47" s="22" t="n">
        <f aca="false">IF(AND($A47&gt;=Premissas!$C$18,$A47&lt;Premissas!$C$20),Premissas!$C$27/MAX(1,Premissas!$C$19),0)</f>
        <v>0</v>
      </c>
      <c r="O47" s="22" t="str">
        <f aca="false">IF($A47&gt;=Premissas!$C$18,Premissas!$C$60*(1+Premissas!$C$59)^((YEAR($A47)-YEAR(Premissas!$C$18))*12+MONTH($A47)-MONTH(Premissas!$C$18)),"")</f>
        <v/>
      </c>
      <c r="P47" s="31" t="n">
        <f aca="false">(1+IF(YEAR($A47)&lt;=2026,Premissas!$C$49,IF(YEAR($A47)=2027,Premissas!$C$50,IF(YEAR($A47)=2028,Premissas!$C$51,Premissas!$C$52)))*(1-Premissas!$C$53))^(1/12)-1</f>
        <v>0.00682149336596227</v>
      </c>
      <c r="Q47" s="22" t="n">
        <f aca="false">($A47=Premissas!$C$16)*Premissas!$C$13</f>
        <v>0</v>
      </c>
      <c r="R47" s="22" t="n">
        <f aca="false">L47-M47-N47-Q47</f>
        <v>0</v>
      </c>
      <c r="S47" s="22" t="n">
        <f aca="false">S46+R47</f>
        <v>-250000</v>
      </c>
      <c r="T47" s="22" t="str">
        <f aca="false">IF($A47&gt;=Premissas!$C$18,O47*(1-Premissas!$C$45)-Premissas!$C$46*MAX(0,O47*(1-Premissas!$C$45)-(SUM($Q$5:$Q$355)+Premissas!$C$26*Premissas!$C$60)),"")</f>
        <v/>
      </c>
      <c r="U47" s="22" t="str">
        <f aca="false">IF($A47&gt;=Premissas!$C$18,S47+T47,"")</f>
        <v/>
      </c>
      <c r="V47" s="22" t="n">
        <f aca="false">V46*(1+$P47)-R47</f>
        <v>343550.099310487</v>
      </c>
      <c r="W47" s="22" t="n">
        <f aca="false">($A47=Premissas!$C$16)*Premissas!$C$9</f>
        <v>0</v>
      </c>
      <c r="X47" s="22" t="n">
        <f aca="false">L47-M47-N47-W47</f>
        <v>0</v>
      </c>
      <c r="Y47" s="22" t="n">
        <f aca="false">Y46+X47</f>
        <v>-280928</v>
      </c>
      <c r="Z47" s="22" t="str">
        <f aca="false">IF($A47&gt;=Premissas!$C$18,O47*(1-Premissas!$C$45)-Premissas!$C$46*MAX(0,O47*(1-Premissas!$C$45)-(SUM($W$5:$W$355)+Premissas!$C$26*Premissas!$C$60)),"")</f>
        <v/>
      </c>
      <c r="AA47" s="22" t="str">
        <f aca="false">IF($A47&gt;=Premissas!$C$18,Y47+Z47,"")</f>
        <v/>
      </c>
      <c r="AB47" s="22" t="n">
        <f aca="false">AB46*(1+$P47)-X47</f>
        <v>386051.369196386</v>
      </c>
      <c r="AC47" s="22" t="n">
        <f aca="false">AND($A47&gt;=Premissas!$C$16,$A47&lt;EDATE(Premissas!$C$16,3))*Premissas!$C$10/3*(1+Premissas!$C$56)^$C47</f>
        <v>0</v>
      </c>
      <c r="AD47" s="22" t="n">
        <f aca="false">L47-M47-N47-AC47</f>
        <v>0</v>
      </c>
      <c r="AE47" s="22" t="n">
        <f aca="false">AE46+AD47</f>
        <v>-288548.463880025</v>
      </c>
      <c r="AF47" s="22" t="str">
        <f aca="false">IF($A47&gt;=Premissas!$C$18,O47*(1-Premissas!$C$45)-Premissas!$C$46*MAX(0,O47*(1-Premissas!$C$45)-(SUM($AC$5:$AC$355)+Premissas!$C$26*Premissas!$C$60)),"")</f>
        <v/>
      </c>
      <c r="AG47" s="22" t="str">
        <f aca="false">IF($A47&gt;=Premissas!$C$18,AE47+AF47,"")</f>
        <v/>
      </c>
      <c r="AH47" s="22" t="n">
        <f aca="false">AH46*(1+$P47)-AD47</f>
        <v>392826.038825878</v>
      </c>
      <c r="AI47" s="22" t="n">
        <f aca="false">($A47=Premissas!$C$16)*0.2*Premissas!$C$11+AND($A47&gt;Premissas!$C$16,$A47&lt;=EDATE(Premissas!$C$16,43))*0.8*Premissas!$C$11/43*(1+Premissas!$C$56)^$C47</f>
        <v>6923.31035096151</v>
      </c>
      <c r="AJ47" s="22" t="n">
        <f aca="false">L47-M47-N47-AI47</f>
        <v>-6923.31035096151</v>
      </c>
      <c r="AK47" s="22" t="n">
        <f aca="false">AK46+AJ47</f>
        <v>-327458.679987726</v>
      </c>
      <c r="AL47" s="22" t="str">
        <f aca="false">IF($A47&gt;=Premissas!$C$18,O47*(1-Premissas!$C$45)-Premissas!$C$46*MAX(0,O47*(1-Premissas!$C$45)-(SUM($AI$5:$AI$355)+Premissas!$C$26*Premissas!$C$60)),"")</f>
        <v/>
      </c>
      <c r="AM47" s="22" t="str">
        <f aca="false">IF($A47&gt;=Premissas!$C$18,AK47+AL47,"")</f>
        <v/>
      </c>
      <c r="AN47" s="22" t="n">
        <f aca="false">AN46*(1+$P47)-AJ47</f>
        <v>392240.041232592</v>
      </c>
      <c r="AO47" s="22" t="n">
        <f aca="false">V47+S47</f>
        <v>93550.0993104867</v>
      </c>
    </row>
    <row r="48" customFormat="false" ht="15" hidden="false" customHeight="false" outlineLevel="0" collapsed="false">
      <c r="A48" s="26" t="n">
        <f aca="false">DATE(YEAR(A47),MONTH(A47)+1,1)</f>
        <v>47604</v>
      </c>
      <c r="B48" s="22" t="str">
        <f aca="false">IF($A48&lt;Premissas!$C$18,"Obra",IF($A48&lt;Premissas!$C$20,"Entrega/mobília","Airbnb"))</f>
        <v>Obra</v>
      </c>
      <c r="C48" s="36" t="n">
        <f aca="false">(YEAR($A48)-YEAR(Premissas!$C$16))*12+MONTH($A48)-MONTH(Premissas!$C$16)</f>
        <v>43</v>
      </c>
      <c r="D48" s="33" t="n">
        <f aca="false">IF($A48&gt;=Premissas!$C$20,Premissas!$C$31*IF(((YEAR($A48)-YEAR(Premissas!$C$20))*12+MONTH($A48)-MONTH(Premissas!$C$20))&lt;Premissas!$C$33,Premissas!$C$34,1),0)</f>
        <v>0</v>
      </c>
      <c r="E48" s="22" t="n">
        <f aca="false">D48*Premissas!$C$30*Premissas!$C$32*(1+Premissas!$C$58)^$C48</f>
        <v>0</v>
      </c>
      <c r="F48" s="22" t="n">
        <f aca="false">E48*Premissas!$C$35</f>
        <v>0</v>
      </c>
      <c r="G48" s="22" t="n">
        <f aca="false">E48*Premissas!$C$36</f>
        <v>0</v>
      </c>
      <c r="H48" s="22" t="n">
        <f aca="false">IF($A48&gt;=Premissas!$C$18,Premissas!$C$37*(1+Premissas!$C$58)^$C48,0)</f>
        <v>0</v>
      </c>
      <c r="I48" s="22" t="n">
        <f aca="false">IF($A48&gt;=Premissas!$C$20,Premissas!$C$38*(1+Premissas!$C$58)^$C48,0)</f>
        <v>0</v>
      </c>
      <c r="J48" s="22" t="n">
        <f aca="false">IF($A48&gt;=Premissas!$C$20,Premissas!$C$39*(1+Premissas!$C$58)^$C48,0)</f>
        <v>0</v>
      </c>
      <c r="K48" s="22" t="n">
        <f aca="false">IF($A48&gt;=Premissas!$C$20,MAX(0,E48-F48-G48-H48)*Premissas!$C$41,0)</f>
        <v>0</v>
      </c>
      <c r="L48" s="22" t="n">
        <f aca="false">E48-F48-G48-H48-I48-J48-K48</f>
        <v>0</v>
      </c>
      <c r="M48" s="22" t="n">
        <f aca="false">($A48=Premissas!$C$18)*Premissas!$C$26*Premissas!$C$60</f>
        <v>0</v>
      </c>
      <c r="N48" s="22" t="n">
        <f aca="false">IF(AND($A48&gt;=Premissas!$C$18,$A48&lt;Premissas!$C$20),Premissas!$C$27/MAX(1,Premissas!$C$19),0)</f>
        <v>0</v>
      </c>
      <c r="O48" s="22" t="str">
        <f aca="false">IF($A48&gt;=Premissas!$C$18,Premissas!$C$60*(1+Premissas!$C$59)^((YEAR($A48)-YEAR(Premissas!$C$18))*12+MONTH($A48)-MONTH(Premissas!$C$18)),"")</f>
        <v/>
      </c>
      <c r="P48" s="31" t="n">
        <f aca="false">(1+IF(YEAR($A48)&lt;=2026,Premissas!$C$49,IF(YEAR($A48)=2027,Premissas!$C$50,IF(YEAR($A48)=2028,Premissas!$C$51,Premissas!$C$52)))*(1-Premissas!$C$53))^(1/12)-1</f>
        <v>0.00682149336596227</v>
      </c>
      <c r="Q48" s="22" t="n">
        <f aca="false">($A48=Premissas!$C$16)*Premissas!$C$13</f>
        <v>0</v>
      </c>
      <c r="R48" s="22" t="n">
        <f aca="false">L48-M48-N48-Q48</f>
        <v>0</v>
      </c>
      <c r="S48" s="22" t="n">
        <f aca="false">S47+R48</f>
        <v>-250000</v>
      </c>
      <c r="T48" s="22" t="str">
        <f aca="false">IF($A48&gt;=Premissas!$C$18,O48*(1-Premissas!$C$45)-Premissas!$C$46*MAX(0,O48*(1-Premissas!$C$45)-(SUM($Q$5:$Q$355)+Premissas!$C$26*Premissas!$C$60)),"")</f>
        <v/>
      </c>
      <c r="U48" s="22" t="str">
        <f aca="false">IF($A48&gt;=Premissas!$C$18,S48+T48,"")</f>
        <v/>
      </c>
      <c r="V48" s="22" t="n">
        <f aca="false">V47*(1+$P48)-R48</f>
        <v>345893.624033809</v>
      </c>
      <c r="W48" s="22" t="n">
        <f aca="false">($A48=Premissas!$C$16)*Premissas!$C$9</f>
        <v>0</v>
      </c>
      <c r="X48" s="22" t="n">
        <f aca="false">L48-M48-N48-W48</f>
        <v>0</v>
      </c>
      <c r="Y48" s="22" t="n">
        <f aca="false">Y47+X48</f>
        <v>-280928</v>
      </c>
      <c r="Z48" s="22" t="str">
        <f aca="false">IF($A48&gt;=Premissas!$C$18,O48*(1-Premissas!$C$45)-Premissas!$C$46*MAX(0,O48*(1-Premissas!$C$45)-(SUM($W$5:$W$355)+Premissas!$C$26*Premissas!$C$60)),"")</f>
        <v/>
      </c>
      <c r="AA48" s="22" t="str">
        <f aca="false">IF($A48&gt;=Premissas!$C$18,Y48+Z48,"")</f>
        <v/>
      </c>
      <c r="AB48" s="22" t="n">
        <f aca="false">AB47*(1+$P48)-X48</f>
        <v>388684.816050279</v>
      </c>
      <c r="AC48" s="22" t="n">
        <f aca="false">AND($A48&gt;=Premissas!$C$16,$A48&lt;EDATE(Premissas!$C$16,3))*Premissas!$C$10/3*(1+Premissas!$C$56)^$C48</f>
        <v>0</v>
      </c>
      <c r="AD48" s="22" t="n">
        <f aca="false">L48-M48-N48-AC48</f>
        <v>0</v>
      </c>
      <c r="AE48" s="22" t="n">
        <f aca="false">AE47+AD48</f>
        <v>-288548.463880025</v>
      </c>
      <c r="AF48" s="22" t="str">
        <f aca="false">IF($A48&gt;=Premissas!$C$18,O48*(1-Premissas!$C$45)-Premissas!$C$46*MAX(0,O48*(1-Premissas!$C$45)-(SUM($AC$5:$AC$355)+Premissas!$C$26*Premissas!$C$60)),"")</f>
        <v/>
      </c>
      <c r="AG48" s="22" t="str">
        <f aca="false">IF($A48&gt;=Premissas!$C$18,AE48+AF48,"")</f>
        <v/>
      </c>
      <c r="AH48" s="22" t="n">
        <f aca="false">AH47*(1+$P48)-AD48</f>
        <v>395505.699043706</v>
      </c>
      <c r="AI48" s="22" t="n">
        <f aca="false">($A48=Premissas!$C$16)*0.2*Premissas!$C$11+AND($A48&gt;Premissas!$C$16,$A48&lt;=EDATE(Premissas!$C$16,43))*0.8*Premissas!$C$11/43*(1+Premissas!$C$56)^$C48</f>
        <v>6954.26931036025</v>
      </c>
      <c r="AJ48" s="22" t="n">
        <f aca="false">L48-M48-N48-AI48</f>
        <v>-6954.26931036025</v>
      </c>
      <c r="AK48" s="22" t="n">
        <f aca="false">AK47+AJ48</f>
        <v>-334412.949298087</v>
      </c>
      <c r="AL48" s="22" t="str">
        <f aca="false">IF($A48&gt;=Premissas!$C$18,O48*(1-Premissas!$C$45)-Premissas!$C$46*MAX(0,O48*(1-Premissas!$C$45)-(SUM($AI$5:$AI$355)+Premissas!$C$26*Premissas!$C$60)),"")</f>
        <v/>
      </c>
      <c r="AM48" s="22" t="str">
        <f aca="false">IF($A48&gt;=Premissas!$C$18,AK48+AL48,"")</f>
        <v/>
      </c>
      <c r="AN48" s="22" t="n">
        <f aca="false">AN47*(1+$P48)-AJ48</f>
        <v>401869.973382085</v>
      </c>
      <c r="AO48" s="22" t="n">
        <f aca="false">V48+S48</f>
        <v>95893.6240338089</v>
      </c>
    </row>
    <row r="49" customFormat="false" ht="15" hidden="false" customHeight="false" outlineLevel="0" collapsed="false">
      <c r="A49" s="26" t="n">
        <f aca="false">DATE(YEAR(A48),MONTH(A48)+1,1)</f>
        <v>47635</v>
      </c>
      <c r="B49" s="22" t="str">
        <f aca="false">IF($A49&lt;Premissas!$C$18,"Obra",IF($A49&lt;Premissas!$C$20,"Entrega/mobília","Airbnb"))</f>
        <v>Entrega/mobília</v>
      </c>
      <c r="C49" s="36" t="n">
        <f aca="false">(YEAR($A49)-YEAR(Premissas!$C$16))*12+MONTH($A49)-MONTH(Premissas!$C$16)</f>
        <v>44</v>
      </c>
      <c r="D49" s="33" t="n">
        <f aca="false">IF($A49&gt;=Premissas!$C$20,Premissas!$C$31*IF(((YEAR($A49)-YEAR(Premissas!$C$20))*12+MONTH($A49)-MONTH(Premissas!$C$20))&lt;Premissas!$C$33,Premissas!$C$34,1),0)</f>
        <v>0</v>
      </c>
      <c r="E49" s="22" t="n">
        <f aca="false">D49*Premissas!$C$30*Premissas!$C$32*(1+Premissas!$C$58)^$C49</f>
        <v>0</v>
      </c>
      <c r="F49" s="22" t="n">
        <f aca="false">E49*Premissas!$C$35</f>
        <v>0</v>
      </c>
      <c r="G49" s="22" t="n">
        <f aca="false">E49*Premissas!$C$36</f>
        <v>0</v>
      </c>
      <c r="H49" s="22" t="n">
        <f aca="false">IF($A49&gt;=Premissas!$C$18,Premissas!$C$37*(1+Premissas!$C$58)^$C49,0)</f>
        <v>692.798323100382</v>
      </c>
      <c r="I49" s="22" t="n">
        <f aca="false">IF($A49&gt;=Premissas!$C$20,Premissas!$C$38*(1+Premissas!$C$58)^$C49,0)</f>
        <v>0</v>
      </c>
      <c r="J49" s="22" t="n">
        <f aca="false">IF($A49&gt;=Premissas!$C$20,Premissas!$C$39*(1+Premissas!$C$58)^$C49,0)</f>
        <v>0</v>
      </c>
      <c r="K49" s="22" t="n">
        <f aca="false">IF($A49&gt;=Premissas!$C$20,MAX(0,E49-F49-G49-H49)*Premissas!$C$41,0)</f>
        <v>0</v>
      </c>
      <c r="L49" s="22" t="n">
        <f aca="false">E49-F49-G49-H49-I49-J49-K49</f>
        <v>-692.798323100382</v>
      </c>
      <c r="M49" s="22" t="n">
        <f aca="false">($A49=Premissas!$C$18)*Premissas!$C$26*Premissas!$C$60</f>
        <v>16466.7223116411</v>
      </c>
      <c r="N49" s="22" t="n">
        <f aca="false">IF(AND($A49&gt;=Premissas!$C$18,$A49&lt;Premissas!$C$20),Premissas!$C$27/MAX(1,Premissas!$C$19),0)</f>
        <v>12500</v>
      </c>
      <c r="O49" s="22" t="n">
        <f aca="false">IF($A49&gt;=Premissas!$C$18,Premissas!$C$60*(1+Premissas!$C$59)^((YEAR($A49)-YEAR(Premissas!$C$18))*12+MONTH($A49)-MONTH(Premissas!$C$18)),"")</f>
        <v>411668.057791027</v>
      </c>
      <c r="P49" s="31" t="n">
        <f aca="false">(1+IF(YEAR($A49)&lt;=2026,Premissas!$C$49,IF(YEAR($A49)=2027,Premissas!$C$50,IF(YEAR($A49)=2028,Premissas!$C$51,Premissas!$C$52)))*(1-Premissas!$C$53))^(1/12)-1</f>
        <v>0.00682149336596227</v>
      </c>
      <c r="Q49" s="22" t="n">
        <f aca="false">($A49=Premissas!$C$16)*Premissas!$C$13</f>
        <v>0</v>
      </c>
      <c r="R49" s="22" t="n">
        <f aca="false">L49-M49-N49-Q49</f>
        <v>-29659.5206347415</v>
      </c>
      <c r="S49" s="22" t="n">
        <f aca="false">S48+R49</f>
        <v>-279659.520634741</v>
      </c>
      <c r="T49" s="22" t="n">
        <f aca="false">IF($A49&gt;=Premissas!$C$18,O49*(1-Premissas!$C$45)-Premissas!$C$46*MAX(0,O49*(1-Premissas!$C$45)-(SUM($Q$5:$Q$355)+Premissas!$C$26*Premissas!$C$60)),"")</f>
        <v>368892.786521777</v>
      </c>
      <c r="U49" s="22" t="n">
        <f aca="false">IF($A49&gt;=Premissas!$C$18,S49+T49,"")</f>
        <v>89233.2658870355</v>
      </c>
      <c r="V49" s="22" t="n">
        <f aca="false">V48*(1+$P49)-R49</f>
        <v>377912.655730226</v>
      </c>
      <c r="W49" s="22" t="n">
        <f aca="false">($A49=Premissas!$C$16)*Premissas!$C$9</f>
        <v>0</v>
      </c>
      <c r="X49" s="22" t="n">
        <f aca="false">L49-M49-N49-W49</f>
        <v>-29659.5206347415</v>
      </c>
      <c r="Y49" s="22" t="n">
        <f aca="false">Y48+X49</f>
        <v>-310587.520634741</v>
      </c>
      <c r="Z49" s="22" t="n">
        <f aca="false">IF($A49&gt;=Premissas!$C$18,O49*(1-Premissas!$C$45)-Premissas!$C$46*MAX(0,O49*(1-Premissas!$C$45)-(SUM($W$5:$W$355)+Premissas!$C$26*Premissas!$C$60)),"")</f>
        <v>373531.986521777</v>
      </c>
      <c r="AA49" s="22" t="n">
        <f aca="false">IF($A49&gt;=Premissas!$C$18,Y49+Z49,"")</f>
        <v>62944.4658870355</v>
      </c>
      <c r="AB49" s="22" t="n">
        <f aca="false">AB48*(1+$P49)-X49</f>
        <v>420995.747579158</v>
      </c>
      <c r="AC49" s="22" t="n">
        <f aca="false">AND($A49&gt;=Premissas!$C$16,$A49&lt;EDATE(Premissas!$C$16,3))*Premissas!$C$10/3*(1+Premissas!$C$56)^$C49</f>
        <v>0</v>
      </c>
      <c r="AD49" s="22" t="n">
        <f aca="false">L49-M49-N49-AC49</f>
        <v>-29659.5206347415</v>
      </c>
      <c r="AE49" s="22" t="n">
        <f aca="false">AE48+AD49</f>
        <v>-318207.984514766</v>
      </c>
      <c r="AF49" s="22" t="n">
        <f aca="false">IF($A49&gt;=Premissas!$C$18,O49*(1-Premissas!$C$45)-Premissas!$C$46*MAX(0,O49*(1-Premissas!$C$45)-(SUM($AC$5:$AC$355)+Premissas!$C$26*Premissas!$C$60)),"")</f>
        <v>374675.056103781</v>
      </c>
      <c r="AG49" s="22" t="n">
        <f aca="false">IF($A49&gt;=Premissas!$C$18,AE49+AF49,"")</f>
        <v>56467.0715890143</v>
      </c>
      <c r="AH49" s="22" t="n">
        <f aca="false">AH48*(1+$P49)-AD49</f>
        <v>427863.159180675</v>
      </c>
      <c r="AI49" s="22" t="n">
        <f aca="false">($A49=Premissas!$C$16)*0.2*Premissas!$C$11+AND($A49&gt;Premissas!$C$16,$A49&lt;=EDATE(Premissas!$C$16,43))*0.8*Premissas!$C$11/43*(1+Premissas!$C$56)^$C49</f>
        <v>0</v>
      </c>
      <c r="AJ49" s="22" t="n">
        <f aca="false">L49-M49-N49-AI49</f>
        <v>-29659.5206347415</v>
      </c>
      <c r="AK49" s="22" t="n">
        <f aca="false">AK48+AJ49</f>
        <v>-364072.469932828</v>
      </c>
      <c r="AL49" s="22" t="n">
        <f aca="false">IF($A49&gt;=Premissas!$C$18,O49*(1-Premissas!$C$45)-Premissas!$C$46*MAX(0,O49*(1-Premissas!$C$45)-(SUM($AI$5:$AI$355)+Premissas!$C$26*Premissas!$C$60)),"")</f>
        <v>381554.72891649</v>
      </c>
      <c r="AM49" s="22" t="n">
        <f aca="false">IF($A49&gt;=Premissas!$C$18,AK49+AL49,"")</f>
        <v>17482.2589836618</v>
      </c>
      <c r="AN49" s="22" t="n">
        <f aca="false">AN48*(1+$P49)-AJ49</f>
        <v>434270.847374232</v>
      </c>
      <c r="AO49" s="22" t="n">
        <f aca="false">V49+S49</f>
        <v>98253.1350954842</v>
      </c>
    </row>
    <row r="50" customFormat="false" ht="15" hidden="false" customHeight="false" outlineLevel="0" collapsed="false">
      <c r="A50" s="26" t="n">
        <f aca="false">DATE(YEAR(A49),MONTH(A49)+1,1)</f>
        <v>47665</v>
      </c>
      <c r="B50" s="22" t="str">
        <f aca="false">IF($A50&lt;Premissas!$C$18,"Obra",IF($A50&lt;Premissas!$C$20,"Entrega/mobília","Airbnb"))</f>
        <v>Entrega/mobília</v>
      </c>
      <c r="C50" s="36" t="n">
        <f aca="false">(YEAR($A50)-YEAR(Premissas!$C$16))*12+MONTH($A50)-MONTH(Premissas!$C$16)</f>
        <v>45</v>
      </c>
      <c r="D50" s="33" t="n">
        <f aca="false">IF($A50&gt;=Premissas!$C$20,Premissas!$C$31*IF(((YEAR($A50)-YEAR(Premissas!$C$20))*12+MONTH($A50)-MONTH(Premissas!$C$20))&lt;Premissas!$C$33,Premissas!$C$34,1),0)</f>
        <v>0</v>
      </c>
      <c r="E50" s="22" t="n">
        <f aca="false">D50*Premissas!$C$30*Premissas!$C$32*(1+Premissas!$C$58)^$C50</f>
        <v>0</v>
      </c>
      <c r="F50" s="22" t="n">
        <f aca="false">E50*Premissas!$C$35</f>
        <v>0</v>
      </c>
      <c r="G50" s="22" t="n">
        <f aca="false">E50*Premissas!$C$36</f>
        <v>0</v>
      </c>
      <c r="H50" s="22" t="n">
        <f aca="false">IF($A50&gt;=Premissas!$C$18,Premissas!$C$37*(1+Premissas!$C$58)^$C50,0)</f>
        <v>695.066364531756</v>
      </c>
      <c r="I50" s="22" t="n">
        <f aca="false">IF($A50&gt;=Premissas!$C$20,Premissas!$C$38*(1+Premissas!$C$58)^$C50,0)</f>
        <v>0</v>
      </c>
      <c r="J50" s="22" t="n">
        <f aca="false">IF($A50&gt;=Premissas!$C$20,Premissas!$C$39*(1+Premissas!$C$58)^$C50,0)</f>
        <v>0</v>
      </c>
      <c r="K50" s="22" t="n">
        <f aca="false">IF($A50&gt;=Premissas!$C$20,MAX(0,E50-F50-G50-H50)*Premissas!$C$41,0)</f>
        <v>0</v>
      </c>
      <c r="L50" s="22" t="n">
        <f aca="false">E50-F50-G50-H50-I50-J50-K50</f>
        <v>-695.066364531756</v>
      </c>
      <c r="M50" s="22" t="n">
        <f aca="false">($A50=Premissas!$C$18)*Premissas!$C$26*Premissas!$C$60</f>
        <v>0</v>
      </c>
      <c r="N50" s="22" t="n">
        <f aca="false">IF(AND($A50&gt;=Premissas!$C$18,$A50&lt;Premissas!$C$20),Premissas!$C$27/MAX(1,Premissas!$C$19),0)</f>
        <v>12500</v>
      </c>
      <c r="O50" s="22" t="n">
        <f aca="false">IF($A50&gt;=Premissas!$C$18,Premissas!$C$60*(1+Premissas!$C$59)^((YEAR($A50)-YEAR(Premissas!$C$18))*12+MONTH($A50)-MONTH(Premissas!$C$18)),"")</f>
        <v>413345.244416242</v>
      </c>
      <c r="P50" s="31" t="n">
        <f aca="false">(1+IF(YEAR($A50)&lt;=2026,Premissas!$C$49,IF(YEAR($A50)=2027,Premissas!$C$50,IF(YEAR($A50)=2028,Premissas!$C$51,Premissas!$C$52)))*(1-Premissas!$C$53))^(1/12)-1</f>
        <v>0.00682149336596227</v>
      </c>
      <c r="Q50" s="22" t="n">
        <f aca="false">($A50=Premissas!$C$16)*Premissas!$C$13</f>
        <v>0</v>
      </c>
      <c r="R50" s="22" t="n">
        <f aca="false">L50-M50-N50-Q50</f>
        <v>-13195.0663645318</v>
      </c>
      <c r="S50" s="22" t="n">
        <f aca="false">S49+R50</f>
        <v>-292854.586999273</v>
      </c>
      <c r="T50" s="22" t="n">
        <f aca="false">IF($A50&gt;=Premissas!$C$18,O50*(1-Premissas!$C$45)-Premissas!$C$46*MAX(0,O50*(1-Premissas!$C$45)-(SUM($Q$5:$Q$355)+Premissas!$C$26*Premissas!$C$60)),"")</f>
        <v>370232.858635324</v>
      </c>
      <c r="U50" s="22" t="n">
        <f aca="false">IF($A50&gt;=Premissas!$C$18,S50+T50,"")</f>
        <v>77378.2716360503</v>
      </c>
      <c r="V50" s="22" t="n">
        <f aca="false">V49*(1+$P50)-R50</f>
        <v>393685.650768734</v>
      </c>
      <c r="W50" s="22" t="n">
        <f aca="false">($A50=Premissas!$C$16)*Premissas!$C$9</f>
        <v>0</v>
      </c>
      <c r="X50" s="22" t="n">
        <f aca="false">L50-M50-N50-W50</f>
        <v>-13195.0663645318</v>
      </c>
      <c r="Y50" s="22" t="n">
        <f aca="false">Y49+X50</f>
        <v>-323782.586999273</v>
      </c>
      <c r="Z50" s="22" t="n">
        <f aca="false">IF($A50&gt;=Premissas!$C$18,O50*(1-Premissas!$C$45)-Premissas!$C$46*MAX(0,O50*(1-Premissas!$C$45)-(SUM($W$5:$W$355)+Premissas!$C$26*Premissas!$C$60)),"")</f>
        <v>374872.058635324</v>
      </c>
      <c r="AA50" s="22" t="n">
        <f aca="false">IF($A50&gt;=Premissas!$C$18,Y50+Z50,"")</f>
        <v>51089.4716360503</v>
      </c>
      <c r="AB50" s="22" t="n">
        <f aca="false">AB49*(1+$P50)-X50</f>
        <v>437062.633642899</v>
      </c>
      <c r="AC50" s="22" t="n">
        <f aca="false">AND($A50&gt;=Premissas!$C$16,$A50&lt;EDATE(Premissas!$C$16,3))*Premissas!$C$10/3*(1+Premissas!$C$56)^$C50</f>
        <v>0</v>
      </c>
      <c r="AD50" s="22" t="n">
        <f aca="false">L50-M50-N50-AC50</f>
        <v>-13195.0663645318</v>
      </c>
      <c r="AE50" s="22" t="n">
        <f aca="false">AE49+AD50</f>
        <v>-331403.050879298</v>
      </c>
      <c r="AF50" s="22" t="n">
        <f aca="false">IF($A50&gt;=Premissas!$C$18,O50*(1-Premissas!$C$45)-Premissas!$C$46*MAX(0,O50*(1-Premissas!$C$45)-(SUM($AC$5:$AC$355)+Premissas!$C$26*Premissas!$C$60)),"")</f>
        <v>376015.128217327</v>
      </c>
      <c r="AG50" s="22" t="n">
        <f aca="false">IF($A50&gt;=Premissas!$C$18,AE50+AF50,"")</f>
        <v>44612.0773380292</v>
      </c>
      <c r="AH50" s="22" t="n">
        <f aca="false">AH49*(1+$P50)-AD50</f>
        <v>443976.891247097</v>
      </c>
      <c r="AI50" s="22" t="n">
        <f aca="false">($A50=Premissas!$C$16)*0.2*Premissas!$C$11+AND($A50&gt;Premissas!$C$16,$A50&lt;=EDATE(Premissas!$C$16,43))*0.8*Premissas!$C$11/43*(1+Premissas!$C$56)^$C50</f>
        <v>0</v>
      </c>
      <c r="AJ50" s="22" t="n">
        <f aca="false">L50-M50-N50-AI50</f>
        <v>-13195.0663645318</v>
      </c>
      <c r="AK50" s="22" t="n">
        <f aca="false">AK49+AJ50</f>
        <v>-377267.53629736</v>
      </c>
      <c r="AL50" s="22" t="n">
        <f aca="false">IF($A50&gt;=Premissas!$C$18,O50*(1-Premissas!$C$45)-Premissas!$C$46*MAX(0,O50*(1-Premissas!$C$45)-(SUM($AI$5:$AI$355)+Premissas!$C$26*Premissas!$C$60)),"")</f>
        <v>382894.801030037</v>
      </c>
      <c r="AM50" s="22" t="n">
        <f aca="false">IF($A50&gt;=Premissas!$C$18,AK50+AL50,"")</f>
        <v>5627.26473267662</v>
      </c>
      <c r="AN50" s="22" t="n">
        <f aca="false">AN49*(1+$P50)-AJ50</f>
        <v>450428.289443158</v>
      </c>
      <c r="AO50" s="22" t="n">
        <f aca="false">V50+S50</f>
        <v>100831.063769461</v>
      </c>
    </row>
    <row r="51" customFormat="false" ht="15" hidden="false" customHeight="false" outlineLevel="0" collapsed="false">
      <c r="A51" s="26" t="n">
        <f aca="false">DATE(YEAR(A50),MONTH(A50)+1,1)</f>
        <v>47696</v>
      </c>
      <c r="B51" s="22" t="str">
        <f aca="false">IF($A51&lt;Premissas!$C$18,"Obra",IF($A51&lt;Premissas!$C$20,"Entrega/mobília","Airbnb"))</f>
        <v>Entrega/mobília</v>
      </c>
      <c r="C51" s="36" t="n">
        <f aca="false">(YEAR($A51)-YEAR(Premissas!$C$16))*12+MONTH($A51)-MONTH(Premissas!$C$16)</f>
        <v>46</v>
      </c>
      <c r="D51" s="33" t="n">
        <f aca="false">IF($A51&gt;=Premissas!$C$20,Premissas!$C$31*IF(((YEAR($A51)-YEAR(Premissas!$C$20))*12+MONTH($A51)-MONTH(Premissas!$C$20))&lt;Premissas!$C$33,Premissas!$C$34,1),0)</f>
        <v>0</v>
      </c>
      <c r="E51" s="22" t="n">
        <f aca="false">D51*Premissas!$C$30*Premissas!$C$32*(1+Premissas!$C$58)^$C51</f>
        <v>0</v>
      </c>
      <c r="F51" s="22" t="n">
        <f aca="false">E51*Premissas!$C$35</f>
        <v>0</v>
      </c>
      <c r="G51" s="22" t="n">
        <f aca="false">E51*Premissas!$C$36</f>
        <v>0</v>
      </c>
      <c r="H51" s="22" t="n">
        <f aca="false">IF($A51&gt;=Premissas!$C$18,Premissas!$C$37*(1+Premissas!$C$58)^$C51,0)</f>
        <v>697.341830940592</v>
      </c>
      <c r="I51" s="22" t="n">
        <f aca="false">IF($A51&gt;=Premissas!$C$20,Premissas!$C$38*(1+Premissas!$C$58)^$C51,0)</f>
        <v>0</v>
      </c>
      <c r="J51" s="22" t="n">
        <f aca="false">IF($A51&gt;=Premissas!$C$20,Premissas!$C$39*(1+Premissas!$C$58)^$C51,0)</f>
        <v>0</v>
      </c>
      <c r="K51" s="22" t="n">
        <f aca="false">IF($A51&gt;=Premissas!$C$20,MAX(0,E51-F51-G51-H51)*Premissas!$C$41,0)</f>
        <v>0</v>
      </c>
      <c r="L51" s="22" t="n">
        <f aca="false">E51-F51-G51-H51-I51-J51-K51</f>
        <v>-697.341830940592</v>
      </c>
      <c r="M51" s="22" t="n">
        <f aca="false">($A51=Premissas!$C$18)*Premissas!$C$26*Premissas!$C$60</f>
        <v>0</v>
      </c>
      <c r="N51" s="22" t="n">
        <f aca="false">IF(AND($A51&gt;=Premissas!$C$18,$A51&lt;Premissas!$C$20),Premissas!$C$27/MAX(1,Premissas!$C$19),0)</f>
        <v>12500</v>
      </c>
      <c r="O51" s="22" t="n">
        <f aca="false">IF($A51&gt;=Premissas!$C$18,Premissas!$C$60*(1+Premissas!$C$59)^((YEAR($A51)-YEAR(Premissas!$C$18))*12+MONTH($A51)-MONTH(Premissas!$C$18)),"")</f>
        <v>415029.264107376</v>
      </c>
      <c r="P51" s="31" t="n">
        <f aca="false">(1+IF(YEAR($A51)&lt;=2026,Premissas!$C$49,IF(YEAR($A51)=2027,Premissas!$C$50,IF(YEAR($A51)=2028,Premissas!$C$51,Premissas!$C$52)))*(1-Premissas!$C$53))^(1/12)-1</f>
        <v>0.00682149336596227</v>
      </c>
      <c r="Q51" s="22" t="n">
        <f aca="false">($A51=Premissas!$C$16)*Premissas!$C$13</f>
        <v>0</v>
      </c>
      <c r="R51" s="22" t="n">
        <f aca="false">L51-M51-N51-Q51</f>
        <v>-13197.3418309406</v>
      </c>
      <c r="S51" s="22" t="n">
        <f aca="false">S50+R51</f>
        <v>-306051.928830214</v>
      </c>
      <c r="T51" s="22" t="n">
        <f aca="false">IF($A51&gt;=Premissas!$C$18,O51*(1-Premissas!$C$45)-Premissas!$C$46*MAX(0,O51*(1-Premissas!$C$45)-(SUM($Q$5:$Q$355)+Premissas!$C$26*Premissas!$C$60)),"")</f>
        <v>371578.39036854</v>
      </c>
      <c r="U51" s="22" t="n">
        <f aca="false">IF($A51&gt;=Premissas!$C$18,S51+T51,"")</f>
        <v>65526.4615383259</v>
      </c>
      <c r="V51" s="22" t="n">
        <f aca="false">V50*(1+$P51)-R51</f>
        <v>409568.516654668</v>
      </c>
      <c r="W51" s="22" t="n">
        <f aca="false">($A51=Premissas!$C$16)*Premissas!$C$9</f>
        <v>0</v>
      </c>
      <c r="X51" s="22" t="n">
        <f aca="false">L51-M51-N51-W51</f>
        <v>-13197.3418309406</v>
      </c>
      <c r="Y51" s="22" t="n">
        <f aca="false">Y50+X51</f>
        <v>-336979.928830214</v>
      </c>
      <c r="Z51" s="22" t="n">
        <f aca="false">IF($A51&gt;=Premissas!$C$18,O51*(1-Premissas!$C$45)-Premissas!$C$46*MAX(0,O51*(1-Premissas!$C$45)-(SUM($W$5:$W$355)+Premissas!$C$26*Premissas!$C$60)),"")</f>
        <v>376217.59036854</v>
      </c>
      <c r="AA51" s="22" t="n">
        <f aca="false">IF($A51&gt;=Premissas!$C$18,Y51+Z51,"")</f>
        <v>39237.6615383259</v>
      </c>
      <c r="AB51" s="22" t="n">
        <f aca="false">AB50*(1+$P51)-X51</f>
        <v>453241.395329745</v>
      </c>
      <c r="AC51" s="22" t="n">
        <f aca="false">AND($A51&gt;=Premissas!$C$16,$A51&lt;EDATE(Premissas!$C$16,3))*Premissas!$C$10/3*(1+Premissas!$C$56)^$C51</f>
        <v>0</v>
      </c>
      <c r="AD51" s="22" t="n">
        <f aca="false">L51-M51-N51-AC51</f>
        <v>-13197.3418309406</v>
      </c>
      <c r="AE51" s="22" t="n">
        <f aca="false">AE50+AD51</f>
        <v>-344600.392710239</v>
      </c>
      <c r="AF51" s="22" t="n">
        <f aca="false">IF($A51&gt;=Premissas!$C$18,O51*(1-Premissas!$C$45)-Premissas!$C$46*MAX(0,O51*(1-Premissas!$C$45)-(SUM($AC$5:$AC$355)+Premissas!$C$26*Premissas!$C$60)),"")</f>
        <v>377360.659950543</v>
      </c>
      <c r="AG51" s="22" t="n">
        <f aca="false">IF($A51&gt;=Premissas!$C$18,AE51+AF51,"")</f>
        <v>32760.2672403048</v>
      </c>
      <c r="AH51" s="22" t="n">
        <f aca="false">AH50*(1+$P51)-AD51</f>
        <v>460202.81849632</v>
      </c>
      <c r="AI51" s="22" t="n">
        <f aca="false">($A51=Premissas!$C$16)*0.2*Premissas!$C$11+AND($A51&gt;Premissas!$C$16,$A51&lt;=EDATE(Premissas!$C$16,43))*0.8*Premissas!$C$11/43*(1+Premissas!$C$56)^$C51</f>
        <v>0</v>
      </c>
      <c r="AJ51" s="22" t="n">
        <f aca="false">L51-M51-N51-AI51</f>
        <v>-13197.3418309406</v>
      </c>
      <c r="AK51" s="22" t="n">
        <f aca="false">AK50+AJ51</f>
        <v>-390464.878128301</v>
      </c>
      <c r="AL51" s="22" t="n">
        <f aca="false">IF($A51&gt;=Premissas!$C$18,O51*(1-Premissas!$C$45)-Premissas!$C$46*MAX(0,O51*(1-Premissas!$C$45)-(SUM($AI$5:$AI$355)+Premissas!$C$26*Premissas!$C$60)),"")</f>
        <v>384240.332763253</v>
      </c>
      <c r="AM51" s="22" t="n">
        <f aca="false">IF($A51&gt;=Premissas!$C$18,AK51+AL51,"")</f>
        <v>-6224.54536504776</v>
      </c>
      <c r="AN51" s="22" t="n">
        <f aca="false">AN50*(1+$P51)-AJ51</f>
        <v>466698.224862377</v>
      </c>
      <c r="AO51" s="22" t="n">
        <f aca="false">V51+S51</f>
        <v>103516.587824455</v>
      </c>
    </row>
    <row r="52" customFormat="false" ht="15" hidden="false" customHeight="false" outlineLevel="0" collapsed="false">
      <c r="A52" s="26" t="n">
        <f aca="false">DATE(YEAR(A51),MONTH(A51)+1,1)</f>
        <v>47727</v>
      </c>
      <c r="B52" s="22" t="str">
        <f aca="false">IF($A52&lt;Premissas!$C$18,"Obra",IF($A52&lt;Premissas!$C$20,"Entrega/mobília","Airbnb"))</f>
        <v>Airbnb</v>
      </c>
      <c r="C52" s="36" t="n">
        <f aca="false">(YEAR($A52)-YEAR(Premissas!$C$16))*12+MONTH($A52)-MONTH(Premissas!$C$16)</f>
        <v>47</v>
      </c>
      <c r="D52" s="33" t="n">
        <f aca="false">IF($A52&gt;=Premissas!$C$20,Premissas!$C$31*IF(((YEAR($A52)-YEAR(Premissas!$C$20))*12+MONTH($A52)-MONTH(Premissas!$C$20))&lt;Premissas!$C$33,Premissas!$C$34,1),0)</f>
        <v>0.372</v>
      </c>
      <c r="E52" s="22" t="n">
        <f aca="false">D52*Premissas!$C$30*Premissas!$C$32*(1+Premissas!$C$58)^$C52</f>
        <v>3253.25507184965</v>
      </c>
      <c r="F52" s="22" t="n">
        <f aca="false">E52*Premissas!$C$35</f>
        <v>520.520811495945</v>
      </c>
      <c r="G52" s="22" t="n">
        <f aca="false">E52*Premissas!$C$36</f>
        <v>650.651014369931</v>
      </c>
      <c r="H52" s="22" t="n">
        <f aca="false">IF($A52&gt;=Premissas!$C$18,Premissas!$C$37*(1+Premissas!$C$58)^$C52,0)</f>
        <v>699.624746634334</v>
      </c>
      <c r="I52" s="22" t="n">
        <f aca="false">IF($A52&gt;=Premissas!$C$20,Premissas!$C$38*(1+Premissas!$C$58)^$C52,0)</f>
        <v>326.491548429356</v>
      </c>
      <c r="J52" s="22" t="n">
        <f aca="false">IF($A52&gt;=Premissas!$C$20,Premissas!$C$39*(1+Premissas!$C$58)^$C52,0)</f>
        <v>174.906186658584</v>
      </c>
      <c r="K52" s="22" t="n">
        <f aca="false">IF($A52&gt;=Premissas!$C$20,MAX(0,E52-F52-G52-H52)*Premissas!$C$41,0)</f>
        <v>380.176087321097</v>
      </c>
      <c r="L52" s="22" t="n">
        <f aca="false">E52-F52-G52-H52-I52-J52-K52</f>
        <v>500.884676940408</v>
      </c>
      <c r="M52" s="22" t="n">
        <f aca="false">($A52=Premissas!$C$18)*Premissas!$C$26*Premissas!$C$60</f>
        <v>0</v>
      </c>
      <c r="N52" s="22" t="n">
        <f aca="false">IF(AND($A52&gt;=Premissas!$C$18,$A52&lt;Premissas!$C$20),Premissas!$C$27/MAX(1,Premissas!$C$19),0)</f>
        <v>0</v>
      </c>
      <c r="O52" s="22" t="n">
        <f aca="false">IF($A52&gt;=Premissas!$C$18,Premissas!$C$60*(1+Premissas!$C$59)^((YEAR($A52)-YEAR(Premissas!$C$18))*12+MONTH($A52)-MONTH(Premissas!$C$18)),"")</f>
        <v>416720.144703186</v>
      </c>
      <c r="P52" s="31" t="n">
        <f aca="false">(1+IF(YEAR($A52)&lt;=2026,Premissas!$C$49,IF(YEAR($A52)=2027,Premissas!$C$50,IF(YEAR($A52)=2028,Premissas!$C$51,Premissas!$C$52)))*(1-Premissas!$C$53))^(1/12)-1</f>
        <v>0.00682149336596227</v>
      </c>
      <c r="Q52" s="22" t="n">
        <f aca="false">($A52=Premissas!$C$16)*Premissas!$C$13</f>
        <v>0</v>
      </c>
      <c r="R52" s="22" t="n">
        <f aca="false">L52-M52-N52-Q52</f>
        <v>500.884676940408</v>
      </c>
      <c r="S52" s="22" t="n">
        <f aca="false">S51+R52</f>
        <v>-305551.044153273</v>
      </c>
      <c r="T52" s="22" t="n">
        <f aca="false">IF($A52&gt;=Premissas!$C$18,O52*(1-Premissas!$C$45)-Premissas!$C$46*MAX(0,O52*(1-Premissas!$C$45)-(SUM($Q$5:$Q$355)+Premissas!$C$26*Premissas!$C$60)),"")</f>
        <v>372929.403964592</v>
      </c>
      <c r="U52" s="22" t="n">
        <f aca="false">IF($A52&gt;=Premissas!$C$18,S52+T52,"")</f>
        <v>67378.3598113184</v>
      </c>
      <c r="V52" s="22" t="n">
        <f aca="false">V51*(1+$P52)-R52</f>
        <v>411861.500896995</v>
      </c>
      <c r="W52" s="22" t="n">
        <f aca="false">($A52=Premissas!$C$16)*Premissas!$C$9</f>
        <v>0</v>
      </c>
      <c r="X52" s="22" t="n">
        <f aca="false">L52-M52-N52-W52</f>
        <v>500.884676940408</v>
      </c>
      <c r="Y52" s="22" t="n">
        <f aca="false">Y51+X52</f>
        <v>-336479.044153273</v>
      </c>
      <c r="Z52" s="22" t="n">
        <f aca="false">IF($A52&gt;=Premissas!$C$18,O52*(1-Premissas!$C$45)-Premissas!$C$46*MAX(0,O52*(1-Premissas!$C$45)-(SUM($W$5:$W$355)+Premissas!$C$26*Premissas!$C$60)),"")</f>
        <v>377568.603964592</v>
      </c>
      <c r="AA52" s="22" t="n">
        <f aca="false">IF($A52&gt;=Premissas!$C$18,Y52+Z52,"")</f>
        <v>41089.5598113184</v>
      </c>
      <c r="AB52" s="22" t="n">
        <f aca="false">AB51*(1+$P52)-X52</f>
        <v>455832.293824226</v>
      </c>
      <c r="AC52" s="22" t="n">
        <f aca="false">AND($A52&gt;=Premissas!$C$16,$A52&lt;EDATE(Premissas!$C$16,3))*Premissas!$C$10/3*(1+Premissas!$C$56)^$C52</f>
        <v>0</v>
      </c>
      <c r="AD52" s="22" t="n">
        <f aca="false">L52-M52-N52-AC52</f>
        <v>500.884676940408</v>
      </c>
      <c r="AE52" s="22" t="n">
        <f aca="false">AE51+AD52</f>
        <v>-344099.508033298</v>
      </c>
      <c r="AF52" s="22" t="n">
        <f aca="false">IF($A52&gt;=Premissas!$C$18,O52*(1-Premissas!$C$45)-Premissas!$C$46*MAX(0,O52*(1-Premissas!$C$45)-(SUM($AC$5:$AC$355)+Premissas!$C$26*Premissas!$C$60)),"")</f>
        <v>378711.673546596</v>
      </c>
      <c r="AG52" s="22" t="n">
        <f aca="false">IF($A52&gt;=Premissas!$C$18,AE52+AF52,"")</f>
        <v>34612.1655132973</v>
      </c>
      <c r="AH52" s="22" t="n">
        <f aca="false">AH51*(1+$P52)-AD52</f>
        <v>462841.20429275</v>
      </c>
      <c r="AI52" s="22" t="n">
        <f aca="false">($A52=Premissas!$C$16)*0.2*Premissas!$C$11+AND($A52&gt;Premissas!$C$16,$A52&lt;=EDATE(Premissas!$C$16,43))*0.8*Premissas!$C$11/43*(1+Premissas!$C$56)^$C52</f>
        <v>0</v>
      </c>
      <c r="AJ52" s="22" t="n">
        <f aca="false">L52-M52-N52-AI52</f>
        <v>500.884676940408</v>
      </c>
      <c r="AK52" s="22" t="n">
        <f aca="false">AK51+AJ52</f>
        <v>-389963.99345136</v>
      </c>
      <c r="AL52" s="22" t="n">
        <f aca="false">IF($A52&gt;=Premissas!$C$18,O52*(1-Premissas!$C$45)-Premissas!$C$46*MAX(0,O52*(1-Premissas!$C$45)-(SUM($AI$5:$AI$355)+Premissas!$C$26*Premissas!$C$60)),"")</f>
        <v>385591.346359305</v>
      </c>
      <c r="AM52" s="22" t="n">
        <f aca="false">IF($A52&gt;=Premissas!$C$18,AK52+AL52,"")</f>
        <v>-4372.6470920553</v>
      </c>
      <c r="AN52" s="22" t="n">
        <f aca="false">AN51*(1+$P52)-AJ52</f>
        <v>469380.919030242</v>
      </c>
      <c r="AO52" s="22" t="n">
        <f aca="false">V52+S52</f>
        <v>106310.456743721</v>
      </c>
    </row>
    <row r="53" customFormat="false" ht="15" hidden="false" customHeight="false" outlineLevel="0" collapsed="false">
      <c r="A53" s="26" t="n">
        <f aca="false">DATE(YEAR(A52),MONTH(A52)+1,1)</f>
        <v>47757</v>
      </c>
      <c r="B53" s="22" t="str">
        <f aca="false">IF($A53&lt;Premissas!$C$18,"Obra",IF($A53&lt;Premissas!$C$20,"Entrega/mobília","Airbnb"))</f>
        <v>Airbnb</v>
      </c>
      <c r="C53" s="36" t="n">
        <f aca="false">(YEAR($A53)-YEAR(Premissas!$C$16))*12+MONTH($A53)-MONTH(Premissas!$C$16)</f>
        <v>48</v>
      </c>
      <c r="D53" s="33" t="n">
        <f aca="false">IF($A53&gt;=Premissas!$C$20,Premissas!$C$31*IF(((YEAR($A53)-YEAR(Premissas!$C$20))*12+MONTH($A53)-MONTH(Premissas!$C$20))&lt;Premissas!$C$33,Premissas!$C$34,1),0)</f>
        <v>0.372</v>
      </c>
      <c r="E53" s="22" t="n">
        <f aca="false">D53*Premissas!$C$30*Premissas!$C$32*(1+Premissas!$C$58)^$C53</f>
        <v>3263.90538240001</v>
      </c>
      <c r="F53" s="22" t="n">
        <f aca="false">E53*Premissas!$C$35</f>
        <v>522.224861184001</v>
      </c>
      <c r="G53" s="22" t="n">
        <f aca="false">E53*Premissas!$C$36</f>
        <v>652.781076480002</v>
      </c>
      <c r="H53" s="22" t="n">
        <f aca="false">IF($A53&gt;=Premissas!$C$18,Premissas!$C$37*(1+Premissas!$C$58)^$C53,0)</f>
        <v>701.915136000002</v>
      </c>
      <c r="I53" s="22" t="n">
        <f aca="false">IF($A53&gt;=Premissas!$C$20,Premissas!$C$38*(1+Premissas!$C$58)^$C53,0)</f>
        <v>327.560396800001</v>
      </c>
      <c r="J53" s="22" t="n">
        <f aca="false">IF($A53&gt;=Premissas!$C$20,Premissas!$C$39*(1+Premissas!$C$58)^$C53,0)</f>
        <v>175.478784</v>
      </c>
      <c r="K53" s="22" t="n">
        <f aca="false">IF($A53&gt;=Premissas!$C$20,MAX(0,E53-F53-G53-H53)*Premissas!$C$41,0)</f>
        <v>381.420684902401</v>
      </c>
      <c r="L53" s="22" t="n">
        <f aca="false">E53-F53-G53-H53-I53-J53-K53</f>
        <v>502.524443033601</v>
      </c>
      <c r="M53" s="22" t="n">
        <f aca="false">($A53=Premissas!$C$18)*Premissas!$C$26*Premissas!$C$60</f>
        <v>0</v>
      </c>
      <c r="N53" s="22" t="n">
        <f aca="false">IF(AND($A53&gt;=Premissas!$C$18,$A53&lt;Premissas!$C$20),Premissas!$C$27/MAX(1,Premissas!$C$19),0)</f>
        <v>0</v>
      </c>
      <c r="O53" s="22" t="n">
        <f aca="false">IF($A53&gt;=Premissas!$C$18,Premissas!$C$60*(1+Premissas!$C$59)^((YEAR($A53)-YEAR(Premissas!$C$18))*12+MONTH($A53)-MONTH(Premissas!$C$18)),"")</f>
        <v>418417.914155847</v>
      </c>
      <c r="P53" s="31" t="n">
        <f aca="false">(1+IF(YEAR($A53)&lt;=2026,Premissas!$C$49,IF(YEAR($A53)=2027,Premissas!$C$50,IF(YEAR($A53)=2028,Premissas!$C$51,Premissas!$C$52)))*(1-Premissas!$C$53))^(1/12)-1</f>
        <v>0.00682149336596227</v>
      </c>
      <c r="Q53" s="22" t="n">
        <f aca="false">($A53=Premissas!$C$16)*Premissas!$C$13</f>
        <v>0</v>
      </c>
      <c r="R53" s="22" t="n">
        <f aca="false">L53-M53-N53-Q53</f>
        <v>502.524443033601</v>
      </c>
      <c r="S53" s="22" t="n">
        <f aca="false">S52+R53</f>
        <v>-305048.51971024</v>
      </c>
      <c r="T53" s="22" t="n">
        <f aca="false">IF($A53&gt;=Premissas!$C$18,O53*(1-Premissas!$C$45)-Premissas!$C$46*MAX(0,O53*(1-Premissas!$C$45)-(SUM($Q$5:$Q$355)+Premissas!$C$26*Premissas!$C$60)),"")</f>
        <v>374285.921757268</v>
      </c>
      <c r="U53" s="22" t="n">
        <f aca="false">IF($A53&gt;=Premissas!$C$18,S53+T53,"")</f>
        <v>69237.4020470279</v>
      </c>
      <c r="V53" s="22" t="n">
        <f aca="false">V52*(1+$P53)-R53</f>
        <v>414168.486950025</v>
      </c>
      <c r="W53" s="22" t="n">
        <f aca="false">($A53=Premissas!$C$16)*Premissas!$C$9</f>
        <v>0</v>
      </c>
      <c r="X53" s="22" t="n">
        <f aca="false">L53-M53-N53-W53</f>
        <v>502.524443033601</v>
      </c>
      <c r="Y53" s="22" t="n">
        <f aca="false">Y52+X53</f>
        <v>-335976.51971024</v>
      </c>
      <c r="Z53" s="22" t="n">
        <f aca="false">IF($A53&gt;=Premissas!$C$18,O53*(1-Premissas!$C$45)-Premissas!$C$46*MAX(0,O53*(1-Premissas!$C$45)-(SUM($W$5:$W$355)+Premissas!$C$26*Premissas!$C$60)),"")</f>
        <v>378925.121757268</v>
      </c>
      <c r="AA53" s="22" t="n">
        <f aca="false">IF($A53&gt;=Premissas!$C$18,Y53+Z53,"")</f>
        <v>42948.6020470279</v>
      </c>
      <c r="AB53" s="22" t="n">
        <f aca="false">AB52*(1+$P53)-X53</f>
        <v>458439.226349506</v>
      </c>
      <c r="AC53" s="22" t="n">
        <f aca="false">AND($A53&gt;=Premissas!$C$16,$A53&lt;EDATE(Premissas!$C$16,3))*Premissas!$C$10/3*(1+Premissas!$C$56)^$C53</f>
        <v>0</v>
      </c>
      <c r="AD53" s="22" t="n">
        <f aca="false">L53-M53-N53-AC53</f>
        <v>502.524443033601</v>
      </c>
      <c r="AE53" s="22" t="n">
        <f aca="false">AE52+AD53</f>
        <v>-343596.983590265</v>
      </c>
      <c r="AF53" s="22" t="n">
        <f aca="false">IF($A53&gt;=Premissas!$C$18,O53*(1-Premissas!$C$45)-Premissas!$C$46*MAX(0,O53*(1-Premissas!$C$45)-(SUM($AC$5:$AC$355)+Premissas!$C$26*Premissas!$C$60)),"")</f>
        <v>380068.191339271</v>
      </c>
      <c r="AG53" s="22" t="n">
        <f aca="false">IF($A53&gt;=Premissas!$C$18,AE53+AF53,"")</f>
        <v>36471.2077490068</v>
      </c>
      <c r="AH53" s="22" t="n">
        <f aca="false">AH52*(1+$P53)-AD53</f>
        <v>465495.948054293</v>
      </c>
      <c r="AI53" s="22" t="n">
        <f aca="false">($A53=Premissas!$C$16)*0.2*Premissas!$C$11+AND($A53&gt;Premissas!$C$16,$A53&lt;=EDATE(Premissas!$C$16,43))*0.8*Premissas!$C$11/43*(1+Premissas!$C$56)^$C53</f>
        <v>0</v>
      </c>
      <c r="AJ53" s="22" t="n">
        <f aca="false">L53-M53-N53-AI53</f>
        <v>502.524443033601</v>
      </c>
      <c r="AK53" s="22" t="n">
        <f aca="false">AK52+AJ53</f>
        <v>-389461.469008327</v>
      </c>
      <c r="AL53" s="22" t="n">
        <f aca="false">IF($A53&gt;=Premissas!$C$18,O53*(1-Premissas!$C$45)-Premissas!$C$46*MAX(0,O53*(1-Premissas!$C$45)-(SUM($AI$5:$AI$355)+Premissas!$C$26*Premissas!$C$60)),"")</f>
        <v>386947.864151981</v>
      </c>
      <c r="AM53" s="22" t="n">
        <f aca="false">IF($A53&gt;=Premissas!$C$18,AK53+AL53,"")</f>
        <v>-2513.6048563458</v>
      </c>
      <c r="AN53" s="22" t="n">
        <f aca="false">AN52*(1+$P53)-AJ53</f>
        <v>472080.273412482</v>
      </c>
      <c r="AO53" s="22" t="n">
        <f aca="false">V53+S53</f>
        <v>109119.967239785</v>
      </c>
    </row>
    <row r="54" customFormat="false" ht="15" hidden="false" customHeight="false" outlineLevel="0" collapsed="false">
      <c r="A54" s="26" t="n">
        <f aca="false">DATE(YEAR(A53),MONTH(A53)+1,1)</f>
        <v>47788</v>
      </c>
      <c r="B54" s="22" t="str">
        <f aca="false">IF($A54&lt;Premissas!$C$18,"Obra",IF($A54&lt;Premissas!$C$20,"Entrega/mobília","Airbnb"))</f>
        <v>Airbnb</v>
      </c>
      <c r="C54" s="36" t="n">
        <f aca="false">(YEAR($A54)-YEAR(Premissas!$C$16))*12+MONTH($A54)-MONTH(Premissas!$C$16)</f>
        <v>49</v>
      </c>
      <c r="D54" s="33" t="n">
        <f aca="false">IF($A54&gt;=Premissas!$C$20,Premissas!$C$31*IF(((YEAR($A54)-YEAR(Premissas!$C$20))*12+MONTH($A54)-MONTH(Premissas!$C$20))&lt;Premissas!$C$33,Premissas!$C$34,1),0)</f>
        <v>0.372</v>
      </c>
      <c r="E54" s="22" t="n">
        <f aca="false">D54*Premissas!$C$30*Premissas!$C$32*(1+Premissas!$C$58)^$C54</f>
        <v>3274.5905592957</v>
      </c>
      <c r="F54" s="22" t="n">
        <f aca="false">E54*Premissas!$C$35</f>
        <v>523.934489487313</v>
      </c>
      <c r="G54" s="22" t="n">
        <f aca="false">E54*Premissas!$C$36</f>
        <v>654.918111859141</v>
      </c>
      <c r="H54" s="22" t="n">
        <f aca="false">IF($A54&gt;=Premissas!$C$18,Premissas!$C$37*(1+Premissas!$C$58)^$C54,0)</f>
        <v>704.213023504452</v>
      </c>
      <c r="I54" s="22" t="n">
        <f aca="false">IF($A54&gt;=Premissas!$C$20,Premissas!$C$38*(1+Premissas!$C$58)^$C54,0)</f>
        <v>328.632744302078</v>
      </c>
      <c r="J54" s="22" t="n">
        <f aca="false">IF($A54&gt;=Premissas!$C$20,Premissas!$C$39*(1+Premissas!$C$58)^$C54,0)</f>
        <v>176.053255876113</v>
      </c>
      <c r="K54" s="22" t="n">
        <f aca="false">IF($A54&gt;=Premissas!$C$20,MAX(0,E54-F54-G54-H54)*Premissas!$C$41,0)</f>
        <v>382.669356972319</v>
      </c>
      <c r="L54" s="22" t="n">
        <f aca="false">E54-F54-G54-H54-I54-J54-K54</f>
        <v>504.169577294288</v>
      </c>
      <c r="M54" s="22" t="n">
        <f aca="false">($A54=Premissas!$C$18)*Premissas!$C$26*Premissas!$C$60</f>
        <v>0</v>
      </c>
      <c r="N54" s="22" t="n">
        <f aca="false">IF(AND($A54&gt;=Premissas!$C$18,$A54&lt;Premissas!$C$20),Premissas!$C$27/MAX(1,Premissas!$C$19),0)</f>
        <v>0</v>
      </c>
      <c r="O54" s="22" t="n">
        <f aca="false">IF($A54&gt;=Premissas!$C$18,Premissas!$C$60*(1+Premissas!$C$59)^((YEAR($A54)-YEAR(Premissas!$C$18))*12+MONTH($A54)-MONTH(Premissas!$C$18)),"")</f>
        <v>420122.600531414</v>
      </c>
      <c r="P54" s="31" t="n">
        <f aca="false">(1+IF(YEAR($A54)&lt;=2026,Premissas!$C$49,IF(YEAR($A54)=2027,Premissas!$C$50,IF(YEAR($A54)=2028,Premissas!$C$51,Premissas!$C$52)))*(1-Premissas!$C$53))^(1/12)-1</f>
        <v>0.00682149336596227</v>
      </c>
      <c r="Q54" s="22" t="n">
        <f aca="false">($A54=Premissas!$C$16)*Premissas!$C$13</f>
        <v>0</v>
      </c>
      <c r="R54" s="22" t="n">
        <f aca="false">L54-M54-N54-Q54</f>
        <v>504.169577294288</v>
      </c>
      <c r="S54" s="22" t="n">
        <f aca="false">S53+R54</f>
        <v>-304544.350132946</v>
      </c>
      <c r="T54" s="22" t="n">
        <f aca="false">IF($A54&gt;=Premissas!$C$18,O54*(1-Premissas!$C$45)-Premissas!$C$46*MAX(0,O54*(1-Premissas!$C$45)-(SUM($Q$5:$Q$355)+Premissas!$C$26*Premissas!$C$60)),"")</f>
        <v>375647.966171346</v>
      </c>
      <c r="U54" s="22" t="n">
        <f aca="false">IF($A54&gt;=Premissas!$C$18,S54+T54,"")</f>
        <v>71103.6160384</v>
      </c>
      <c r="V54" s="22" t="n">
        <f aca="false">V53*(1+$P54)-R54</f>
        <v>416489.564958851</v>
      </c>
      <c r="W54" s="22" t="n">
        <f aca="false">($A54=Premissas!$C$16)*Premissas!$C$9</f>
        <v>0</v>
      </c>
      <c r="X54" s="22" t="n">
        <f aca="false">L54-M54-N54-W54</f>
        <v>504.169577294288</v>
      </c>
      <c r="Y54" s="22" t="n">
        <f aca="false">Y53+X54</f>
        <v>-335472.350132946</v>
      </c>
      <c r="Z54" s="22" t="n">
        <f aca="false">IF($A54&gt;=Premissas!$C$18,O54*(1-Premissas!$C$45)-Premissas!$C$46*MAX(0,O54*(1-Premissas!$C$45)-(SUM($W$5:$W$355)+Premissas!$C$26*Premissas!$C$60)),"")</f>
        <v>380287.166171346</v>
      </c>
      <c r="AA54" s="22" t="n">
        <f aca="false">IF($A54&gt;=Premissas!$C$18,Y54+Z54,"")</f>
        <v>44814.8160384001</v>
      </c>
      <c r="AB54" s="22" t="n">
        <f aca="false">AB53*(1+$P54)-X54</f>
        <v>461062.296913451</v>
      </c>
      <c r="AC54" s="22" t="n">
        <f aca="false">AND($A54&gt;=Premissas!$C$16,$A54&lt;EDATE(Premissas!$C$16,3))*Premissas!$C$10/3*(1+Premissas!$C$56)^$C54</f>
        <v>0</v>
      </c>
      <c r="AD54" s="22" t="n">
        <f aca="false">L54-M54-N54-AC54</f>
        <v>504.169577294288</v>
      </c>
      <c r="AE54" s="22" t="n">
        <f aca="false">AE53+AD54</f>
        <v>-343092.81401297</v>
      </c>
      <c r="AF54" s="22" t="n">
        <f aca="false">IF($A54&gt;=Premissas!$C$18,O54*(1-Premissas!$C$45)-Premissas!$C$46*MAX(0,O54*(1-Premissas!$C$45)-(SUM($AC$5:$AC$355)+Premissas!$C$26*Premissas!$C$60)),"")</f>
        <v>381430.235753349</v>
      </c>
      <c r="AG54" s="22" t="n">
        <f aca="false">IF($A54&gt;=Premissas!$C$18,AE54+AF54,"")</f>
        <v>38337.421740379</v>
      </c>
      <c r="AH54" s="22" t="n">
        <f aca="false">AH53*(1+$P54)-AD54</f>
        <v>468167.155998534</v>
      </c>
      <c r="AI54" s="22" t="n">
        <f aca="false">($A54=Premissas!$C$16)*0.2*Premissas!$C$11+AND($A54&gt;Premissas!$C$16,$A54&lt;=EDATE(Premissas!$C$16,43))*0.8*Premissas!$C$11/43*(1+Premissas!$C$56)^$C54</f>
        <v>0</v>
      </c>
      <c r="AJ54" s="22" t="n">
        <f aca="false">L54-M54-N54-AI54</f>
        <v>504.169577294288</v>
      </c>
      <c r="AK54" s="22" t="n">
        <f aca="false">AK53+AJ54</f>
        <v>-388957.299431032</v>
      </c>
      <c r="AL54" s="22" t="n">
        <f aca="false">IF($A54&gt;=Premissas!$C$18,O54*(1-Premissas!$C$45)-Premissas!$C$46*MAX(0,O54*(1-Premissas!$C$45)-(SUM($AI$5:$AI$355)+Premissas!$C$26*Premissas!$C$60)),"")</f>
        <v>388309.908566059</v>
      </c>
      <c r="AM54" s="22" t="n">
        <f aca="false">IF($A54&gt;=Premissas!$C$18,AK54+AL54,"")</f>
        <v>-647.390864973655</v>
      </c>
      <c r="AN54" s="22" t="n">
        <f aca="false">AN53*(1+$P54)-AJ54</f>
        <v>474796.396288473</v>
      </c>
      <c r="AO54" s="22" t="n">
        <f aca="false">V54+S54</f>
        <v>111945.214825906</v>
      </c>
    </row>
    <row r="55" customFormat="false" ht="15" hidden="false" customHeight="false" outlineLevel="0" collapsed="false">
      <c r="A55" s="26" t="n">
        <f aca="false">DATE(YEAR(A54),MONTH(A54)+1,1)</f>
        <v>47818</v>
      </c>
      <c r="B55" s="22" t="str">
        <f aca="false">IF($A55&lt;Premissas!$C$18,"Obra",IF($A55&lt;Premissas!$C$20,"Entrega/mobília","Airbnb"))</f>
        <v>Airbnb</v>
      </c>
      <c r="C55" s="36" t="n">
        <f aca="false">(YEAR($A55)-YEAR(Premissas!$C$16))*12+MONTH($A55)-MONTH(Premissas!$C$16)</f>
        <v>50</v>
      </c>
      <c r="D55" s="33" t="n">
        <f aca="false">IF($A55&gt;=Premissas!$C$20,Premissas!$C$31*IF(((YEAR($A55)-YEAR(Premissas!$C$20))*12+MONTH($A55)-MONTH(Premissas!$C$20))&lt;Premissas!$C$33,Premissas!$C$34,1),0)</f>
        <v>0.62</v>
      </c>
      <c r="E55" s="22" t="n">
        <f aca="false">D55*Premissas!$C$30*Premissas!$C$32*(1+Premissas!$C$58)^$C55</f>
        <v>5475.51786113347</v>
      </c>
      <c r="F55" s="22" t="n">
        <f aca="false">E55*Premissas!$C$35</f>
        <v>876.082857781355</v>
      </c>
      <c r="G55" s="22" t="n">
        <f aca="false">E55*Premissas!$C$36</f>
        <v>1095.10357222669</v>
      </c>
      <c r="H55" s="22" t="n">
        <f aca="false">IF($A55&gt;=Premissas!$C$18,Premissas!$C$37*(1+Premissas!$C$58)^$C55,0)</f>
        <v>706.518433694642</v>
      </c>
      <c r="I55" s="22" t="n">
        <f aca="false">IF($A55&gt;=Premissas!$C$20,Premissas!$C$38*(1+Premissas!$C$58)^$C55,0)</f>
        <v>329.708602390833</v>
      </c>
      <c r="J55" s="22" t="n">
        <f aca="false">IF($A55&gt;=Premissas!$C$20,Premissas!$C$39*(1+Premissas!$C$58)^$C55,0)</f>
        <v>176.62960842366</v>
      </c>
      <c r="K55" s="22" t="n">
        <f aca="false">IF($A55&gt;=Premissas!$C$20,MAX(0,E55-F55-G55-H55)*Premissas!$C$41,0)</f>
        <v>769.398574293465</v>
      </c>
      <c r="L55" s="22" t="n">
        <f aca="false">E55-F55-G55-H55-I55-J55-K55</f>
        <v>1522.07621232282</v>
      </c>
      <c r="M55" s="22" t="n">
        <f aca="false">($A55=Premissas!$C$18)*Premissas!$C$26*Premissas!$C$60</f>
        <v>0</v>
      </c>
      <c r="N55" s="22" t="n">
        <f aca="false">IF(AND($A55&gt;=Premissas!$C$18,$A55&lt;Premissas!$C$20),Premissas!$C$27/MAX(1,Premissas!$C$19),0)</f>
        <v>0</v>
      </c>
      <c r="O55" s="22" t="n">
        <f aca="false">IF($A55&gt;=Premissas!$C$18,Premissas!$C$60*(1+Premissas!$C$59)^((YEAR($A55)-YEAR(Premissas!$C$18))*12+MONTH($A55)-MONTH(Premissas!$C$18)),"")</f>
        <v>421834.232010287</v>
      </c>
      <c r="P55" s="31" t="n">
        <f aca="false">(1+IF(YEAR($A55)&lt;=2026,Premissas!$C$49,IF(YEAR($A55)=2027,Premissas!$C$50,IF(YEAR($A55)=2028,Premissas!$C$51,Premissas!$C$52)))*(1-Premissas!$C$53))^(1/12)-1</f>
        <v>0.00682149336596227</v>
      </c>
      <c r="Q55" s="22" t="n">
        <f aca="false">($A55=Premissas!$C$16)*Premissas!$C$13</f>
        <v>0</v>
      </c>
      <c r="R55" s="22" t="n">
        <f aca="false">L55-M55-N55-Q55</f>
        <v>1522.07621232282</v>
      </c>
      <c r="S55" s="22" t="n">
        <f aca="false">S54+R55</f>
        <v>-303022.273920623</v>
      </c>
      <c r="T55" s="22" t="n">
        <f aca="false">IF($A55&gt;=Premissas!$C$18,O55*(1-Premissas!$C$45)-Premissas!$C$46*MAX(0,O55*(1-Premissas!$C$45)-(SUM($Q$5:$Q$355)+Premissas!$C$26*Premissas!$C$60)),"")</f>
        <v>377015.559722965</v>
      </c>
      <c r="U55" s="22" t="n">
        <f aca="false">IF($A55&gt;=Premissas!$C$18,S55+T55,"")</f>
        <v>73993.2858023426</v>
      </c>
      <c r="V55" s="22" t="n">
        <f aca="false">V54*(1+$P55)-R55</f>
        <v>417808.569550888</v>
      </c>
      <c r="W55" s="22" t="n">
        <f aca="false">($A55=Premissas!$C$16)*Premissas!$C$9</f>
        <v>0</v>
      </c>
      <c r="X55" s="22" t="n">
        <f aca="false">L55-M55-N55-W55</f>
        <v>1522.07621232282</v>
      </c>
      <c r="Y55" s="22" t="n">
        <f aca="false">Y54+X55</f>
        <v>-333950.273920623</v>
      </c>
      <c r="Z55" s="22" t="n">
        <f aca="false">IF($A55&gt;=Premissas!$C$18,O55*(1-Premissas!$C$45)-Premissas!$C$46*MAX(0,O55*(1-Premissas!$C$45)-(SUM($W$5:$W$355)+Premissas!$C$26*Premissas!$C$60)),"")</f>
        <v>381654.759722965</v>
      </c>
      <c r="AA55" s="22" t="n">
        <f aca="false">IF($A55&gt;=Premissas!$C$18,Y55+Z55,"")</f>
        <v>47704.4858023427</v>
      </c>
      <c r="AB55" s="22" t="n">
        <f aca="false">AB54*(1+$P55)-X55</f>
        <v>462685.354100819</v>
      </c>
      <c r="AC55" s="22" t="n">
        <f aca="false">AND($A55&gt;=Premissas!$C$16,$A55&lt;EDATE(Premissas!$C$16,3))*Premissas!$C$10/3*(1+Premissas!$C$56)^$C55</f>
        <v>0</v>
      </c>
      <c r="AD55" s="22" t="n">
        <f aca="false">L55-M55-N55-AC55</f>
        <v>1522.07621232282</v>
      </c>
      <c r="AE55" s="22" t="n">
        <f aca="false">AE54+AD55</f>
        <v>-341570.737800648</v>
      </c>
      <c r="AF55" s="22" t="n">
        <f aca="false">IF($A55&gt;=Premissas!$C$18,O55*(1-Premissas!$C$45)-Premissas!$C$46*MAX(0,O55*(1-Premissas!$C$45)-(SUM($AC$5:$AC$355)+Premissas!$C$26*Premissas!$C$60)),"")</f>
        <v>382797.829304969</v>
      </c>
      <c r="AG55" s="22" t="n">
        <f aca="false">IF($A55&gt;=Premissas!$C$18,AE55+AF55,"")</f>
        <v>41227.0915043215</v>
      </c>
      <c r="AH55" s="22" t="n">
        <f aca="false">AH54*(1+$P55)-AD55</f>
        <v>469838.678935016</v>
      </c>
      <c r="AI55" s="22" t="n">
        <f aca="false">($A55=Premissas!$C$16)*0.2*Premissas!$C$11+AND($A55&gt;Premissas!$C$16,$A55&lt;=EDATE(Premissas!$C$16,43))*0.8*Premissas!$C$11/43*(1+Premissas!$C$56)^$C55</f>
        <v>0</v>
      </c>
      <c r="AJ55" s="22" t="n">
        <f aca="false">L55-M55-N55-AI55</f>
        <v>1522.07621232282</v>
      </c>
      <c r="AK55" s="22" t="n">
        <f aca="false">AK54+AJ55</f>
        <v>-387435.223218709</v>
      </c>
      <c r="AL55" s="22" t="n">
        <f aca="false">IF($A55&gt;=Premissas!$C$18,O55*(1-Premissas!$C$45)-Premissas!$C$46*MAX(0,O55*(1-Premissas!$C$45)-(SUM($AI$5:$AI$355)+Premissas!$C$26*Premissas!$C$60)),"")</f>
        <v>389677.502117678</v>
      </c>
      <c r="AM55" s="22" t="n">
        <f aca="false">IF($A55&gt;=Premissas!$C$18,AK55+AL55,"")</f>
        <v>2242.27889896894</v>
      </c>
      <c r="AN55" s="22" t="n">
        <f aca="false">AN54*(1+$P55)-AJ55</f>
        <v>476513.140543614</v>
      </c>
      <c r="AO55" s="22" t="n">
        <f aca="false">V55+S55</f>
        <v>114786.295630265</v>
      </c>
    </row>
    <row r="56" customFormat="false" ht="15" hidden="false" customHeight="false" outlineLevel="0" collapsed="false">
      <c r="A56" s="26" t="n">
        <f aca="false">DATE(YEAR(A55),MONTH(A55)+1,1)</f>
        <v>47849</v>
      </c>
      <c r="B56" s="22" t="str">
        <f aca="false">IF($A56&lt;Premissas!$C$18,"Obra",IF($A56&lt;Premissas!$C$20,"Entrega/mobília","Airbnb"))</f>
        <v>Airbnb</v>
      </c>
      <c r="C56" s="36" t="n">
        <f aca="false">(YEAR($A56)-YEAR(Premissas!$C$16))*12+MONTH($A56)-MONTH(Premissas!$C$16)</f>
        <v>51</v>
      </c>
      <c r="D56" s="33" t="n">
        <f aca="false">IF($A56&gt;=Premissas!$C$20,Premissas!$C$31*IF(((YEAR($A56)-YEAR(Premissas!$C$20))*12+MONTH($A56)-MONTH(Premissas!$C$20))&lt;Premissas!$C$33,Premissas!$C$34,1),0)</f>
        <v>0.62</v>
      </c>
      <c r="E56" s="22" t="n">
        <f aca="false">D56*Premissas!$C$30*Premissas!$C$32*(1+Premissas!$C$58)^$C56</f>
        <v>5493.44328178361</v>
      </c>
      <c r="F56" s="22" t="n">
        <f aca="false">E56*Premissas!$C$35</f>
        <v>878.950925085377</v>
      </c>
      <c r="G56" s="22" t="n">
        <f aca="false">E56*Premissas!$C$36</f>
        <v>1098.68865635672</v>
      </c>
      <c r="H56" s="22" t="n">
        <f aca="false">IF($A56&gt;=Premissas!$C$18,Premissas!$C$37*(1+Premissas!$C$58)^$C56,0)</f>
        <v>708.831391197885</v>
      </c>
      <c r="I56" s="22" t="n">
        <f aca="false">IF($A56&gt;=Premissas!$C$20,Premissas!$C$38*(1+Premissas!$C$58)^$C56,0)</f>
        <v>330.787982559013</v>
      </c>
      <c r="J56" s="22" t="n">
        <f aca="false">IF($A56&gt;=Premissas!$C$20,Premissas!$C$39*(1+Premissas!$C$58)^$C56,0)</f>
        <v>177.207847799471</v>
      </c>
      <c r="K56" s="22" t="n">
        <f aca="false">IF($A56&gt;=Premissas!$C$20,MAX(0,E56-F56-G56-H56)*Premissas!$C$41,0)</f>
        <v>771.917385014496</v>
      </c>
      <c r="L56" s="22" t="n">
        <f aca="false">E56-F56-G56-H56-I56-J56-K56</f>
        <v>1527.05909377064</v>
      </c>
      <c r="M56" s="22" t="n">
        <f aca="false">($A56=Premissas!$C$18)*Premissas!$C$26*Premissas!$C$60</f>
        <v>0</v>
      </c>
      <c r="N56" s="22" t="n">
        <f aca="false">IF(AND($A56&gt;=Premissas!$C$18,$A56&lt;Premissas!$C$20),Premissas!$C$27/MAX(1,Premissas!$C$19),0)</f>
        <v>0</v>
      </c>
      <c r="O56" s="22" t="n">
        <f aca="false">IF($A56&gt;=Premissas!$C$18,Premissas!$C$60*(1+Premissas!$C$59)^((YEAR($A56)-YEAR(Premissas!$C$18))*12+MONTH($A56)-MONTH(Premissas!$C$18)),"")</f>
        <v>423552.836887677</v>
      </c>
      <c r="P56" s="31" t="n">
        <f aca="false">(1+IF(YEAR($A56)&lt;=2026,Premissas!$C$49,IF(YEAR($A56)=2027,Premissas!$C$50,IF(YEAR($A56)=2028,Premissas!$C$51,Premissas!$C$52)))*(1-Premissas!$C$53))^(1/12)-1</f>
        <v>0.00682149336596227</v>
      </c>
      <c r="Q56" s="22" t="n">
        <f aca="false">($A56=Premissas!$C$16)*Premissas!$C$13</f>
        <v>0</v>
      </c>
      <c r="R56" s="22" t="n">
        <f aca="false">L56-M56-N56-Q56</f>
        <v>1527.05909377064</v>
      </c>
      <c r="S56" s="22" t="n">
        <f aca="false">S55+R56</f>
        <v>-301495.214826852</v>
      </c>
      <c r="T56" s="22" t="n">
        <f aca="false">IF($A56&gt;=Premissas!$C$18,O56*(1-Premissas!$C$45)-Premissas!$C$46*MAX(0,O56*(1-Premissas!$C$45)-(SUM($Q$5:$Q$355)+Premissas!$C$26*Premissas!$C$60)),"")</f>
        <v>378388.72502</v>
      </c>
      <c r="U56" s="22" t="n">
        <f aca="false">IF($A56&gt;=Premissas!$C$18,S56+T56,"")</f>
        <v>76893.5101931479</v>
      </c>
      <c r="V56" s="22" t="n">
        <f aca="false">V55*(1+$P56)-R56</f>
        <v>419131.588842551</v>
      </c>
      <c r="W56" s="22" t="n">
        <f aca="false">($A56=Premissas!$C$16)*Premissas!$C$9</f>
        <v>0</v>
      </c>
      <c r="X56" s="22" t="n">
        <f aca="false">L56-M56-N56-W56</f>
        <v>1527.05909377064</v>
      </c>
      <c r="Y56" s="22" t="n">
        <f aca="false">Y55+X56</f>
        <v>-332423.214826852</v>
      </c>
      <c r="Z56" s="22" t="n">
        <f aca="false">IF($A56&gt;=Premissas!$C$18,O56*(1-Premissas!$C$45)-Premissas!$C$46*MAX(0,O56*(1-Premissas!$C$45)-(SUM($W$5:$W$355)+Premissas!$C$26*Premissas!$C$60)),"")</f>
        <v>383027.92502</v>
      </c>
      <c r="AA56" s="22" t="n">
        <f aca="false">IF($A56&gt;=Premissas!$C$18,Y56+Z56,"")</f>
        <v>50604.7101931479</v>
      </c>
      <c r="AB56" s="22" t="n">
        <f aca="false">AB55*(1+$P56)-X56</f>
        <v>464314.500080575</v>
      </c>
      <c r="AC56" s="22" t="n">
        <f aca="false">AND($A56&gt;=Premissas!$C$16,$A56&lt;EDATE(Premissas!$C$16,3))*Premissas!$C$10/3*(1+Premissas!$C$56)^$C56</f>
        <v>0</v>
      </c>
      <c r="AD56" s="22" t="n">
        <f aca="false">L56-M56-N56-AC56</f>
        <v>1527.05909377064</v>
      </c>
      <c r="AE56" s="22" t="n">
        <f aca="false">AE55+AD56</f>
        <v>-340043.678706877</v>
      </c>
      <c r="AF56" s="22" t="n">
        <f aca="false">IF($A56&gt;=Premissas!$C$18,O56*(1-Premissas!$C$45)-Premissas!$C$46*MAX(0,O56*(1-Premissas!$C$45)-(SUM($AC$5:$AC$355)+Premissas!$C$26*Premissas!$C$60)),"")</f>
        <v>384170.994602004</v>
      </c>
      <c r="AG56" s="22" t="n">
        <f aca="false">IF($A56&gt;=Premissas!$C$18,AE56+AF56,"")</f>
        <v>44127.3158951268</v>
      </c>
      <c r="AH56" s="22" t="n">
        <f aca="false">AH55*(1+$P56)-AD56</f>
        <v>471516.621272673</v>
      </c>
      <c r="AI56" s="22" t="n">
        <f aca="false">($A56=Premissas!$C$16)*0.2*Premissas!$C$11+AND($A56&gt;Premissas!$C$16,$A56&lt;=EDATE(Premissas!$C$16,43))*0.8*Premissas!$C$11/43*(1+Premissas!$C$56)^$C56</f>
        <v>0</v>
      </c>
      <c r="AJ56" s="22" t="n">
        <f aca="false">L56-M56-N56-AI56</f>
        <v>1527.05909377064</v>
      </c>
      <c r="AK56" s="22" t="n">
        <f aca="false">AK55+AJ56</f>
        <v>-385908.164124939</v>
      </c>
      <c r="AL56" s="22" t="n">
        <f aca="false">IF($A56&gt;=Premissas!$C$18,O56*(1-Premissas!$C$45)-Premissas!$C$46*MAX(0,O56*(1-Premissas!$C$45)-(SUM($AI$5:$AI$355)+Premissas!$C$26*Premissas!$C$60)),"")</f>
        <v>391050.667414713</v>
      </c>
      <c r="AM56" s="22" t="n">
        <f aca="false">IF($A56&gt;=Premissas!$C$18,AK56+AL56,"")</f>
        <v>5142.50328977424</v>
      </c>
      <c r="AN56" s="22" t="n">
        <f aca="false">AN55*(1+$P56)-AJ56</f>
        <v>478236.612676856</v>
      </c>
      <c r="AO56" s="22" t="n">
        <f aca="false">V56+S56</f>
        <v>117636.374015699</v>
      </c>
    </row>
    <row r="57" customFormat="false" ht="15" hidden="false" customHeight="false" outlineLevel="0" collapsed="false">
      <c r="A57" s="26" t="n">
        <f aca="false">DATE(YEAR(A56),MONTH(A56)+1,1)</f>
        <v>47880</v>
      </c>
      <c r="B57" s="22" t="str">
        <f aca="false">IF($A57&lt;Premissas!$C$18,"Obra",IF($A57&lt;Premissas!$C$20,"Entrega/mobília","Airbnb"))</f>
        <v>Airbnb</v>
      </c>
      <c r="C57" s="36" t="n">
        <f aca="false">(YEAR($A57)-YEAR(Premissas!$C$16))*12+MONTH($A57)-MONTH(Premissas!$C$16)</f>
        <v>52</v>
      </c>
      <c r="D57" s="33" t="n">
        <f aca="false">IF($A57&gt;=Premissas!$C$20,Premissas!$C$31*IF(((YEAR($A57)-YEAR(Premissas!$C$20))*12+MONTH($A57)-MONTH(Premissas!$C$20))&lt;Premissas!$C$33,Premissas!$C$34,1),0)</f>
        <v>0.62</v>
      </c>
      <c r="E57" s="22" t="n">
        <f aca="false">D57*Premissas!$C$30*Premissas!$C$32*(1+Premissas!$C$58)^$C57</f>
        <v>5511.42738559643</v>
      </c>
      <c r="F57" s="22" t="n">
        <f aca="false">E57*Premissas!$C$35</f>
        <v>881.82838169543</v>
      </c>
      <c r="G57" s="22" t="n">
        <f aca="false">E57*Premissas!$C$36</f>
        <v>1102.28547711929</v>
      </c>
      <c r="H57" s="22" t="n">
        <f aca="false">IF($A57&gt;=Premissas!$C$18,Premissas!$C$37*(1+Premissas!$C$58)^$C57,0)</f>
        <v>711.151920722121</v>
      </c>
      <c r="I57" s="22" t="n">
        <f aca="false">IF($A57&gt;=Premissas!$C$20,Premissas!$C$38*(1+Premissas!$C$58)^$C57,0)</f>
        <v>331.87089633699</v>
      </c>
      <c r="J57" s="22" t="n">
        <f aca="false">IF($A57&gt;=Premissas!$C$20,Premissas!$C$39*(1+Premissas!$C$58)^$C57,0)</f>
        <v>177.78798018053</v>
      </c>
      <c r="K57" s="22" t="n">
        <f aca="false">IF($A57&gt;=Premissas!$C$20,MAX(0,E57-F57-G57-H57)*Premissas!$C$41,0)</f>
        <v>774.444441666389</v>
      </c>
      <c r="L57" s="22" t="n">
        <f aca="false">E57-F57-G57-H57-I57-J57-K57</f>
        <v>1532.05828787569</v>
      </c>
      <c r="M57" s="22" t="n">
        <f aca="false">($A57=Premissas!$C$18)*Premissas!$C$26*Premissas!$C$60</f>
        <v>0</v>
      </c>
      <c r="N57" s="22" t="n">
        <f aca="false">IF(AND($A57&gt;=Premissas!$C$18,$A57&lt;Premissas!$C$20),Premissas!$C$27/MAX(1,Premissas!$C$19),0)</f>
        <v>0</v>
      </c>
      <c r="O57" s="22" t="n">
        <f aca="false">IF($A57&gt;=Premissas!$C$18,Premissas!$C$60*(1+Premissas!$C$59)^((YEAR($A57)-YEAR(Premissas!$C$18))*12+MONTH($A57)-MONTH(Premissas!$C$18)),"")</f>
        <v>425278.443574073</v>
      </c>
      <c r="P57" s="31" t="n">
        <f aca="false">(1+IF(YEAR($A57)&lt;=2026,Premissas!$C$49,IF(YEAR($A57)=2027,Premissas!$C$50,IF(YEAR($A57)=2028,Premissas!$C$51,Premissas!$C$52)))*(1-Premissas!$C$53))^(1/12)-1</f>
        <v>0.00682149336596227</v>
      </c>
      <c r="Q57" s="22" t="n">
        <f aca="false">($A57=Premissas!$C$16)*Premissas!$C$13</f>
        <v>0</v>
      </c>
      <c r="R57" s="22" t="n">
        <f aca="false">L57-M57-N57-Q57</f>
        <v>1532.05828787569</v>
      </c>
      <c r="S57" s="22" t="n">
        <f aca="false">S56+R57</f>
        <v>-299963.156538976</v>
      </c>
      <c r="T57" s="22" t="n">
        <f aca="false">IF($A57&gt;=Premissas!$C$18,O57*(1-Premissas!$C$45)-Premissas!$C$46*MAX(0,O57*(1-Premissas!$C$45)-(SUM($Q$5:$Q$355)+Premissas!$C$26*Premissas!$C$60)),"")</f>
        <v>379767.48476243</v>
      </c>
      <c r="U57" s="22" t="n">
        <f aca="false">IF($A57&gt;=Premissas!$C$18,S57+T57,"")</f>
        <v>79804.3282234539</v>
      </c>
      <c r="V57" s="22" t="n">
        <f aca="false">V56*(1+$P57)-R57</f>
        <v>420458.63390743</v>
      </c>
      <c r="W57" s="22" t="n">
        <f aca="false">($A57=Premissas!$C$16)*Premissas!$C$9</f>
        <v>0</v>
      </c>
      <c r="X57" s="22" t="n">
        <f aca="false">L57-M57-N57-W57</f>
        <v>1532.05828787569</v>
      </c>
      <c r="Y57" s="22" t="n">
        <f aca="false">Y56+X57</f>
        <v>-330891.156538976</v>
      </c>
      <c r="Z57" s="22" t="n">
        <f aca="false">IF($A57&gt;=Premissas!$C$18,O57*(1-Premissas!$C$45)-Premissas!$C$46*MAX(0,O57*(1-Premissas!$C$45)-(SUM($W$5:$W$355)+Premissas!$C$26*Premissas!$C$60)),"")</f>
        <v>384406.68476243</v>
      </c>
      <c r="AA57" s="22" t="n">
        <f aca="false">IF($A57&gt;=Premissas!$C$18,Y57+Z57,"")</f>
        <v>53515.5282234539</v>
      </c>
      <c r="AB57" s="22" t="n">
        <f aca="false">AB56*(1+$P57)-X57</f>
        <v>465949.760074719</v>
      </c>
      <c r="AC57" s="22" t="n">
        <f aca="false">AND($A57&gt;=Premissas!$C$16,$A57&lt;EDATE(Premissas!$C$16,3))*Premissas!$C$10/3*(1+Premissas!$C$56)^$C57</f>
        <v>0</v>
      </c>
      <c r="AD57" s="22" t="n">
        <f aca="false">L57-M57-N57-AC57</f>
        <v>1532.05828787569</v>
      </c>
      <c r="AE57" s="22" t="n">
        <f aca="false">AE56+AD57</f>
        <v>-338511.620419001</v>
      </c>
      <c r="AF57" s="22" t="n">
        <f aca="false">IF($A57&gt;=Premissas!$C$18,O57*(1-Premissas!$C$45)-Premissas!$C$46*MAX(0,O57*(1-Premissas!$C$45)-(SUM($AC$5:$AC$355)+Premissas!$C$26*Premissas!$C$60)),"")</f>
        <v>385549.754344434</v>
      </c>
      <c r="AG57" s="22" t="n">
        <f aca="false">IF($A57&gt;=Premissas!$C$18,AE57+AF57,"")</f>
        <v>47038.1339254328</v>
      </c>
      <c r="AH57" s="22" t="n">
        <f aca="false">AH56*(1+$P57)-AD57</f>
        <v>473201.01048875</v>
      </c>
      <c r="AI57" s="22" t="n">
        <f aca="false">($A57=Premissas!$C$16)*0.2*Premissas!$C$11+AND($A57&gt;Premissas!$C$16,$A57&lt;=EDATE(Premissas!$C$16,43))*0.8*Premissas!$C$11/43*(1+Premissas!$C$56)^$C57</f>
        <v>0</v>
      </c>
      <c r="AJ57" s="22" t="n">
        <f aca="false">L57-M57-N57-AI57</f>
        <v>1532.05828787569</v>
      </c>
      <c r="AK57" s="22" t="n">
        <f aca="false">AK56+AJ57</f>
        <v>-384376.105837063</v>
      </c>
      <c r="AL57" s="22" t="n">
        <f aca="false">IF($A57&gt;=Premissas!$C$18,O57*(1-Premissas!$C$45)-Premissas!$C$46*MAX(0,O57*(1-Premissas!$C$45)-(SUM($AI$5:$AI$355)+Premissas!$C$26*Premissas!$C$60)),"")</f>
        <v>392429.427157143</v>
      </c>
      <c r="AM57" s="22" t="n">
        <f aca="false">IF($A57&gt;=Premissas!$C$18,AK57+AL57,"")</f>
        <v>8053.3213200802</v>
      </c>
      <c r="AN57" s="22" t="n">
        <f aca="false">AN56*(1+$P57)-AJ57</f>
        <v>479966.842269716</v>
      </c>
      <c r="AO57" s="22" t="n">
        <f aca="false">V57+S57</f>
        <v>120495.477368453</v>
      </c>
    </row>
    <row r="58" customFormat="false" ht="15" hidden="false" customHeight="false" outlineLevel="0" collapsed="false">
      <c r="A58" s="26" t="n">
        <f aca="false">DATE(YEAR(A57),MONTH(A57)+1,1)</f>
        <v>47908</v>
      </c>
      <c r="B58" s="22" t="str">
        <f aca="false">IF($A58&lt;Premissas!$C$18,"Obra",IF($A58&lt;Premissas!$C$20,"Entrega/mobília","Airbnb"))</f>
        <v>Airbnb</v>
      </c>
      <c r="C58" s="36" t="n">
        <f aca="false">(YEAR($A58)-YEAR(Premissas!$C$16))*12+MONTH($A58)-MONTH(Premissas!$C$16)</f>
        <v>53</v>
      </c>
      <c r="D58" s="33" t="n">
        <f aca="false">IF($A58&gt;=Premissas!$C$20,Premissas!$C$31*IF(((YEAR($A58)-YEAR(Premissas!$C$20))*12+MONTH($A58)-MONTH(Premissas!$C$20))&lt;Premissas!$C$33,Premissas!$C$34,1),0)</f>
        <v>0.62</v>
      </c>
      <c r="E58" s="22" t="n">
        <f aca="false">D58*Premissas!$C$30*Premissas!$C$32*(1+Premissas!$C$58)^$C58</f>
        <v>5529.47036468536</v>
      </c>
      <c r="F58" s="22" t="n">
        <f aca="false">E58*Premissas!$C$35</f>
        <v>884.715258349658</v>
      </c>
      <c r="G58" s="22" t="n">
        <f aca="false">E58*Premissas!$C$36</f>
        <v>1105.89407293707</v>
      </c>
      <c r="H58" s="22" t="n">
        <f aca="false">IF($A58&gt;=Premissas!$C$18,Premissas!$C$37*(1+Premissas!$C$58)^$C58,0)</f>
        <v>713.480047056176</v>
      </c>
      <c r="I58" s="22" t="n">
        <f aca="false">IF($A58&gt;=Premissas!$C$20,Premissas!$C$38*(1+Premissas!$C$58)^$C58,0)</f>
        <v>332.957355292882</v>
      </c>
      <c r="J58" s="22" t="n">
        <f aca="false">IF($A58&gt;=Premissas!$C$20,Premissas!$C$39*(1+Premissas!$C$58)^$C58,0)</f>
        <v>178.370011764044</v>
      </c>
      <c r="K58" s="22" t="n">
        <f aca="false">IF($A58&gt;=Premissas!$C$20,MAX(0,E58-F58-G58-H58)*Premissas!$C$41,0)</f>
        <v>776.979771244175</v>
      </c>
      <c r="L58" s="22" t="n">
        <f aca="false">E58-F58-G58-H58-I58-J58-K58</f>
        <v>1537.07384804135</v>
      </c>
      <c r="M58" s="22" t="n">
        <f aca="false">($A58=Premissas!$C$18)*Premissas!$C$26*Premissas!$C$60</f>
        <v>0</v>
      </c>
      <c r="N58" s="22" t="n">
        <f aca="false">IF(AND($A58&gt;=Premissas!$C$18,$A58&lt;Premissas!$C$20),Premissas!$C$27/MAX(1,Premissas!$C$19),0)</f>
        <v>0</v>
      </c>
      <c r="O58" s="22" t="n">
        <f aca="false">IF($A58&gt;=Premissas!$C$18,Premissas!$C$60*(1+Premissas!$C$59)^((YEAR($A58)-YEAR(Premissas!$C$18))*12+MONTH($A58)-MONTH(Premissas!$C$18)),"")</f>
        <v>427011.080595711</v>
      </c>
      <c r="P58" s="31" t="n">
        <f aca="false">(1+IF(YEAR($A58)&lt;=2026,Premissas!$C$49,IF(YEAR($A58)=2027,Premissas!$C$50,IF(YEAR($A58)=2028,Premissas!$C$51,Premissas!$C$52)))*(1-Premissas!$C$53))^(1/12)-1</f>
        <v>0.00682149336596227</v>
      </c>
      <c r="Q58" s="22" t="n">
        <f aca="false">($A58=Premissas!$C$16)*Premissas!$C$13</f>
        <v>0</v>
      </c>
      <c r="R58" s="22" t="n">
        <f aca="false">L58-M58-N58-Q58</f>
        <v>1537.07384804135</v>
      </c>
      <c r="S58" s="22" t="n">
        <f aca="false">S57+R58</f>
        <v>-298426.082690935</v>
      </c>
      <c r="T58" s="22" t="n">
        <f aca="false">IF($A58&gt;=Premissas!$C$18,O58*(1-Premissas!$C$45)-Premissas!$C$46*MAX(0,O58*(1-Premissas!$C$45)-(SUM($Q$5:$Q$355)+Premissas!$C$26*Premissas!$C$60)),"")</f>
        <v>381151.861742719</v>
      </c>
      <c r="U58" s="22" t="n">
        <f aca="false">IF($A58&gt;=Premissas!$C$18,S58+T58,"")</f>
        <v>82725.779051784</v>
      </c>
      <c r="V58" s="22" t="n">
        <f aca="false">V57*(1+$P58)-R58</f>
        <v>421789.715841249</v>
      </c>
      <c r="W58" s="22" t="n">
        <f aca="false">($A58=Premissas!$C$16)*Premissas!$C$9</f>
        <v>0</v>
      </c>
      <c r="X58" s="22" t="n">
        <f aca="false">L58-M58-N58-W58</f>
        <v>1537.07384804135</v>
      </c>
      <c r="Y58" s="22" t="n">
        <f aca="false">Y57+X58</f>
        <v>-329354.082690935</v>
      </c>
      <c r="Z58" s="22" t="n">
        <f aca="false">IF($A58&gt;=Premissas!$C$18,O58*(1-Premissas!$C$45)-Premissas!$C$46*MAX(0,O58*(1-Premissas!$C$45)-(SUM($W$5:$W$355)+Premissas!$C$26*Premissas!$C$60)),"")</f>
        <v>385791.061742719</v>
      </c>
      <c r="AA58" s="22" t="n">
        <f aca="false">IF($A58&gt;=Premissas!$C$18,Y58+Z58,"")</f>
        <v>56436.979051784</v>
      </c>
      <c r="AB58" s="22" t="n">
        <f aca="false">AB57*(1+$P58)-X58</f>
        <v>467591.159423899</v>
      </c>
      <c r="AC58" s="22" t="n">
        <f aca="false">AND($A58&gt;=Premissas!$C$16,$A58&lt;EDATE(Premissas!$C$16,3))*Premissas!$C$10/3*(1+Premissas!$C$56)^$C58</f>
        <v>0</v>
      </c>
      <c r="AD58" s="22" t="n">
        <f aca="false">L58-M58-N58-AC58</f>
        <v>1537.07384804135</v>
      </c>
      <c r="AE58" s="22" t="n">
        <f aca="false">AE57+AD58</f>
        <v>-336974.54657096</v>
      </c>
      <c r="AF58" s="22" t="n">
        <f aca="false">IF($A58&gt;=Premissas!$C$18,O58*(1-Premissas!$C$45)-Premissas!$C$46*MAX(0,O58*(1-Premissas!$C$45)-(SUM($AC$5:$AC$355)+Premissas!$C$26*Premissas!$C$60)),"")</f>
        <v>386934.131324723</v>
      </c>
      <c r="AG58" s="22" t="n">
        <f aca="false">IF($A58&gt;=Premissas!$C$18,AE58+AF58,"")</f>
        <v>49959.5847537629</v>
      </c>
      <c r="AH58" s="22" t="n">
        <f aca="false">AH57*(1+$P58)-AD58</f>
        <v>474891.874194524</v>
      </c>
      <c r="AI58" s="22" t="n">
        <f aca="false">($A58=Premissas!$C$16)*0.2*Premissas!$C$11+AND($A58&gt;Premissas!$C$16,$A58&lt;=EDATE(Premissas!$C$16,43))*0.8*Premissas!$C$11/43*(1+Premissas!$C$56)^$C58</f>
        <v>0</v>
      </c>
      <c r="AJ58" s="22" t="n">
        <f aca="false">L58-M58-N58-AI58</f>
        <v>1537.07384804135</v>
      </c>
      <c r="AK58" s="22" t="n">
        <f aca="false">AK57+AJ58</f>
        <v>-382839.031989022</v>
      </c>
      <c r="AL58" s="22" t="n">
        <f aca="false">IF($A58&gt;=Premissas!$C$18,O58*(1-Premissas!$C$45)-Premissas!$C$46*MAX(0,O58*(1-Premissas!$C$45)-(SUM($AI$5:$AI$355)+Premissas!$C$26*Premissas!$C$60)),"")</f>
        <v>393813.804137432</v>
      </c>
      <c r="AM58" s="22" t="n">
        <f aca="false">IF($A58&gt;=Premissas!$C$18,AK58+AL58,"")</f>
        <v>10974.7721484104</v>
      </c>
      <c r="AN58" s="22" t="n">
        <f aca="false">AN57*(1+$P58)-AJ58</f>
        <v>481703.859052099</v>
      </c>
      <c r="AO58" s="22" t="n">
        <f aca="false">V58+S58</f>
        <v>123363.633150314</v>
      </c>
    </row>
    <row r="59" customFormat="false" ht="15" hidden="false" customHeight="false" outlineLevel="0" collapsed="false">
      <c r="A59" s="26" t="n">
        <f aca="false">DATE(YEAR(A58),MONTH(A58)+1,1)</f>
        <v>47939</v>
      </c>
      <c r="B59" s="22" t="str">
        <f aca="false">IF($A59&lt;Premissas!$C$18,"Obra",IF($A59&lt;Premissas!$C$20,"Entrega/mobília","Airbnb"))</f>
        <v>Airbnb</v>
      </c>
      <c r="C59" s="36" t="n">
        <f aca="false">(YEAR($A59)-YEAR(Premissas!$C$16))*12+MONTH($A59)-MONTH(Premissas!$C$16)</f>
        <v>54</v>
      </c>
      <c r="D59" s="33" t="n">
        <f aca="false">IF($A59&gt;=Premissas!$C$20,Premissas!$C$31*IF(((YEAR($A59)-YEAR(Premissas!$C$20))*12+MONTH($A59)-MONTH(Premissas!$C$20))&lt;Premissas!$C$33,Premissas!$C$34,1),0)</f>
        <v>0.62</v>
      </c>
      <c r="E59" s="22" t="n">
        <f aca="false">D59*Premissas!$C$30*Premissas!$C$32*(1+Premissas!$C$58)^$C59</f>
        <v>5547.57241179272</v>
      </c>
      <c r="F59" s="22" t="n">
        <f aca="false">E59*Premissas!$C$35</f>
        <v>887.611585886836</v>
      </c>
      <c r="G59" s="22" t="n">
        <f aca="false">E59*Premissas!$C$36</f>
        <v>1109.51448235854</v>
      </c>
      <c r="H59" s="22" t="n">
        <f aca="false">IF($A59&gt;=Premissas!$C$18,Premissas!$C$37*(1+Premissas!$C$58)^$C59,0)</f>
        <v>715.815795070029</v>
      </c>
      <c r="I59" s="22" t="n">
        <f aca="false">IF($A59&gt;=Premissas!$C$20,Premissas!$C$38*(1+Premissas!$C$58)^$C59,0)</f>
        <v>334.04737103268</v>
      </c>
      <c r="J59" s="22" t="n">
        <f aca="false">IF($A59&gt;=Premissas!$C$20,Premissas!$C$39*(1+Premissas!$C$58)^$C59,0)</f>
        <v>178.953948767507</v>
      </c>
      <c r="K59" s="22" t="n">
        <f aca="false">IF($A59&gt;=Premissas!$C$20,MAX(0,E59-F59-G59-H59)*Premissas!$C$41,0)</f>
        <v>779.523400831261</v>
      </c>
      <c r="L59" s="22" t="n">
        <f aca="false">E59-F59-G59-H59-I59-J59-K59</f>
        <v>1542.10582784587</v>
      </c>
      <c r="M59" s="22" t="n">
        <f aca="false">($A59=Premissas!$C$18)*Premissas!$C$26*Premissas!$C$60</f>
        <v>0</v>
      </c>
      <c r="N59" s="22" t="n">
        <f aca="false">IF(AND($A59&gt;=Premissas!$C$18,$A59&lt;Premissas!$C$20),Premissas!$C$27/MAX(1,Premissas!$C$19),0)</f>
        <v>0</v>
      </c>
      <c r="O59" s="22" t="n">
        <f aca="false">IF($A59&gt;=Premissas!$C$18,Premissas!$C$60*(1+Premissas!$C$59)^((YEAR($A59)-YEAR(Premissas!$C$18))*12+MONTH($A59)-MONTH(Premissas!$C$18)),"")</f>
        <v>428750.776595047</v>
      </c>
      <c r="P59" s="31" t="n">
        <f aca="false">(1+IF(YEAR($A59)&lt;=2026,Premissas!$C$49,IF(YEAR($A59)=2027,Premissas!$C$50,IF(YEAR($A59)=2028,Premissas!$C$51,Premissas!$C$52)))*(1-Premissas!$C$53))^(1/12)-1</f>
        <v>0.00682149336596227</v>
      </c>
      <c r="Q59" s="22" t="n">
        <f aca="false">($A59=Premissas!$C$16)*Premissas!$C$13</f>
        <v>0</v>
      </c>
      <c r="R59" s="22" t="n">
        <f aca="false">L59-M59-N59-Q59</f>
        <v>1542.10582784587</v>
      </c>
      <c r="S59" s="22" t="n">
        <f aca="false">S58+R59</f>
        <v>-296883.976863089</v>
      </c>
      <c r="T59" s="22" t="n">
        <f aca="false">IF($A59&gt;=Premissas!$C$18,O59*(1-Premissas!$C$45)-Premissas!$C$46*MAX(0,O59*(1-Premissas!$C$45)-(SUM($Q$5:$Q$355)+Premissas!$C$26*Premissas!$C$60)),"")</f>
        <v>382541.878846189</v>
      </c>
      <c r="U59" s="22" t="n">
        <f aca="false">IF($A59&gt;=Premissas!$C$18,S59+T59,"")</f>
        <v>85657.9019830996</v>
      </c>
      <c r="V59" s="22" t="n">
        <f aca="false">V58*(1+$P59)-R59</f>
        <v>423124.845761846</v>
      </c>
      <c r="W59" s="22" t="n">
        <f aca="false">($A59=Premissas!$C$16)*Premissas!$C$9</f>
        <v>0</v>
      </c>
      <c r="X59" s="22" t="n">
        <f aca="false">L59-M59-N59-W59</f>
        <v>1542.10582784587</v>
      </c>
      <c r="Y59" s="22" t="n">
        <f aca="false">Y58+X59</f>
        <v>-327811.976863089</v>
      </c>
      <c r="Z59" s="22" t="n">
        <f aca="false">IF($A59&gt;=Premissas!$C$18,O59*(1-Premissas!$C$45)-Premissas!$C$46*MAX(0,O59*(1-Premissas!$C$45)-(SUM($W$5:$W$355)+Premissas!$C$26*Premissas!$C$60)),"")</f>
        <v>387181.078846189</v>
      </c>
      <c r="AA59" s="22" t="n">
        <f aca="false">IF($A59&gt;=Premissas!$C$18,Y59+Z59,"")</f>
        <v>59369.1019830997</v>
      </c>
      <c r="AB59" s="22" t="n">
        <f aca="false">AB58*(1+$P59)-X59</f>
        <v>469238.723588046</v>
      </c>
      <c r="AC59" s="22" t="n">
        <f aca="false">AND($A59&gt;=Premissas!$C$16,$A59&lt;EDATE(Premissas!$C$16,3))*Premissas!$C$10/3*(1+Premissas!$C$56)^$C59</f>
        <v>0</v>
      </c>
      <c r="AD59" s="22" t="n">
        <f aca="false">L59-M59-N59-AC59</f>
        <v>1542.10582784587</v>
      </c>
      <c r="AE59" s="22" t="n">
        <f aca="false">AE58+AD59</f>
        <v>-335432.440743114</v>
      </c>
      <c r="AF59" s="22" t="n">
        <f aca="false">IF($A59&gt;=Premissas!$C$18,O59*(1-Premissas!$C$45)-Premissas!$C$46*MAX(0,O59*(1-Premissas!$C$45)-(SUM($AC$5:$AC$355)+Premissas!$C$26*Premissas!$C$60)),"")</f>
        <v>388324.148428193</v>
      </c>
      <c r="AG59" s="22" t="n">
        <f aca="false">IF($A59&gt;=Premissas!$C$18,AE59+AF59,"")</f>
        <v>52891.7076850786</v>
      </c>
      <c r="AH59" s="22" t="n">
        <f aca="false">AH58*(1+$P59)-AD59</f>
        <v>476589.240136046</v>
      </c>
      <c r="AI59" s="22" t="n">
        <f aca="false">($A59=Premissas!$C$16)*0.2*Premissas!$C$11+AND($A59&gt;Premissas!$C$16,$A59&lt;=EDATE(Premissas!$C$16,43))*0.8*Premissas!$C$11/43*(1+Premissas!$C$56)^$C59</f>
        <v>0</v>
      </c>
      <c r="AJ59" s="22" t="n">
        <f aca="false">L59-M59-N59-AI59</f>
        <v>1542.10582784587</v>
      </c>
      <c r="AK59" s="22" t="n">
        <f aca="false">AK58+AJ59</f>
        <v>-381296.926161176</v>
      </c>
      <c r="AL59" s="22" t="n">
        <f aca="false">IF($A59&gt;=Premissas!$C$18,O59*(1-Premissas!$C$45)-Premissas!$C$46*MAX(0,O59*(1-Premissas!$C$45)-(SUM($AI$5:$AI$355)+Premissas!$C$26*Premissas!$C$60)),"")</f>
        <v>395203.821240902</v>
      </c>
      <c r="AM59" s="22" t="n">
        <f aca="false">IF($A59&gt;=Premissas!$C$18,AK59+AL59,"")</f>
        <v>13906.8950797259</v>
      </c>
      <c r="AN59" s="22" t="n">
        <f aca="false">AN58*(1+$P59)-AJ59</f>
        <v>483447.692903136</v>
      </c>
      <c r="AO59" s="22" t="n">
        <f aca="false">V59+S59</f>
        <v>126240.868898757</v>
      </c>
    </row>
    <row r="60" customFormat="false" ht="15" hidden="false" customHeight="false" outlineLevel="0" collapsed="false">
      <c r="A60" s="26" t="n">
        <f aca="false">DATE(YEAR(A59),MONTH(A59)+1,1)</f>
        <v>47969</v>
      </c>
      <c r="B60" s="22" t="str">
        <f aca="false">IF($A60&lt;Premissas!$C$18,"Obra",IF($A60&lt;Premissas!$C$20,"Entrega/mobília","Airbnb"))</f>
        <v>Airbnb</v>
      </c>
      <c r="C60" s="36" t="n">
        <f aca="false">(YEAR($A60)-YEAR(Premissas!$C$16))*12+MONTH($A60)-MONTH(Premissas!$C$16)</f>
        <v>55</v>
      </c>
      <c r="D60" s="33" t="n">
        <f aca="false">IF($A60&gt;=Premissas!$C$20,Premissas!$C$31*IF(((YEAR($A60)-YEAR(Premissas!$C$20))*12+MONTH($A60)-MONTH(Premissas!$C$20))&lt;Premissas!$C$33,Premissas!$C$34,1),0)</f>
        <v>0.62</v>
      </c>
      <c r="E60" s="22" t="n">
        <f aca="false">D60*Premissas!$C$30*Premissas!$C$32*(1+Premissas!$C$58)^$C60</f>
        <v>5565.73372029184</v>
      </c>
      <c r="F60" s="22" t="n">
        <f aca="false">E60*Premissas!$C$35</f>
        <v>890.517395246694</v>
      </c>
      <c r="G60" s="22" t="n">
        <f aca="false">E60*Premissas!$C$36</f>
        <v>1113.14674405837</v>
      </c>
      <c r="H60" s="22" t="n">
        <f aca="false">IF($A60&gt;=Premissas!$C$18,Premissas!$C$37*(1+Premissas!$C$58)^$C60,0)</f>
        <v>718.159189715076</v>
      </c>
      <c r="I60" s="22" t="n">
        <f aca="false">IF($A60&gt;=Premissas!$C$20,Premissas!$C$38*(1+Premissas!$C$58)^$C60,0)</f>
        <v>335.140955200369</v>
      </c>
      <c r="J60" s="22" t="n">
        <f aca="false">IF($A60&gt;=Premissas!$C$20,Premissas!$C$39*(1+Premissas!$C$58)^$C60,0)</f>
        <v>179.539797428769</v>
      </c>
      <c r="K60" s="22" t="n">
        <f aca="false">IF($A60&gt;=Premissas!$C$20,MAX(0,E60-F60-G60-H60)*Premissas!$C$41,0)</f>
        <v>782.075357599717</v>
      </c>
      <c r="L60" s="22" t="n">
        <f aca="false">E60-F60-G60-H60-I60-J60-K60</f>
        <v>1547.15428104284</v>
      </c>
      <c r="M60" s="22" t="n">
        <f aca="false">($A60=Premissas!$C$18)*Premissas!$C$26*Premissas!$C$60</f>
        <v>0</v>
      </c>
      <c r="N60" s="22" t="n">
        <f aca="false">IF(AND($A60&gt;=Premissas!$C$18,$A60&lt;Premissas!$C$20),Premissas!$C$27/MAX(1,Premissas!$C$19),0)</f>
        <v>0</v>
      </c>
      <c r="O60" s="22" t="n">
        <f aca="false">IF($A60&gt;=Premissas!$C$18,Premissas!$C$60*(1+Premissas!$C$59)^((YEAR($A60)-YEAR(Premissas!$C$18))*12+MONTH($A60)-MONTH(Premissas!$C$18)),"")</f>
        <v>430497.560331231</v>
      </c>
      <c r="P60" s="31" t="n">
        <f aca="false">(1+IF(YEAR($A60)&lt;=2026,Premissas!$C$49,IF(YEAR($A60)=2027,Premissas!$C$50,IF(YEAR($A60)=2028,Premissas!$C$51,Premissas!$C$52)))*(1-Premissas!$C$53))^(1/12)-1</f>
        <v>0.00682149336596227</v>
      </c>
      <c r="Q60" s="22" t="n">
        <f aca="false">($A60=Premissas!$C$16)*Premissas!$C$13</f>
        <v>0</v>
      </c>
      <c r="R60" s="22" t="n">
        <f aca="false">L60-M60-N60-Q60</f>
        <v>1547.15428104284</v>
      </c>
      <c r="S60" s="22" t="n">
        <f aca="false">S59+R60</f>
        <v>-295336.822582046</v>
      </c>
      <c r="T60" s="22" t="n">
        <f aca="false">IF($A60&gt;=Premissas!$C$18,O60*(1-Premissas!$C$45)-Premissas!$C$46*MAX(0,O60*(1-Premissas!$C$45)-(SUM($Q$5:$Q$355)+Premissas!$C$26*Premissas!$C$60)),"")</f>
        <v>383937.5590514</v>
      </c>
      <c r="U60" s="22" t="n">
        <f aca="false">IF($A60&gt;=Premissas!$C$18,S60+T60,"")</f>
        <v>88600.7364693533</v>
      </c>
      <c r="V60" s="22" t="n">
        <f aca="false">V59*(1+$P60)-R60</f>
        <v>424464.034809141</v>
      </c>
      <c r="W60" s="22" t="n">
        <f aca="false">($A60=Premissas!$C$16)*Premissas!$C$9</f>
        <v>0</v>
      </c>
      <c r="X60" s="22" t="n">
        <f aca="false">L60-M60-N60-W60</f>
        <v>1547.15428104284</v>
      </c>
      <c r="Y60" s="22" t="n">
        <f aca="false">Y59+X60</f>
        <v>-326264.822582046</v>
      </c>
      <c r="Z60" s="22" t="n">
        <f aca="false">IF($A60&gt;=Premissas!$C$18,O60*(1-Premissas!$C$45)-Premissas!$C$46*MAX(0,O60*(1-Premissas!$C$45)-(SUM($W$5:$W$355)+Premissas!$C$26*Premissas!$C$60)),"")</f>
        <v>388576.7590514</v>
      </c>
      <c r="AA60" s="22" t="n">
        <f aca="false">IF($A60&gt;=Premissas!$C$18,Y60+Z60,"")</f>
        <v>62311.9364693532</v>
      </c>
      <c r="AB60" s="22" t="n">
        <f aca="false">AB59*(1+$P60)-X60</f>
        <v>470892.478147012</v>
      </c>
      <c r="AC60" s="22" t="n">
        <f aca="false">AND($A60&gt;=Premissas!$C$16,$A60&lt;EDATE(Premissas!$C$16,3))*Premissas!$C$10/3*(1+Premissas!$C$56)^$C60</f>
        <v>0</v>
      </c>
      <c r="AD60" s="22" t="n">
        <f aca="false">L60-M60-N60-AC60</f>
        <v>1547.15428104284</v>
      </c>
      <c r="AE60" s="22" t="n">
        <f aca="false">AE59+AD60</f>
        <v>-333885.286462071</v>
      </c>
      <c r="AF60" s="22" t="n">
        <f aca="false">IF($A60&gt;=Premissas!$C$18,O60*(1-Premissas!$C$45)-Premissas!$C$46*MAX(0,O60*(1-Premissas!$C$45)-(SUM($AC$5:$AC$355)+Premissas!$C$26*Premissas!$C$60)),"")</f>
        <v>389719.828633403</v>
      </c>
      <c r="AG60" s="22" t="n">
        <f aca="false">IF($A60&gt;=Premissas!$C$18,AE60+AF60,"")</f>
        <v>55834.5421713321</v>
      </c>
      <c r="AH60" s="22" t="n">
        <f aca="false">AH59*(1+$P60)-AD60</f>
        <v>478293.13619488</v>
      </c>
      <c r="AI60" s="22" t="n">
        <f aca="false">($A60=Premissas!$C$16)*0.2*Premissas!$C$11+AND($A60&gt;Premissas!$C$16,$A60&lt;=EDATE(Premissas!$C$16,43))*0.8*Premissas!$C$11/43*(1+Premissas!$C$56)^$C60</f>
        <v>0</v>
      </c>
      <c r="AJ60" s="22" t="n">
        <f aca="false">L60-M60-N60-AI60</f>
        <v>1547.15428104284</v>
      </c>
      <c r="AK60" s="22" t="n">
        <f aca="false">AK59+AJ60</f>
        <v>-379749.771880133</v>
      </c>
      <c r="AL60" s="22" t="n">
        <f aca="false">IF($A60&gt;=Premissas!$C$18,O60*(1-Premissas!$C$45)-Premissas!$C$46*MAX(0,O60*(1-Premissas!$C$45)-(SUM($AI$5:$AI$355)+Premissas!$C$26*Premissas!$C$60)),"")</f>
        <v>396599.501446113</v>
      </c>
      <c r="AM60" s="22" t="n">
        <f aca="false">IF($A60&gt;=Premissas!$C$18,AK60+AL60,"")</f>
        <v>16849.7295659796</v>
      </c>
      <c r="AN60" s="22" t="n">
        <f aca="false">AN59*(1+$P60)-AJ60</f>
        <v>485198.373852021</v>
      </c>
      <c r="AO60" s="22" t="n">
        <f aca="false">V60+S60</f>
        <v>129127.212227095</v>
      </c>
    </row>
    <row r="61" customFormat="false" ht="15" hidden="false" customHeight="false" outlineLevel="0" collapsed="false">
      <c r="A61" s="26" t="n">
        <f aca="false">DATE(YEAR(A60),MONTH(A60)+1,1)</f>
        <v>48000</v>
      </c>
      <c r="B61" s="22" t="str">
        <f aca="false">IF($A61&lt;Premissas!$C$18,"Obra",IF($A61&lt;Premissas!$C$20,"Entrega/mobília","Airbnb"))</f>
        <v>Airbnb</v>
      </c>
      <c r="C61" s="36" t="n">
        <f aca="false">(YEAR($A61)-YEAR(Premissas!$C$16))*12+MONTH($A61)-MONTH(Premissas!$C$16)</f>
        <v>56</v>
      </c>
      <c r="D61" s="33" t="n">
        <f aca="false">IF($A61&gt;=Premissas!$C$20,Premissas!$C$31*IF(((YEAR($A61)-YEAR(Premissas!$C$20))*12+MONTH($A61)-MONTH(Premissas!$C$20))&lt;Premissas!$C$33,Premissas!$C$34,1),0)</f>
        <v>0.62</v>
      </c>
      <c r="E61" s="22" t="n">
        <f aca="false">D61*Premissas!$C$30*Premissas!$C$32*(1+Premissas!$C$58)^$C61</f>
        <v>5583.95448418908</v>
      </c>
      <c r="F61" s="22" t="n">
        <f aca="false">E61*Premissas!$C$35</f>
        <v>893.432717470253</v>
      </c>
      <c r="G61" s="22" t="n">
        <f aca="false">E61*Premissas!$C$36</f>
        <v>1116.79089683782</v>
      </c>
      <c r="H61" s="22" t="n">
        <f aca="false">IF($A61&gt;=Premissas!$C$18,Premissas!$C$37*(1+Premissas!$C$58)^$C61,0)</f>
        <v>720.510256024398</v>
      </c>
      <c r="I61" s="22" t="n">
        <f aca="false">IF($A61&gt;=Premissas!$C$20,Premissas!$C$38*(1+Premissas!$C$58)^$C61,0)</f>
        <v>336.238119478052</v>
      </c>
      <c r="J61" s="22" t="n">
        <f aca="false">IF($A61&gt;=Premissas!$C$20,Premissas!$C$39*(1+Premissas!$C$58)^$C61,0)</f>
        <v>180.127564006099</v>
      </c>
      <c r="K61" s="22" t="n">
        <f aca="false">IF($A61&gt;=Premissas!$C$20,MAX(0,E61-F61-G61-H61)*Premissas!$C$41,0)</f>
        <v>784.635668810569</v>
      </c>
      <c r="L61" s="22" t="n">
        <f aca="false">E61-F61-G61-H61-I61-J61-K61</f>
        <v>1552.21926156189</v>
      </c>
      <c r="M61" s="22" t="n">
        <f aca="false">($A61=Premissas!$C$18)*Premissas!$C$26*Premissas!$C$60</f>
        <v>0</v>
      </c>
      <c r="N61" s="22" t="n">
        <f aca="false">IF(AND($A61&gt;=Premissas!$C$18,$A61&lt;Premissas!$C$20),Premissas!$C$27/MAX(1,Premissas!$C$19),0)</f>
        <v>0</v>
      </c>
      <c r="O61" s="22" t="n">
        <f aca="false">IF($A61&gt;=Premissas!$C$18,Premissas!$C$60*(1+Premissas!$C$59)^((YEAR($A61)-YEAR(Premissas!$C$18))*12+MONTH($A61)-MONTH(Premissas!$C$18)),"")</f>
        <v>432251.460680579</v>
      </c>
      <c r="P61" s="31" t="n">
        <f aca="false">(1+IF(YEAR($A61)&lt;=2026,Premissas!$C$49,IF(YEAR($A61)=2027,Premissas!$C$50,IF(YEAR($A61)=2028,Premissas!$C$51,Premissas!$C$52)))*(1-Premissas!$C$53))^(1/12)-1</f>
        <v>0.00682149336596227</v>
      </c>
      <c r="Q61" s="22" t="n">
        <f aca="false">($A61=Premissas!$C$16)*Premissas!$C$13</f>
        <v>0</v>
      </c>
      <c r="R61" s="22" t="n">
        <f aca="false">L61-M61-N61-Q61</f>
        <v>1552.21926156189</v>
      </c>
      <c r="S61" s="22" t="n">
        <f aca="false">S60+R61</f>
        <v>-293784.603320484</v>
      </c>
      <c r="T61" s="22" t="n">
        <f aca="false">IF($A61&gt;=Premissas!$C$18,O61*(1-Premissas!$C$45)-Premissas!$C$46*MAX(0,O61*(1-Premissas!$C$45)-(SUM($Q$5:$Q$355)+Premissas!$C$26*Premissas!$C$60)),"")</f>
        <v>385338.925430529</v>
      </c>
      <c r="U61" s="22" t="n">
        <f aca="false">IF($A61&gt;=Premissas!$C$18,S61+T61,"")</f>
        <v>91554.3221100443</v>
      </c>
      <c r="V61" s="22" t="n">
        <f aca="false">V60*(1+$P61)-R61</f>
        <v>425807.294145119</v>
      </c>
      <c r="W61" s="22" t="n">
        <f aca="false">($A61=Premissas!$C$16)*Premissas!$C$9</f>
        <v>0</v>
      </c>
      <c r="X61" s="22" t="n">
        <f aca="false">L61-M61-N61-W61</f>
        <v>1552.21926156189</v>
      </c>
      <c r="Y61" s="22" t="n">
        <f aca="false">Y60+X61</f>
        <v>-324712.603320484</v>
      </c>
      <c r="Z61" s="22" t="n">
        <f aca="false">IF($A61&gt;=Premissas!$C$18,O61*(1-Premissas!$C$45)-Premissas!$C$46*MAX(0,O61*(1-Premissas!$C$45)-(SUM($W$5:$W$355)+Premissas!$C$26*Premissas!$C$60)),"")</f>
        <v>389978.125430529</v>
      </c>
      <c r="AA61" s="22" t="n">
        <f aca="false">IF($A61&gt;=Premissas!$C$18,Y61+Z61,"")</f>
        <v>65265.5221100443</v>
      </c>
      <c r="AB61" s="22" t="n">
        <f aca="false">AB60*(1+$P61)-X61</f>
        <v>472552.448801211</v>
      </c>
      <c r="AC61" s="22" t="n">
        <f aca="false">AND($A61&gt;=Premissas!$C$16,$A61&lt;EDATE(Premissas!$C$16,3))*Premissas!$C$10/3*(1+Premissas!$C$56)^$C61</f>
        <v>0</v>
      </c>
      <c r="AD61" s="22" t="n">
        <f aca="false">L61-M61-N61-AC61</f>
        <v>1552.21926156189</v>
      </c>
      <c r="AE61" s="22" t="n">
        <f aca="false">AE60+AD61</f>
        <v>-332333.067200509</v>
      </c>
      <c r="AF61" s="22" t="n">
        <f aca="false">IF($A61&gt;=Premissas!$C$18,O61*(1-Premissas!$C$45)-Premissas!$C$46*MAX(0,O61*(1-Premissas!$C$45)-(SUM($AC$5:$AC$355)+Premissas!$C$26*Premissas!$C$60)),"")</f>
        <v>391121.195012532</v>
      </c>
      <c r="AG61" s="22" t="n">
        <f aca="false">IF($A61&gt;=Premissas!$C$18,AE61+AF61,"")</f>
        <v>58788.1278120231</v>
      </c>
      <c r="AH61" s="22" t="n">
        <f aca="false">AH60*(1+$P61)-AD61</f>
        <v>480003.590388857</v>
      </c>
      <c r="AI61" s="22" t="n">
        <f aca="false">($A61=Premissas!$C$16)*0.2*Premissas!$C$11+AND($A61&gt;Premissas!$C$16,$A61&lt;=EDATE(Premissas!$C$16,43))*0.8*Premissas!$C$11/43*(1+Premissas!$C$56)^$C61</f>
        <v>0</v>
      </c>
      <c r="AJ61" s="22" t="n">
        <f aca="false">L61-M61-N61-AI61</f>
        <v>1552.21926156189</v>
      </c>
      <c r="AK61" s="22" t="n">
        <f aca="false">AK60+AJ61</f>
        <v>-378197.552618571</v>
      </c>
      <c r="AL61" s="22" t="n">
        <f aca="false">IF($A61&gt;=Premissas!$C$18,O61*(1-Premissas!$C$45)-Premissas!$C$46*MAX(0,O61*(1-Premissas!$C$45)-(SUM($AI$5:$AI$355)+Premissas!$C$26*Premissas!$C$60)),"")</f>
        <v>398000.867825242</v>
      </c>
      <c r="AM61" s="22" t="n">
        <f aca="false">IF($A61&gt;=Premissas!$C$18,AK61+AL61,"")</f>
        <v>19803.3152066706</v>
      </c>
      <c r="AN61" s="22" t="n">
        <f aca="false">AN60*(1+$P61)-AJ61</f>
        <v>486955.932078867</v>
      </c>
      <c r="AO61" s="22" t="n">
        <f aca="false">V61+S61</f>
        <v>132022.690824635</v>
      </c>
    </row>
    <row r="62" customFormat="false" ht="15" hidden="false" customHeight="false" outlineLevel="0" collapsed="false">
      <c r="A62" s="26" t="n">
        <f aca="false">DATE(YEAR(A61),MONTH(A61)+1,1)</f>
        <v>48030</v>
      </c>
      <c r="B62" s="22" t="str">
        <f aca="false">IF($A62&lt;Premissas!$C$18,"Obra",IF($A62&lt;Premissas!$C$20,"Entrega/mobília","Airbnb"))</f>
        <v>Airbnb</v>
      </c>
      <c r="C62" s="36" t="n">
        <f aca="false">(YEAR($A62)-YEAR(Premissas!$C$16))*12+MONTH($A62)-MONTH(Premissas!$C$16)</f>
        <v>57</v>
      </c>
      <c r="D62" s="33" t="n">
        <f aca="false">IF($A62&gt;=Premissas!$C$20,Premissas!$C$31*IF(((YEAR($A62)-YEAR(Premissas!$C$20))*12+MONTH($A62)-MONTH(Premissas!$C$20))&lt;Premissas!$C$33,Premissas!$C$34,1),0)</f>
        <v>0.62</v>
      </c>
      <c r="E62" s="22" t="n">
        <f aca="false">D62*Premissas!$C$30*Premissas!$C$32*(1+Premissas!$C$58)^$C62</f>
        <v>5602.23489812596</v>
      </c>
      <c r="F62" s="22" t="n">
        <f aca="false">E62*Premissas!$C$35</f>
        <v>896.357583700154</v>
      </c>
      <c r="G62" s="22" t="n">
        <f aca="false">E62*Premissas!$C$36</f>
        <v>1120.44697962519</v>
      </c>
      <c r="H62" s="22" t="n">
        <f aca="false">IF($A62&gt;=Premissas!$C$18,Premissas!$C$37*(1+Premissas!$C$58)^$C62,0)</f>
        <v>722.869019113027</v>
      </c>
      <c r="I62" s="22" t="n">
        <f aca="false">IF($A62&gt;=Premissas!$C$20,Premissas!$C$38*(1+Premissas!$C$58)^$C62,0)</f>
        <v>337.338875586079</v>
      </c>
      <c r="J62" s="22" t="n">
        <f aca="false">IF($A62&gt;=Premissas!$C$20,Premissas!$C$39*(1+Premissas!$C$58)^$C62,0)</f>
        <v>180.717254778257</v>
      </c>
      <c r="K62" s="22" t="n">
        <f aca="false">IF($A62&gt;=Premissas!$C$20,MAX(0,E62-F62-G62-H62)*Premissas!$C$41,0)</f>
        <v>787.204361814087</v>
      </c>
      <c r="L62" s="22" t="n">
        <f aca="false">E62-F62-G62-H62-I62-J62-K62</f>
        <v>1557.30082350916</v>
      </c>
      <c r="M62" s="22" t="n">
        <f aca="false">($A62=Premissas!$C$18)*Premissas!$C$26*Premissas!$C$60</f>
        <v>0</v>
      </c>
      <c r="N62" s="22" t="n">
        <f aca="false">IF(AND($A62&gt;=Premissas!$C$18,$A62&lt;Premissas!$C$20),Premissas!$C$27/MAX(1,Premissas!$C$19),0)</f>
        <v>0</v>
      </c>
      <c r="O62" s="22" t="n">
        <f aca="false">IF($A62&gt;=Premissas!$C$18,Premissas!$C$60*(1+Premissas!$C$59)^((YEAR($A62)-YEAR(Premissas!$C$18))*12+MONTH($A62)-MONTH(Premissas!$C$18)),"")</f>
        <v>434012.506637054</v>
      </c>
      <c r="P62" s="31" t="n">
        <f aca="false">(1+IF(YEAR($A62)&lt;=2026,Premissas!$C$49,IF(YEAR($A62)=2027,Premissas!$C$50,IF(YEAR($A62)=2028,Premissas!$C$51,Premissas!$C$52)))*(1-Premissas!$C$53))^(1/12)-1</f>
        <v>0.00682149336596227</v>
      </c>
      <c r="Q62" s="22" t="n">
        <f aca="false">($A62=Premissas!$C$16)*Premissas!$C$13</f>
        <v>0</v>
      </c>
      <c r="R62" s="22" t="n">
        <f aca="false">L62-M62-N62-Q62</f>
        <v>1557.30082350916</v>
      </c>
      <c r="S62" s="22" t="n">
        <f aca="false">S61+R62</f>
        <v>-292227.302496975</v>
      </c>
      <c r="T62" s="22" t="n">
        <f aca="false">IF($A62&gt;=Premissas!$C$18,O62*(1-Premissas!$C$45)-Premissas!$C$46*MAX(0,O62*(1-Premissas!$C$45)-(SUM($Q$5:$Q$355)+Premissas!$C$26*Premissas!$C$60)),"")</f>
        <v>386746.001149753</v>
      </c>
      <c r="U62" s="22" t="n">
        <f aca="false">IF($A62&gt;=Premissas!$C$18,S62+T62,"")</f>
        <v>94518.6986527773</v>
      </c>
      <c r="V62" s="22" t="n">
        <f aca="false">V61*(1+$P62)-R62</f>
        <v>427154.6349538</v>
      </c>
      <c r="W62" s="22" t="n">
        <f aca="false">($A62=Premissas!$C$16)*Premissas!$C$9</f>
        <v>0</v>
      </c>
      <c r="X62" s="22" t="n">
        <f aca="false">L62-M62-N62-W62</f>
        <v>1557.30082350916</v>
      </c>
      <c r="Y62" s="22" t="n">
        <f aca="false">Y61+X62</f>
        <v>-323155.302496975</v>
      </c>
      <c r="Z62" s="22" t="n">
        <f aca="false">IF($A62&gt;=Premissas!$C$18,O62*(1-Premissas!$C$45)-Premissas!$C$46*MAX(0,O62*(1-Premissas!$C$45)-(SUM($W$5:$W$355)+Premissas!$C$26*Premissas!$C$60)),"")</f>
        <v>391385.201149753</v>
      </c>
      <c r="AA62" s="22" t="n">
        <f aca="false">IF($A62&gt;=Premissas!$C$18,Y62+Z62,"")</f>
        <v>68229.8986527773</v>
      </c>
      <c r="AB62" s="22" t="n">
        <f aca="false">AB61*(1+$P62)-X62</f>
        <v>474218.661372269</v>
      </c>
      <c r="AC62" s="22" t="n">
        <f aca="false">AND($A62&gt;=Premissas!$C$16,$A62&lt;EDATE(Premissas!$C$16,3))*Premissas!$C$10/3*(1+Premissas!$C$56)^$C62</f>
        <v>0</v>
      </c>
      <c r="AD62" s="22" t="n">
        <f aca="false">L62-M62-N62-AC62</f>
        <v>1557.30082350916</v>
      </c>
      <c r="AE62" s="22" t="n">
        <f aca="false">AE61+AD62</f>
        <v>-330775.766377</v>
      </c>
      <c r="AF62" s="22" t="n">
        <f aca="false">IF($A62&gt;=Premissas!$C$18,O62*(1-Premissas!$C$45)-Premissas!$C$46*MAX(0,O62*(1-Premissas!$C$45)-(SUM($AC$5:$AC$355)+Premissas!$C$26*Premissas!$C$60)),"")</f>
        <v>392528.270731756</v>
      </c>
      <c r="AG62" s="22" t="n">
        <f aca="false">IF($A62&gt;=Premissas!$C$18,AE62+AF62,"")</f>
        <v>61752.5043547562</v>
      </c>
      <c r="AH62" s="22" t="n">
        <f aca="false">AH61*(1+$P62)-AD62</f>
        <v>481720.630872823</v>
      </c>
      <c r="AI62" s="22" t="n">
        <f aca="false">($A62=Premissas!$C$16)*0.2*Premissas!$C$11+AND($A62&gt;Premissas!$C$16,$A62&lt;=EDATE(Premissas!$C$16,43))*0.8*Premissas!$C$11/43*(1+Premissas!$C$56)^$C62</f>
        <v>0</v>
      </c>
      <c r="AJ62" s="22" t="n">
        <f aca="false">L62-M62-N62-AI62</f>
        <v>1557.30082350916</v>
      </c>
      <c r="AK62" s="22" t="n">
        <f aca="false">AK61+AJ62</f>
        <v>-376640.251795062</v>
      </c>
      <c r="AL62" s="22" t="n">
        <f aca="false">IF($A62&gt;=Premissas!$C$18,O62*(1-Premissas!$C$45)-Premissas!$C$46*MAX(0,O62*(1-Premissas!$C$45)-(SUM($AI$5:$AI$355)+Premissas!$C$26*Premissas!$C$60)),"")</f>
        <v>399407.943544466</v>
      </c>
      <c r="AM62" s="22" t="n">
        <f aca="false">IF($A62&gt;=Premissas!$C$18,AK62+AL62,"")</f>
        <v>22767.6917494036</v>
      </c>
      <c r="AN62" s="22" t="n">
        <f aca="false">AN61*(1+$P62)-AJ62</f>
        <v>488720.397915549</v>
      </c>
      <c r="AO62" s="22" t="n">
        <f aca="false">V62+S62</f>
        <v>134927.332456824</v>
      </c>
    </row>
    <row r="63" customFormat="false" ht="15" hidden="false" customHeight="false" outlineLevel="0" collapsed="false">
      <c r="A63" s="26" t="n">
        <f aca="false">DATE(YEAR(A62),MONTH(A62)+1,1)</f>
        <v>48061</v>
      </c>
      <c r="B63" s="22" t="str">
        <f aca="false">IF($A63&lt;Premissas!$C$18,"Obra",IF($A63&lt;Premissas!$C$20,"Entrega/mobília","Airbnb"))</f>
        <v>Airbnb</v>
      </c>
      <c r="C63" s="36" t="n">
        <f aca="false">(YEAR($A63)-YEAR(Premissas!$C$16))*12+MONTH($A63)-MONTH(Premissas!$C$16)</f>
        <v>58</v>
      </c>
      <c r="D63" s="33" t="n">
        <f aca="false">IF($A63&gt;=Premissas!$C$20,Premissas!$C$31*IF(((YEAR($A63)-YEAR(Premissas!$C$20))*12+MONTH($A63)-MONTH(Premissas!$C$20))&lt;Premissas!$C$33,Premissas!$C$34,1),0)</f>
        <v>0.62</v>
      </c>
      <c r="E63" s="22" t="n">
        <f aca="false">D63*Premissas!$C$30*Premissas!$C$32*(1+Premissas!$C$58)^$C63</f>
        <v>5620.57515738118</v>
      </c>
      <c r="F63" s="22" t="n">
        <f aca="false">E63*Premissas!$C$35</f>
        <v>899.292025180989</v>
      </c>
      <c r="G63" s="22" t="n">
        <f aca="false">E63*Premissas!$C$36</f>
        <v>1124.11503147624</v>
      </c>
      <c r="H63" s="22" t="n">
        <f aca="false">IF($A63&gt;=Premissas!$C$18,Premissas!$C$37*(1+Premissas!$C$58)^$C63,0)</f>
        <v>725.235504178217</v>
      </c>
      <c r="I63" s="22" t="n">
        <f aca="false">IF($A63&gt;=Premissas!$C$20,Premissas!$C$38*(1+Premissas!$C$58)^$C63,0)</f>
        <v>338.443235283168</v>
      </c>
      <c r="J63" s="22" t="n">
        <f aca="false">IF($A63&gt;=Premissas!$C$20,Premissas!$C$39*(1+Premissas!$C$58)^$C63,0)</f>
        <v>181.308876044554</v>
      </c>
      <c r="K63" s="22" t="n">
        <f aca="false">IF($A63&gt;=Premissas!$C$20,MAX(0,E63-F63-G63-H63)*Premissas!$C$41,0)</f>
        <v>789.781464050078</v>
      </c>
      <c r="L63" s="22" t="n">
        <f aca="false">E63-F63-G63-H63-I63-J63-K63</f>
        <v>1562.39902116794</v>
      </c>
      <c r="M63" s="22" t="n">
        <f aca="false">($A63=Premissas!$C$18)*Premissas!$C$26*Premissas!$C$60</f>
        <v>0</v>
      </c>
      <c r="N63" s="22" t="n">
        <f aca="false">IF(AND($A63&gt;=Premissas!$C$18,$A63&lt;Premissas!$C$20),Premissas!$C$27/MAX(1,Premissas!$C$19),0)</f>
        <v>0</v>
      </c>
      <c r="O63" s="22" t="n">
        <f aca="false">IF($A63&gt;=Premissas!$C$18,Premissas!$C$60*(1+Premissas!$C$59)^((YEAR($A63)-YEAR(Premissas!$C$18))*12+MONTH($A63)-MONTH(Premissas!$C$18)),"")</f>
        <v>435780.727312745</v>
      </c>
      <c r="P63" s="31" t="n">
        <f aca="false">(1+IF(YEAR($A63)&lt;=2026,Premissas!$C$49,IF(YEAR($A63)=2027,Premissas!$C$50,IF(YEAR($A63)=2028,Premissas!$C$51,Premissas!$C$52)))*(1-Premissas!$C$53))^(1/12)-1</f>
        <v>0.00682149336596227</v>
      </c>
      <c r="Q63" s="22" t="n">
        <f aca="false">($A63=Premissas!$C$16)*Premissas!$C$13</f>
        <v>0</v>
      </c>
      <c r="R63" s="22" t="n">
        <f aca="false">L63-M63-N63-Q63</f>
        <v>1562.39902116794</v>
      </c>
      <c r="S63" s="22" t="n">
        <f aca="false">S62+R63</f>
        <v>-290664.903475807</v>
      </c>
      <c r="T63" s="22" t="n">
        <f aca="false">IF($A63&gt;=Premissas!$C$18,O63*(1-Premissas!$C$45)-Premissas!$C$46*MAX(0,O63*(1-Premissas!$C$45)-(SUM($Q$5:$Q$355)+Premissas!$C$26*Premissas!$C$60)),"")</f>
        <v>388158.80946963</v>
      </c>
      <c r="U63" s="22" t="n">
        <f aca="false">IF($A63&gt;=Premissas!$C$18,S63+T63,"")</f>
        <v>97493.9059938222</v>
      </c>
      <c r="V63" s="22" t="n">
        <f aca="false">V62*(1+$P63)-R63</f>
        <v>428506.068441209</v>
      </c>
      <c r="W63" s="22" t="n">
        <f aca="false">($A63=Premissas!$C$16)*Premissas!$C$9</f>
        <v>0</v>
      </c>
      <c r="X63" s="22" t="n">
        <f aca="false">L63-M63-N63-W63</f>
        <v>1562.39902116794</v>
      </c>
      <c r="Y63" s="22" t="n">
        <f aca="false">Y62+X63</f>
        <v>-321592.903475807</v>
      </c>
      <c r="Z63" s="22" t="n">
        <f aca="false">IF($A63&gt;=Premissas!$C$18,O63*(1-Premissas!$C$45)-Premissas!$C$46*MAX(0,O63*(1-Premissas!$C$45)-(SUM($W$5:$W$355)+Premissas!$C$26*Premissas!$C$60)),"")</f>
        <v>392798.00946963</v>
      </c>
      <c r="AA63" s="22" t="n">
        <f aca="false">IF($A63&gt;=Premissas!$C$18,Y63+Z63,"")</f>
        <v>71205.1059938222</v>
      </c>
      <c r="AB63" s="22" t="n">
        <f aca="false">AB62*(1+$P63)-X63</f>
        <v>475891.141803667</v>
      </c>
      <c r="AC63" s="22" t="n">
        <f aca="false">AND($A63&gt;=Premissas!$C$16,$A63&lt;EDATE(Premissas!$C$16,3))*Premissas!$C$10/3*(1+Premissas!$C$56)^$C63</f>
        <v>0</v>
      </c>
      <c r="AD63" s="22" t="n">
        <f aca="false">L63-M63-N63-AC63</f>
        <v>1562.39902116794</v>
      </c>
      <c r="AE63" s="22" t="n">
        <f aca="false">AE62+AD63</f>
        <v>-329213.367355832</v>
      </c>
      <c r="AF63" s="22" t="n">
        <f aca="false">IF($A63&gt;=Premissas!$C$18,O63*(1-Premissas!$C$45)-Premissas!$C$46*MAX(0,O63*(1-Premissas!$C$45)-(SUM($AC$5:$AC$355)+Premissas!$C$26*Premissas!$C$60)),"")</f>
        <v>393941.079051633</v>
      </c>
      <c r="AG63" s="22" t="n">
        <f aca="false">IF($A63&gt;=Premissas!$C$18,AE63+AF63,"")</f>
        <v>64727.7116958011</v>
      </c>
      <c r="AH63" s="22" t="n">
        <f aca="false">AH62*(1+$P63)-AD63</f>
        <v>483444.285939401</v>
      </c>
      <c r="AI63" s="22" t="n">
        <f aca="false">($A63=Premissas!$C$16)*0.2*Premissas!$C$11+AND($A63&gt;Premissas!$C$16,$A63&lt;=EDATE(Premissas!$C$16,43))*0.8*Premissas!$C$11/43*(1+Premissas!$C$56)^$C63</f>
        <v>0</v>
      </c>
      <c r="AJ63" s="22" t="n">
        <f aca="false">L63-M63-N63-AI63</f>
        <v>1562.39902116794</v>
      </c>
      <c r="AK63" s="22" t="n">
        <f aca="false">AK62+AJ63</f>
        <v>-375077.852773894</v>
      </c>
      <c r="AL63" s="22" t="n">
        <f aca="false">IF($A63&gt;=Premissas!$C$18,O63*(1-Premissas!$C$45)-Premissas!$C$46*MAX(0,O63*(1-Premissas!$C$45)-(SUM($AI$5:$AI$355)+Premissas!$C$26*Premissas!$C$60)),"")</f>
        <v>400820.751864343</v>
      </c>
      <c r="AM63" s="22" t="n">
        <f aca="false">IF($A63&gt;=Premissas!$C$18,AK63+AL63,"")</f>
        <v>25742.8990904485</v>
      </c>
      <c r="AN63" s="22" t="n">
        <f aca="false">AN62*(1+$P63)-AJ63</f>
        <v>490491.801846573</v>
      </c>
      <c r="AO63" s="22" t="n">
        <f aca="false">V63+S63</f>
        <v>137841.164965402</v>
      </c>
    </row>
    <row r="64" customFormat="false" ht="15" hidden="false" customHeight="false" outlineLevel="0" collapsed="false">
      <c r="A64" s="26" t="n">
        <f aca="false">DATE(YEAR(A63),MONTH(A63)+1,1)</f>
        <v>48092</v>
      </c>
      <c r="B64" s="22" t="str">
        <f aca="false">IF($A64&lt;Premissas!$C$18,"Obra",IF($A64&lt;Premissas!$C$20,"Entrega/mobília","Airbnb"))</f>
        <v>Airbnb</v>
      </c>
      <c r="C64" s="36" t="n">
        <f aca="false">(YEAR($A64)-YEAR(Premissas!$C$16))*12+MONTH($A64)-MONTH(Premissas!$C$16)</f>
        <v>59</v>
      </c>
      <c r="D64" s="33" t="n">
        <f aca="false">IF($A64&gt;=Premissas!$C$20,Premissas!$C$31*IF(((YEAR($A64)-YEAR(Premissas!$C$20))*12+MONTH($A64)-MONTH(Premissas!$C$20))&lt;Premissas!$C$33,Premissas!$C$34,1),0)</f>
        <v>0.62</v>
      </c>
      <c r="E64" s="22" t="n">
        <f aca="false">D64*Premissas!$C$30*Premissas!$C$32*(1+Premissas!$C$58)^$C64</f>
        <v>5638.97545787274</v>
      </c>
      <c r="F64" s="22" t="n">
        <f aca="false">E64*Premissas!$C$35</f>
        <v>902.236073259638</v>
      </c>
      <c r="G64" s="22" t="n">
        <f aca="false">E64*Premissas!$C$36</f>
        <v>1127.79509157455</v>
      </c>
      <c r="H64" s="22" t="n">
        <f aca="false">IF($A64&gt;=Premissas!$C$18,Premissas!$C$37*(1+Premissas!$C$58)^$C64,0)</f>
        <v>727.609736499708</v>
      </c>
      <c r="I64" s="22" t="n">
        <f aca="false">IF($A64&gt;=Premissas!$C$20,Premissas!$C$38*(1+Premissas!$C$58)^$C64,0)</f>
        <v>339.55121036653</v>
      </c>
      <c r="J64" s="22" t="n">
        <f aca="false">IF($A64&gt;=Premissas!$C$20,Premissas!$C$39*(1+Premissas!$C$58)^$C64,0)</f>
        <v>181.902434124927</v>
      </c>
      <c r="K64" s="22" t="n">
        <f aca="false">IF($A64&gt;=Premissas!$C$20,MAX(0,E64-F64-G64-H64)*Premissas!$C$41,0)</f>
        <v>792.367003048182</v>
      </c>
      <c r="L64" s="22" t="n">
        <f aca="false">E64-F64-G64-H64-I64-J64-K64</f>
        <v>1567.5139089992</v>
      </c>
      <c r="M64" s="22" t="n">
        <f aca="false">($A64=Premissas!$C$18)*Premissas!$C$26*Premissas!$C$60</f>
        <v>0</v>
      </c>
      <c r="N64" s="22" t="n">
        <f aca="false">IF(AND($A64&gt;=Premissas!$C$18,$A64&lt;Premissas!$C$20),Premissas!$C$27/MAX(1,Premissas!$C$19),0)</f>
        <v>0</v>
      </c>
      <c r="O64" s="22" t="n">
        <f aca="false">IF($A64&gt;=Premissas!$C$18,Premissas!$C$60*(1+Premissas!$C$59)^((YEAR($A64)-YEAR(Premissas!$C$18))*12+MONTH($A64)-MONTH(Premissas!$C$18)),"")</f>
        <v>437556.151938346</v>
      </c>
      <c r="P64" s="31" t="n">
        <f aca="false">(1+IF(YEAR($A64)&lt;=2026,Premissas!$C$49,IF(YEAR($A64)=2027,Premissas!$C$50,IF(YEAR($A64)=2028,Premissas!$C$51,Premissas!$C$52)))*(1-Premissas!$C$53))^(1/12)-1</f>
        <v>0.00682149336596227</v>
      </c>
      <c r="Q64" s="22" t="n">
        <f aca="false">($A64=Premissas!$C$16)*Premissas!$C$13</f>
        <v>0</v>
      </c>
      <c r="R64" s="22" t="n">
        <f aca="false">L64-M64-N64-Q64</f>
        <v>1567.5139089992</v>
      </c>
      <c r="S64" s="22" t="n">
        <f aca="false">S63+R64</f>
        <v>-289097.389566808</v>
      </c>
      <c r="T64" s="22" t="n">
        <f aca="false">IF($A64&gt;=Premissas!$C$18,O64*(1-Premissas!$C$45)-Premissas!$C$46*MAX(0,O64*(1-Premissas!$C$45)-(SUM($Q$5:$Q$355)+Premissas!$C$26*Premissas!$C$60)),"")</f>
        <v>389577.373745484</v>
      </c>
      <c r="U64" s="22" t="n">
        <f aca="false">IF($A64&gt;=Premissas!$C$18,S64+T64,"")</f>
        <v>100479.984178676</v>
      </c>
      <c r="V64" s="22" t="n">
        <f aca="false">V63*(1+$P64)-R64</f>
        <v>429861.605835356</v>
      </c>
      <c r="W64" s="22" t="n">
        <f aca="false">($A64=Premissas!$C$16)*Premissas!$C$9</f>
        <v>0</v>
      </c>
      <c r="X64" s="22" t="n">
        <f aca="false">L64-M64-N64-W64</f>
        <v>1567.5139089992</v>
      </c>
      <c r="Y64" s="22" t="n">
        <f aca="false">Y63+X64</f>
        <v>-320025.389566808</v>
      </c>
      <c r="Z64" s="22" t="n">
        <f aca="false">IF($A64&gt;=Premissas!$C$18,O64*(1-Premissas!$C$45)-Premissas!$C$46*MAX(0,O64*(1-Premissas!$C$45)-(SUM($W$5:$W$355)+Premissas!$C$26*Premissas!$C$60)),"")</f>
        <v>394216.573745484</v>
      </c>
      <c r="AA64" s="22" t="n">
        <f aca="false">IF($A64&gt;=Premissas!$C$18,Y64+Z64,"")</f>
        <v>74191.1841786762</v>
      </c>
      <c r="AB64" s="22" t="n">
        <f aca="false">AB63*(1+$P64)-X64</f>
        <v>477569.916161402</v>
      </c>
      <c r="AC64" s="22" t="n">
        <f aca="false">AND($A64&gt;=Premissas!$C$16,$A64&lt;EDATE(Premissas!$C$16,3))*Premissas!$C$10/3*(1+Premissas!$C$56)^$C64</f>
        <v>0</v>
      </c>
      <c r="AD64" s="22" t="n">
        <f aca="false">L64-M64-N64-AC64</f>
        <v>1567.5139089992</v>
      </c>
      <c r="AE64" s="22" t="n">
        <f aca="false">AE63+AD64</f>
        <v>-327645.853446833</v>
      </c>
      <c r="AF64" s="22" t="n">
        <f aca="false">IF($A64&gt;=Premissas!$C$18,O64*(1-Premissas!$C$45)-Premissas!$C$46*MAX(0,O64*(1-Premissas!$C$45)-(SUM($AC$5:$AC$355)+Premissas!$C$26*Premissas!$C$60)),"")</f>
        <v>395359.643327488</v>
      </c>
      <c r="AG64" s="22" t="n">
        <f aca="false">IF($A64&gt;=Premissas!$C$18,AE64+AF64,"")</f>
        <v>67713.7898806551</v>
      </c>
      <c r="AH64" s="22" t="n">
        <f aca="false">AH63*(1+$P64)-AD64</f>
        <v>485174.58401975</v>
      </c>
      <c r="AI64" s="22" t="n">
        <f aca="false">($A64=Premissas!$C$16)*0.2*Premissas!$C$11+AND($A64&gt;Premissas!$C$16,$A64&lt;=EDATE(Premissas!$C$16,43))*0.8*Premissas!$C$11/43*(1+Premissas!$C$56)^$C64</f>
        <v>0</v>
      </c>
      <c r="AJ64" s="22" t="n">
        <f aca="false">L64-M64-N64-AI64</f>
        <v>1567.5139089992</v>
      </c>
      <c r="AK64" s="22" t="n">
        <f aca="false">AK63+AJ64</f>
        <v>-373510.338864895</v>
      </c>
      <c r="AL64" s="22" t="n">
        <f aca="false">IF($A64&gt;=Premissas!$C$18,O64*(1-Premissas!$C$45)-Premissas!$C$46*MAX(0,O64*(1-Premissas!$C$45)-(SUM($AI$5:$AI$355)+Premissas!$C$26*Premissas!$C$60)),"")</f>
        <v>402239.316140197</v>
      </c>
      <c r="AM64" s="22" t="n">
        <f aca="false">IF($A64&gt;=Premissas!$C$18,AK64+AL64,"")</f>
        <v>28728.9772753025</v>
      </c>
      <c r="AN64" s="22" t="n">
        <f aca="false">AN63*(1+$P64)-AJ64</f>
        <v>492270.174509929</v>
      </c>
      <c r="AO64" s="22" t="n">
        <f aca="false">V64+S64</f>
        <v>140764.216268548</v>
      </c>
    </row>
    <row r="65" customFormat="false" ht="15" hidden="false" customHeight="false" outlineLevel="0" collapsed="false">
      <c r="A65" s="26" t="n">
        <f aca="false">DATE(YEAR(A64),MONTH(A64)+1,1)</f>
        <v>48122</v>
      </c>
      <c r="B65" s="22" t="str">
        <f aca="false">IF($A65&lt;Premissas!$C$18,"Obra",IF($A65&lt;Premissas!$C$20,"Entrega/mobília","Airbnb"))</f>
        <v>Airbnb</v>
      </c>
      <c r="C65" s="36" t="n">
        <f aca="false">(YEAR($A65)-YEAR(Premissas!$C$16))*12+MONTH($A65)-MONTH(Premissas!$C$16)</f>
        <v>60</v>
      </c>
      <c r="D65" s="33" t="n">
        <f aca="false">IF($A65&gt;=Premissas!$C$20,Premissas!$C$31*IF(((YEAR($A65)-YEAR(Premissas!$C$20))*12+MONTH($A65)-MONTH(Premissas!$C$20))&lt;Premissas!$C$33,Premissas!$C$34,1),0)</f>
        <v>0.62</v>
      </c>
      <c r="E65" s="22" t="n">
        <f aca="false">D65*Premissas!$C$30*Premissas!$C$32*(1+Premissas!$C$58)^$C65</f>
        <v>5657.43599616002</v>
      </c>
      <c r="F65" s="22" t="n">
        <f aca="false">E65*Premissas!$C$35</f>
        <v>905.189759385603</v>
      </c>
      <c r="G65" s="22" t="n">
        <f aca="false">E65*Premissas!$C$36</f>
        <v>1131.487199232</v>
      </c>
      <c r="H65" s="22" t="n">
        <f aca="false">IF($A65&gt;=Premissas!$C$18,Premissas!$C$37*(1+Premissas!$C$58)^$C65,0)</f>
        <v>729.991741440002</v>
      </c>
      <c r="I65" s="22" t="n">
        <f aca="false">IF($A65&gt;=Premissas!$C$20,Premissas!$C$38*(1+Premissas!$C$58)^$C65,0)</f>
        <v>340.662812672001</v>
      </c>
      <c r="J65" s="22" t="n">
        <f aca="false">IF($A65&gt;=Premissas!$C$20,Premissas!$C$39*(1+Premissas!$C$58)^$C65,0)</f>
        <v>182.497935360001</v>
      </c>
      <c r="K65" s="22" t="n">
        <f aca="false">IF($A65&gt;=Premissas!$C$20,MAX(0,E65-F65-G65-H65)*Premissas!$C$41,0)</f>
        <v>794.961006428162</v>
      </c>
      <c r="L65" s="22" t="n">
        <f aca="false">E65-F65-G65-H65-I65-J65-K65</f>
        <v>1572.64554164224</v>
      </c>
      <c r="M65" s="22" t="n">
        <f aca="false">($A65=Premissas!$C$18)*Premissas!$C$26*Premissas!$C$60</f>
        <v>0</v>
      </c>
      <c r="N65" s="22" t="n">
        <f aca="false">IF(AND($A65&gt;=Premissas!$C$18,$A65&lt;Premissas!$C$20),Premissas!$C$27/MAX(1,Premissas!$C$19),0)</f>
        <v>0</v>
      </c>
      <c r="O65" s="22" t="n">
        <f aca="false">IF($A65&gt;=Premissas!$C$18,Premissas!$C$60*(1+Premissas!$C$59)^((YEAR($A65)-YEAR(Premissas!$C$18))*12+MONTH($A65)-MONTH(Premissas!$C$18)),"")</f>
        <v>439338.809863639</v>
      </c>
      <c r="P65" s="31" t="n">
        <f aca="false">(1+IF(YEAR($A65)&lt;=2026,Premissas!$C$49,IF(YEAR($A65)=2027,Premissas!$C$50,IF(YEAR($A65)=2028,Premissas!$C$51,Premissas!$C$52)))*(1-Premissas!$C$53))^(1/12)-1</f>
        <v>0.00682149336596227</v>
      </c>
      <c r="Q65" s="22" t="n">
        <f aca="false">($A65=Premissas!$C$16)*Premissas!$C$13</f>
        <v>0</v>
      </c>
      <c r="R65" s="22" t="n">
        <f aca="false">L65-M65-N65-Q65</f>
        <v>1572.64554164224</v>
      </c>
      <c r="S65" s="22" t="n">
        <f aca="false">S64+R65</f>
        <v>-287524.744025166</v>
      </c>
      <c r="T65" s="22" t="n">
        <f aca="false">IF($A65&gt;=Premissas!$C$18,O65*(1-Premissas!$C$45)-Premissas!$C$46*MAX(0,O65*(1-Premissas!$C$45)-(SUM($Q$5:$Q$355)+Premissas!$C$26*Premissas!$C$60)),"")</f>
        <v>391001.717427794</v>
      </c>
      <c r="U65" s="22" t="n">
        <f aca="false">IF($A65&gt;=Premissas!$C$18,S65+T65,"")</f>
        <v>103476.973402628</v>
      </c>
      <c r="V65" s="22" t="n">
        <f aca="false">V64*(1+$P65)-R65</f>
        <v>431221.258386202</v>
      </c>
      <c r="W65" s="22" t="n">
        <f aca="false">($A65=Premissas!$C$16)*Premissas!$C$9</f>
        <v>0</v>
      </c>
      <c r="X65" s="22" t="n">
        <f aca="false">L65-M65-N65-W65</f>
        <v>1572.64554164224</v>
      </c>
      <c r="Y65" s="22" t="n">
        <f aca="false">Y64+X65</f>
        <v>-318452.744025166</v>
      </c>
      <c r="Z65" s="22" t="n">
        <f aca="false">IF($A65&gt;=Premissas!$C$18,O65*(1-Premissas!$C$45)-Premissas!$C$46*MAX(0,O65*(1-Premissas!$C$45)-(SUM($W$5:$W$355)+Premissas!$C$26*Premissas!$C$60)),"")</f>
        <v>395640.917427794</v>
      </c>
      <c r="AA65" s="22" t="n">
        <f aca="false">IF($A65&gt;=Premissas!$C$18,Y65+Z65,"")</f>
        <v>77188.1734026281</v>
      </c>
      <c r="AB65" s="22" t="n">
        <f aca="false">AB64*(1+$P65)-X65</f>
        <v>479255.010634638</v>
      </c>
      <c r="AC65" s="22" t="n">
        <f aca="false">AND($A65&gt;=Premissas!$C$16,$A65&lt;EDATE(Premissas!$C$16,3))*Premissas!$C$10/3*(1+Premissas!$C$56)^$C65</f>
        <v>0</v>
      </c>
      <c r="AD65" s="22" t="n">
        <f aca="false">L65-M65-N65-AC65</f>
        <v>1572.64554164224</v>
      </c>
      <c r="AE65" s="22" t="n">
        <f aca="false">AE64+AD65</f>
        <v>-326073.207905191</v>
      </c>
      <c r="AF65" s="22" t="n">
        <f aca="false">IF($A65&gt;=Premissas!$C$18,O65*(1-Premissas!$C$45)-Premissas!$C$46*MAX(0,O65*(1-Premissas!$C$45)-(SUM($AC$5:$AC$355)+Premissas!$C$26*Premissas!$C$60)),"")</f>
        <v>396783.987009798</v>
      </c>
      <c r="AG65" s="22" t="n">
        <f aca="false">IF($A65&gt;=Premissas!$C$18,AE65+AF65,"")</f>
        <v>70710.779104607</v>
      </c>
      <c r="AH65" s="22" t="n">
        <f aca="false">AH64*(1+$P65)-AD65</f>
        <v>486911.553684332</v>
      </c>
      <c r="AI65" s="22" t="n">
        <f aca="false">($A65=Premissas!$C$16)*0.2*Premissas!$C$11+AND($A65&gt;Premissas!$C$16,$A65&lt;=EDATE(Premissas!$C$16,43))*0.8*Premissas!$C$11/43*(1+Premissas!$C$56)^$C65</f>
        <v>0</v>
      </c>
      <c r="AJ65" s="22" t="n">
        <f aca="false">L65-M65-N65-AI65</f>
        <v>1572.64554164224</v>
      </c>
      <c r="AK65" s="22" t="n">
        <f aca="false">AK64+AJ65</f>
        <v>-371937.693323253</v>
      </c>
      <c r="AL65" s="22" t="n">
        <f aca="false">IF($A65&gt;=Premissas!$C$18,O65*(1-Premissas!$C$45)-Premissas!$C$46*MAX(0,O65*(1-Premissas!$C$45)-(SUM($AI$5:$AI$355)+Premissas!$C$26*Premissas!$C$60)),"")</f>
        <v>403663.659822507</v>
      </c>
      <c r="AM65" s="22" t="n">
        <f aca="false">IF($A65&gt;=Premissas!$C$18,AK65+AL65,"")</f>
        <v>31725.9664992545</v>
      </c>
      <c r="AN65" s="22" t="n">
        <f aca="false">AN64*(1+$P65)-AJ65</f>
        <v>494055.546697967</v>
      </c>
      <c r="AO65" s="22" t="n">
        <f aca="false">V65+S65</f>
        <v>143696.514361036</v>
      </c>
    </row>
    <row r="66" customFormat="false" ht="15" hidden="false" customHeight="false" outlineLevel="0" collapsed="false">
      <c r="A66" s="26" t="n">
        <f aca="false">DATE(YEAR(A65),MONTH(A65)+1,1)</f>
        <v>48153</v>
      </c>
      <c r="B66" s="22" t="str">
        <f aca="false">IF($A66&lt;Premissas!$C$18,"Obra",IF($A66&lt;Premissas!$C$20,"Entrega/mobília","Airbnb"))</f>
        <v>Airbnb</v>
      </c>
      <c r="C66" s="36" t="n">
        <f aca="false">(YEAR($A66)-YEAR(Premissas!$C$16))*12+MONTH($A66)-MONTH(Premissas!$C$16)</f>
        <v>61</v>
      </c>
      <c r="D66" s="33" t="n">
        <f aca="false">IF($A66&gt;=Premissas!$C$20,Premissas!$C$31*IF(((YEAR($A66)-YEAR(Premissas!$C$20))*12+MONTH($A66)-MONTH(Premissas!$C$20))&lt;Premissas!$C$33,Premissas!$C$34,1),0)</f>
        <v>0.62</v>
      </c>
      <c r="E66" s="22" t="n">
        <f aca="false">D66*Premissas!$C$30*Premissas!$C$32*(1+Premissas!$C$58)^$C66</f>
        <v>5675.95696944589</v>
      </c>
      <c r="F66" s="22" t="n">
        <f aca="false">E66*Premissas!$C$35</f>
        <v>908.153115111343</v>
      </c>
      <c r="G66" s="22" t="n">
        <f aca="false">E66*Premissas!$C$36</f>
        <v>1135.19139388918</v>
      </c>
      <c r="H66" s="22" t="n">
        <f aca="false">IF($A66&gt;=Premissas!$C$18,Premissas!$C$37*(1+Premissas!$C$58)^$C66,0)</f>
        <v>732.381544444631</v>
      </c>
      <c r="I66" s="22" t="n">
        <f aca="false">IF($A66&gt;=Premissas!$C$20,Premissas!$C$38*(1+Premissas!$C$58)^$C66,0)</f>
        <v>341.778054074161</v>
      </c>
      <c r="J66" s="22" t="n">
        <f aca="false">IF($A66&gt;=Premissas!$C$20,Premissas!$C$39*(1+Premissas!$C$58)^$C66,0)</f>
        <v>183.095386111158</v>
      </c>
      <c r="K66" s="22" t="n">
        <f aca="false">IF($A66&gt;=Premissas!$C$20,MAX(0,E66-F66-G66-H66)*Premissas!$C$41,0)</f>
        <v>797.563501900203</v>
      </c>
      <c r="L66" s="22" t="n">
        <f aca="false">E66-F66-G66-H66-I66-J66-K66</f>
        <v>1577.79397391522</v>
      </c>
      <c r="M66" s="22" t="n">
        <f aca="false">($A66=Premissas!$C$18)*Premissas!$C$26*Premissas!$C$60</f>
        <v>0</v>
      </c>
      <c r="N66" s="22" t="n">
        <f aca="false">IF(AND($A66&gt;=Premissas!$C$18,$A66&lt;Premissas!$C$20),Premissas!$C$27/MAX(1,Premissas!$C$19),0)</f>
        <v>0</v>
      </c>
      <c r="O66" s="22" t="n">
        <f aca="false">IF($A66&gt;=Premissas!$C$18,Premissas!$C$60*(1+Premissas!$C$59)^((YEAR($A66)-YEAR(Premissas!$C$18))*12+MONTH($A66)-MONTH(Premissas!$C$18)),"")</f>
        <v>441128.730557985</v>
      </c>
      <c r="P66" s="31" t="n">
        <f aca="false">(1+IF(YEAR($A66)&lt;=2026,Premissas!$C$49,IF(YEAR($A66)=2027,Premissas!$C$50,IF(YEAR($A66)=2028,Premissas!$C$51,Premissas!$C$52)))*(1-Premissas!$C$53))^(1/12)-1</f>
        <v>0.00682149336596227</v>
      </c>
      <c r="Q66" s="22" t="n">
        <f aca="false">($A66=Premissas!$C$16)*Premissas!$C$13</f>
        <v>0</v>
      </c>
      <c r="R66" s="22" t="n">
        <f aca="false">L66-M66-N66-Q66</f>
        <v>1577.79397391522</v>
      </c>
      <c r="S66" s="22" t="n">
        <f aca="false">S65+R66</f>
        <v>-285946.950051251</v>
      </c>
      <c r="T66" s="22" t="n">
        <f aca="false">IF($A66&gt;=Premissas!$C$18,O66*(1-Premissas!$C$45)-Premissas!$C$46*MAX(0,O66*(1-Premissas!$C$45)-(SUM($Q$5:$Q$355)+Premissas!$C$26*Premissas!$C$60)),"")</f>
        <v>392431.864062576</v>
      </c>
      <c r="U66" s="22" t="n">
        <f aca="false">IF($A66&gt;=Premissas!$C$18,S66+T66,"")</f>
        <v>106484.914011325</v>
      </c>
      <c r="V66" s="22" t="n">
        <f aca="false">V65*(1+$P66)-R66</f>
        <v>432585.03736563</v>
      </c>
      <c r="W66" s="22" t="n">
        <f aca="false">($A66=Premissas!$C$16)*Premissas!$C$9</f>
        <v>0</v>
      </c>
      <c r="X66" s="22" t="n">
        <f aca="false">L66-M66-N66-W66</f>
        <v>1577.79397391522</v>
      </c>
      <c r="Y66" s="22" t="n">
        <f aca="false">Y65+X66</f>
        <v>-316874.950051251</v>
      </c>
      <c r="Z66" s="22" t="n">
        <f aca="false">IF($A66&gt;=Premissas!$C$18,O66*(1-Premissas!$C$45)-Premissas!$C$46*MAX(0,O66*(1-Premissas!$C$45)-(SUM($W$5:$W$355)+Premissas!$C$26*Premissas!$C$60)),"")</f>
        <v>397071.064062576</v>
      </c>
      <c r="AA66" s="22" t="n">
        <f aca="false">IF($A66&gt;=Premissas!$C$18,Y66+Z66,"")</f>
        <v>80196.1140113251</v>
      </c>
      <c r="AB66" s="22" t="n">
        <f aca="false">AB65*(1+$P66)-X66</f>
        <v>480946.451536371</v>
      </c>
      <c r="AC66" s="22" t="n">
        <f aca="false">AND($A66&gt;=Premissas!$C$16,$A66&lt;EDATE(Premissas!$C$16,3))*Premissas!$C$10/3*(1+Premissas!$C$56)^$C66</f>
        <v>0</v>
      </c>
      <c r="AD66" s="22" t="n">
        <f aca="false">L66-M66-N66-AC66</f>
        <v>1577.79397391522</v>
      </c>
      <c r="AE66" s="22" t="n">
        <f aca="false">AE65+AD66</f>
        <v>-324495.413931276</v>
      </c>
      <c r="AF66" s="22" t="n">
        <f aca="false">IF($A66&gt;=Premissas!$C$18,O66*(1-Premissas!$C$45)-Premissas!$C$46*MAX(0,O66*(1-Premissas!$C$45)-(SUM($AC$5:$AC$355)+Premissas!$C$26*Premissas!$C$60)),"")</f>
        <v>398214.13364458</v>
      </c>
      <c r="AG66" s="22" t="n">
        <f aca="false">IF($A66&gt;=Premissas!$C$18,AE66+AF66,"")</f>
        <v>73718.719713304</v>
      </c>
      <c r="AH66" s="22" t="n">
        <f aca="false">AH65*(1+$P66)-AD66</f>
        <v>488655.223643685</v>
      </c>
      <c r="AI66" s="22" t="n">
        <f aca="false">($A66=Premissas!$C$16)*0.2*Premissas!$C$11+AND($A66&gt;Premissas!$C$16,$A66&lt;=EDATE(Premissas!$C$16,43))*0.8*Premissas!$C$11/43*(1+Premissas!$C$56)^$C66</f>
        <v>0</v>
      </c>
      <c r="AJ66" s="22" t="n">
        <f aca="false">L66-M66-N66-AI66</f>
        <v>1577.79397391522</v>
      </c>
      <c r="AK66" s="22" t="n">
        <f aca="false">AK65+AJ66</f>
        <v>-370359.899349337</v>
      </c>
      <c r="AL66" s="22" t="n">
        <f aca="false">IF($A66&gt;=Premissas!$C$18,O66*(1-Premissas!$C$45)-Premissas!$C$46*MAX(0,O66*(1-Premissas!$C$45)-(SUM($AI$5:$AI$355)+Premissas!$C$26*Premissas!$C$60)),"")</f>
        <v>405093.806457289</v>
      </c>
      <c r="AM66" s="22" t="n">
        <f aca="false">IF($A66&gt;=Premissas!$C$18,AK66+AL66,"")</f>
        <v>34733.9071079514</v>
      </c>
      <c r="AN66" s="22" t="n">
        <f aca="false">AN65*(1+$P66)-AJ66</f>
        <v>495847.949358269</v>
      </c>
      <c r="AO66" s="22" t="n">
        <f aca="false">V66+S66</f>
        <v>146638.087314379</v>
      </c>
    </row>
    <row r="67" customFormat="false" ht="15" hidden="false" customHeight="false" outlineLevel="0" collapsed="false">
      <c r="A67" s="26" t="n">
        <f aca="false">DATE(YEAR(A66),MONTH(A66)+1,1)</f>
        <v>48183</v>
      </c>
      <c r="B67" s="22" t="str">
        <f aca="false">IF($A67&lt;Premissas!$C$18,"Obra",IF($A67&lt;Premissas!$C$20,"Entrega/mobília","Airbnb"))</f>
        <v>Airbnb</v>
      </c>
      <c r="C67" s="36" t="n">
        <f aca="false">(YEAR($A67)-YEAR(Premissas!$C$16))*12+MONTH($A67)-MONTH(Premissas!$C$16)</f>
        <v>62</v>
      </c>
      <c r="D67" s="33" t="n">
        <f aca="false">IF($A67&gt;=Premissas!$C$20,Premissas!$C$31*IF(((YEAR($A67)-YEAR(Premissas!$C$20))*12+MONTH($A67)-MONTH(Premissas!$C$20))&lt;Premissas!$C$33,Premissas!$C$34,1),0)</f>
        <v>0.62</v>
      </c>
      <c r="E67" s="22" t="n">
        <f aca="false">D67*Premissas!$C$30*Premissas!$C$32*(1+Premissas!$C$58)^$C67</f>
        <v>5694.53857557881</v>
      </c>
      <c r="F67" s="22" t="n">
        <f aca="false">E67*Premissas!$C$35</f>
        <v>911.12617209261</v>
      </c>
      <c r="G67" s="22" t="n">
        <f aca="false">E67*Premissas!$C$36</f>
        <v>1138.90771511576</v>
      </c>
      <c r="H67" s="22" t="n">
        <f aca="false">IF($A67&gt;=Premissas!$C$18,Premissas!$C$37*(1+Premissas!$C$58)^$C67,0)</f>
        <v>734.779171042428</v>
      </c>
      <c r="I67" s="22" t="n">
        <f aca="false">IF($A67&gt;=Premissas!$C$20,Premissas!$C$38*(1+Premissas!$C$58)^$C67,0)</f>
        <v>342.896946486466</v>
      </c>
      <c r="J67" s="22" t="n">
        <f aca="false">IF($A67&gt;=Premissas!$C$20,Premissas!$C$39*(1+Premissas!$C$58)^$C67,0)</f>
        <v>183.694792760607</v>
      </c>
      <c r="K67" s="22" t="n">
        <f aca="false">IF($A67&gt;=Premissas!$C$20,MAX(0,E67-F67-G67-H67)*Premissas!$C$41,0)</f>
        <v>800.174517265204</v>
      </c>
      <c r="L67" s="22" t="n">
        <f aca="false">E67-F67-G67-H67-I67-J67-K67</f>
        <v>1582.95926081574</v>
      </c>
      <c r="M67" s="22" t="n">
        <f aca="false">($A67=Premissas!$C$18)*Premissas!$C$26*Premissas!$C$60</f>
        <v>0</v>
      </c>
      <c r="N67" s="22" t="n">
        <f aca="false">IF(AND($A67&gt;=Premissas!$C$18,$A67&lt;Premissas!$C$20),Premissas!$C$27/MAX(1,Premissas!$C$19),0)</f>
        <v>0</v>
      </c>
      <c r="O67" s="22" t="n">
        <f aca="false">IF($A67&gt;=Premissas!$C$18,Premissas!$C$60*(1+Premissas!$C$59)^((YEAR($A67)-YEAR(Premissas!$C$18))*12+MONTH($A67)-MONTH(Premissas!$C$18)),"")</f>
        <v>442925.943610801</v>
      </c>
      <c r="P67" s="31" t="n">
        <f aca="false">(1+IF(YEAR($A67)&lt;=2026,Premissas!$C$49,IF(YEAR($A67)=2027,Premissas!$C$50,IF(YEAR($A67)=2028,Premissas!$C$51,Premissas!$C$52)))*(1-Premissas!$C$53))^(1/12)-1</f>
        <v>0.00682149336596227</v>
      </c>
      <c r="Q67" s="22" t="n">
        <f aca="false">($A67=Premissas!$C$16)*Premissas!$C$13</f>
        <v>0</v>
      </c>
      <c r="R67" s="22" t="n">
        <f aca="false">L67-M67-N67-Q67</f>
        <v>1582.95926081574</v>
      </c>
      <c r="S67" s="22" t="n">
        <f aca="false">S66+R67</f>
        <v>-284363.990790435</v>
      </c>
      <c r="T67" s="22" t="n">
        <f aca="false">IF($A67&gt;=Premissas!$C$18,O67*(1-Premissas!$C$45)-Premissas!$C$46*MAX(0,O67*(1-Premissas!$C$45)-(SUM($Q$5:$Q$355)+Premissas!$C$26*Premissas!$C$60)),"")</f>
        <v>393867.837291776</v>
      </c>
      <c r="U67" s="22" t="n">
        <f aca="false">IF($A67&gt;=Premissas!$C$18,S67+T67,"")</f>
        <v>109503.846501342</v>
      </c>
      <c r="V67" s="22" t="n">
        <f aca="false">V66*(1+$P67)-R67</f>
        <v>433952.954067418</v>
      </c>
      <c r="W67" s="22" t="n">
        <f aca="false">($A67=Premissas!$C$16)*Premissas!$C$9</f>
        <v>0</v>
      </c>
      <c r="X67" s="22" t="n">
        <f aca="false">L67-M67-N67-W67</f>
        <v>1582.95926081574</v>
      </c>
      <c r="Y67" s="22" t="n">
        <f aca="false">Y66+X67</f>
        <v>-315291.990790435</v>
      </c>
      <c r="Z67" s="22" t="n">
        <f aca="false">IF($A67&gt;=Premissas!$C$18,O67*(1-Premissas!$C$45)-Premissas!$C$46*MAX(0,O67*(1-Premissas!$C$45)-(SUM($W$5:$W$355)+Premissas!$C$26*Premissas!$C$60)),"")</f>
        <v>398507.037291776</v>
      </c>
      <c r="AA67" s="22" t="n">
        <f aca="false">IF($A67&gt;=Premissas!$C$18,Y67+Z67,"")</f>
        <v>83215.0465013416</v>
      </c>
      <c r="AB67" s="22" t="n">
        <f aca="false">AB66*(1+$P67)-X67</f>
        <v>482644.265304094</v>
      </c>
      <c r="AC67" s="22" t="n">
        <f aca="false">AND($A67&gt;=Premissas!$C$16,$A67&lt;EDATE(Premissas!$C$16,3))*Premissas!$C$10/3*(1+Premissas!$C$56)^$C67</f>
        <v>0</v>
      </c>
      <c r="AD67" s="22" t="n">
        <f aca="false">L67-M67-N67-AC67</f>
        <v>1582.95926081574</v>
      </c>
      <c r="AE67" s="22" t="n">
        <f aca="false">AE66+AD67</f>
        <v>-322912.45467046</v>
      </c>
      <c r="AF67" s="22" t="n">
        <f aca="false">IF($A67&gt;=Premissas!$C$18,O67*(1-Premissas!$C$45)-Premissas!$C$46*MAX(0,O67*(1-Premissas!$C$45)-(SUM($AC$5:$AC$355)+Premissas!$C$26*Premissas!$C$60)),"")</f>
        <v>399650.10687378</v>
      </c>
      <c r="AG67" s="22" t="n">
        <f aca="false">IF($A67&gt;=Premissas!$C$18,AE67+AF67,"")</f>
        <v>76737.6522033204</v>
      </c>
      <c r="AH67" s="22" t="n">
        <f aca="false">AH66*(1+$P67)-AD67</f>
        <v>490405.622749197</v>
      </c>
      <c r="AI67" s="22" t="n">
        <f aca="false">($A67=Premissas!$C$16)*0.2*Premissas!$C$11+AND($A67&gt;Premissas!$C$16,$A67&lt;=EDATE(Premissas!$C$16,43))*0.8*Premissas!$C$11/43*(1+Premissas!$C$56)^$C67</f>
        <v>0</v>
      </c>
      <c r="AJ67" s="22" t="n">
        <f aca="false">L67-M67-N67-AI67</f>
        <v>1582.95926081574</v>
      </c>
      <c r="AK67" s="22" t="n">
        <f aca="false">AK66+AJ67</f>
        <v>-368776.940088522</v>
      </c>
      <c r="AL67" s="22" t="n">
        <f aca="false">IF($A67&gt;=Premissas!$C$18,O67*(1-Premissas!$C$45)-Premissas!$C$46*MAX(0,O67*(1-Premissas!$C$45)-(SUM($AI$5:$AI$355)+Premissas!$C$26*Premissas!$C$60)),"")</f>
        <v>406529.779686489</v>
      </c>
      <c r="AM67" s="22" t="n">
        <f aca="false">IF($A67&gt;=Premissas!$C$18,AK67+AL67,"")</f>
        <v>37752.8395979679</v>
      </c>
      <c r="AN67" s="22" t="n">
        <f aca="false">AN66*(1+$P67)-AJ67</f>
        <v>497647.413594527</v>
      </c>
      <c r="AO67" s="22" t="n">
        <f aca="false">V67+S67</f>
        <v>149588.963276983</v>
      </c>
    </row>
    <row r="68" customFormat="false" ht="15" hidden="false" customHeight="false" outlineLevel="0" collapsed="false">
      <c r="A68" s="26" t="n">
        <f aca="false">DATE(YEAR(A67),MONTH(A67)+1,1)</f>
        <v>48214</v>
      </c>
      <c r="B68" s="22" t="str">
        <f aca="false">IF($A68&lt;Premissas!$C$18,"Obra",IF($A68&lt;Premissas!$C$20,"Entrega/mobília","Airbnb"))</f>
        <v>Airbnb</v>
      </c>
      <c r="C68" s="36" t="n">
        <f aca="false">(YEAR($A68)-YEAR(Premissas!$C$16))*12+MONTH($A68)-MONTH(Premissas!$C$16)</f>
        <v>63</v>
      </c>
      <c r="D68" s="33" t="n">
        <f aca="false">IF($A68&gt;=Premissas!$C$20,Premissas!$C$31*IF(((YEAR($A68)-YEAR(Premissas!$C$20))*12+MONTH($A68)-MONTH(Premissas!$C$20))&lt;Premissas!$C$33,Premissas!$C$34,1),0)</f>
        <v>0.62</v>
      </c>
      <c r="E68" s="22" t="n">
        <f aca="false">D68*Premissas!$C$30*Premissas!$C$32*(1+Premissas!$C$58)^$C68</f>
        <v>5713.18101305495</v>
      </c>
      <c r="F68" s="22" t="n">
        <f aca="false">E68*Premissas!$C$35</f>
        <v>914.108962088793</v>
      </c>
      <c r="G68" s="22" t="n">
        <f aca="false">E68*Premissas!$C$36</f>
        <v>1142.63620261099</v>
      </c>
      <c r="H68" s="22" t="n">
        <f aca="false">IF($A68&gt;=Premissas!$C$18,Premissas!$C$37*(1+Premissas!$C$58)^$C68,0)</f>
        <v>737.1846468458</v>
      </c>
      <c r="I68" s="22" t="n">
        <f aca="false">IF($A68&gt;=Premissas!$C$20,Premissas!$C$38*(1+Premissas!$C$58)^$C68,0)</f>
        <v>344.019501861374</v>
      </c>
      <c r="J68" s="22" t="n">
        <f aca="false">IF($A68&gt;=Premissas!$C$20,Premissas!$C$39*(1+Premissas!$C$58)^$C68,0)</f>
        <v>184.29616171145</v>
      </c>
      <c r="K68" s="22" t="n">
        <f aca="false">IF($A68&gt;=Premissas!$C$20,MAX(0,E68-F68-G68-H68)*Premissas!$C$41,0)</f>
        <v>802.794080415077</v>
      </c>
      <c r="L68" s="22" t="n">
        <f aca="false">E68-F68-G68-H68-I68-J68-K68</f>
        <v>1588.14145752147</v>
      </c>
      <c r="M68" s="22" t="n">
        <f aca="false">($A68=Premissas!$C$18)*Premissas!$C$26*Premissas!$C$60</f>
        <v>0</v>
      </c>
      <c r="N68" s="22" t="n">
        <f aca="false">IF(AND($A68&gt;=Premissas!$C$18,$A68&lt;Premissas!$C$20),Premissas!$C$27/MAX(1,Premissas!$C$19),0)</f>
        <v>0</v>
      </c>
      <c r="O68" s="22" t="n">
        <f aca="false">IF($A68&gt;=Premissas!$C$18,Premissas!$C$60*(1+Premissas!$C$59)^((YEAR($A68)-YEAR(Premissas!$C$18))*12+MONTH($A68)-MONTH(Premissas!$C$18)),"")</f>
        <v>444730.478732061</v>
      </c>
      <c r="P68" s="31" t="n">
        <f aca="false">(1+IF(YEAR($A68)&lt;=2026,Premissas!$C$49,IF(YEAR($A68)=2027,Premissas!$C$50,IF(YEAR($A68)=2028,Premissas!$C$51,Premissas!$C$52)))*(1-Premissas!$C$53))^(1/12)-1</f>
        <v>0.00682149336596227</v>
      </c>
      <c r="Q68" s="22" t="n">
        <f aca="false">($A68=Premissas!$C$16)*Premissas!$C$13</f>
        <v>0</v>
      </c>
      <c r="R68" s="22" t="n">
        <f aca="false">L68-M68-N68-Q68</f>
        <v>1588.14145752147</v>
      </c>
      <c r="S68" s="22" t="n">
        <f aca="false">S67+R68</f>
        <v>-282775.849332913</v>
      </c>
      <c r="T68" s="22" t="n">
        <f aca="false">IF($A68&gt;=Premissas!$C$18,O68*(1-Premissas!$C$45)-Premissas!$C$46*MAX(0,O68*(1-Premissas!$C$45)-(SUM($Q$5:$Q$355)+Premissas!$C$26*Premissas!$C$60)),"")</f>
        <v>395309.660853663</v>
      </c>
      <c r="U68" s="22" t="n">
        <f aca="false">IF($A68&gt;=Premissas!$C$18,S68+T68,"")</f>
        <v>112533.811520749</v>
      </c>
      <c r="V68" s="22" t="n">
        <f aca="false">V67*(1+$P68)-R68</f>
        <v>435325.019807207</v>
      </c>
      <c r="W68" s="22" t="n">
        <f aca="false">($A68=Premissas!$C$16)*Premissas!$C$9</f>
        <v>0</v>
      </c>
      <c r="X68" s="22" t="n">
        <f aca="false">L68-M68-N68-W68</f>
        <v>1588.14145752147</v>
      </c>
      <c r="Y68" s="22" t="n">
        <f aca="false">Y67+X68</f>
        <v>-313703.849332913</v>
      </c>
      <c r="Z68" s="22" t="n">
        <f aca="false">IF($A68&gt;=Premissas!$C$18,O68*(1-Premissas!$C$45)-Premissas!$C$46*MAX(0,O68*(1-Premissas!$C$45)-(SUM($W$5:$W$355)+Premissas!$C$26*Premissas!$C$60)),"")</f>
        <v>399948.860853663</v>
      </c>
      <c r="AA68" s="22" t="n">
        <f aca="false">IF($A68&gt;=Premissas!$C$18,Y68+Z68,"")</f>
        <v>86245.0115207495</v>
      </c>
      <c r="AB68" s="22" t="n">
        <f aca="false">AB67*(1+$P68)-X68</f>
        <v>484348.478500464</v>
      </c>
      <c r="AC68" s="22" t="n">
        <f aca="false">AND($A68&gt;=Premissas!$C$16,$A68&lt;EDATE(Premissas!$C$16,3))*Premissas!$C$10/3*(1+Premissas!$C$56)^$C68</f>
        <v>0</v>
      </c>
      <c r="AD68" s="22" t="n">
        <f aca="false">L68-M68-N68-AC68</f>
        <v>1588.14145752147</v>
      </c>
      <c r="AE68" s="22" t="n">
        <f aca="false">AE67+AD68</f>
        <v>-321324.313212938</v>
      </c>
      <c r="AF68" s="22" t="n">
        <f aca="false">IF($A68&gt;=Premissas!$C$18,O68*(1-Premissas!$C$45)-Premissas!$C$46*MAX(0,O68*(1-Premissas!$C$45)-(SUM($AC$5:$AC$355)+Premissas!$C$26*Premissas!$C$60)),"")</f>
        <v>401091.930435667</v>
      </c>
      <c r="AG68" s="22" t="n">
        <f aca="false">IF($A68&gt;=Premissas!$C$18,AE68+AF68,"")</f>
        <v>79767.6172227284</v>
      </c>
      <c r="AH68" s="22" t="n">
        <f aca="false">AH67*(1+$P68)-AD68</f>
        <v>492162.77999389</v>
      </c>
      <c r="AI68" s="22" t="n">
        <f aca="false">($A68=Premissas!$C$16)*0.2*Premissas!$C$11+AND($A68&gt;Premissas!$C$16,$A68&lt;=EDATE(Premissas!$C$16,43))*0.8*Premissas!$C$11/43*(1+Premissas!$C$56)^$C68</f>
        <v>0</v>
      </c>
      <c r="AJ68" s="22" t="n">
        <f aca="false">L68-M68-N68-AI68</f>
        <v>1588.14145752147</v>
      </c>
      <c r="AK68" s="22" t="n">
        <f aca="false">AK67+AJ68</f>
        <v>-367188.798631</v>
      </c>
      <c r="AL68" s="22" t="n">
        <f aca="false">IF($A68&gt;=Premissas!$C$18,O68*(1-Premissas!$C$45)-Premissas!$C$46*MAX(0,O68*(1-Premissas!$C$45)-(SUM($AI$5:$AI$355)+Premissas!$C$26*Premissas!$C$60)),"")</f>
        <v>407971.603248376</v>
      </c>
      <c r="AM68" s="22" t="n">
        <f aca="false">IF($A68&gt;=Premissas!$C$18,AK68+AL68,"")</f>
        <v>40782.8046173758</v>
      </c>
      <c r="AN68" s="22" t="n">
        <f aca="false">AN67*(1+$P68)-AJ68</f>
        <v>499453.970667429</v>
      </c>
      <c r="AO68" s="22" t="n">
        <f aca="false">V68+S68</f>
        <v>152549.170474294</v>
      </c>
    </row>
    <row r="69" customFormat="false" ht="15" hidden="false" customHeight="false" outlineLevel="0" collapsed="false">
      <c r="A69" s="26" t="n">
        <f aca="false">DATE(YEAR(A68),MONTH(A68)+1,1)</f>
        <v>48245</v>
      </c>
      <c r="B69" s="22" t="str">
        <f aca="false">IF($A69&lt;Premissas!$C$18,"Obra",IF($A69&lt;Premissas!$C$20,"Entrega/mobília","Airbnb"))</f>
        <v>Airbnb</v>
      </c>
      <c r="C69" s="36" t="n">
        <f aca="false">(YEAR($A69)-YEAR(Premissas!$C$16))*12+MONTH($A69)-MONTH(Premissas!$C$16)</f>
        <v>64</v>
      </c>
      <c r="D69" s="33" t="n">
        <f aca="false">IF($A69&gt;=Premissas!$C$20,Premissas!$C$31*IF(((YEAR($A69)-YEAR(Premissas!$C$20))*12+MONTH($A69)-MONTH(Premissas!$C$20))&lt;Premissas!$C$33,Premissas!$C$34,1),0)</f>
        <v>0.62</v>
      </c>
      <c r="E69" s="22" t="n">
        <f aca="false">D69*Premissas!$C$30*Premissas!$C$32*(1+Premissas!$C$58)^$C69</f>
        <v>5731.88448102029</v>
      </c>
      <c r="F69" s="22" t="n">
        <f aca="false">E69*Premissas!$C$35</f>
        <v>917.101516963247</v>
      </c>
      <c r="G69" s="22" t="n">
        <f aca="false">E69*Premissas!$C$36</f>
        <v>1146.37689620406</v>
      </c>
      <c r="H69" s="22" t="n">
        <f aca="false">IF($A69&gt;=Premissas!$C$18,Premissas!$C$37*(1+Premissas!$C$58)^$C69,0)</f>
        <v>739.597997551006</v>
      </c>
      <c r="I69" s="22" t="n">
        <f aca="false">IF($A69&gt;=Premissas!$C$20,Premissas!$C$38*(1+Premissas!$C$58)^$C69,0)</f>
        <v>345.145732190469</v>
      </c>
      <c r="J69" s="22" t="n">
        <f aca="false">IF($A69&gt;=Premissas!$C$20,Premissas!$C$39*(1+Premissas!$C$58)^$C69,0)</f>
        <v>184.899499387751</v>
      </c>
      <c r="K69" s="22" t="n">
        <f aca="false">IF($A69&gt;=Premissas!$C$20,MAX(0,E69-F69-G69-H69)*Premissas!$C$41,0)</f>
        <v>805.422219333045</v>
      </c>
      <c r="L69" s="22" t="n">
        <f aca="false">E69-F69-G69-H69-I69-J69-K69</f>
        <v>1593.34061939072</v>
      </c>
      <c r="M69" s="22" t="n">
        <f aca="false">($A69=Premissas!$C$18)*Premissas!$C$26*Premissas!$C$60</f>
        <v>0</v>
      </c>
      <c r="N69" s="22" t="n">
        <f aca="false">IF(AND($A69&gt;=Premissas!$C$18,$A69&lt;Premissas!$C$20),Premissas!$C$27/MAX(1,Premissas!$C$19),0)</f>
        <v>0</v>
      </c>
      <c r="O69" s="22" t="n">
        <f aca="false">IF($A69&gt;=Premissas!$C$18,Premissas!$C$60*(1+Premissas!$C$59)^((YEAR($A69)-YEAR(Premissas!$C$18))*12+MONTH($A69)-MONTH(Premissas!$C$18)),"")</f>
        <v>446542.365752777</v>
      </c>
      <c r="P69" s="31" t="n">
        <f aca="false">(1+IF(YEAR($A69)&lt;=2026,Premissas!$C$49,IF(YEAR($A69)=2027,Premissas!$C$50,IF(YEAR($A69)=2028,Premissas!$C$51,Premissas!$C$52)))*(1-Premissas!$C$53))^(1/12)-1</f>
        <v>0.00682149336596227</v>
      </c>
      <c r="Q69" s="22" t="n">
        <f aca="false">($A69=Premissas!$C$16)*Premissas!$C$13</f>
        <v>0</v>
      </c>
      <c r="R69" s="22" t="n">
        <f aca="false">L69-M69-N69-Q69</f>
        <v>1593.34061939072</v>
      </c>
      <c r="S69" s="22" t="n">
        <f aca="false">S68+R69</f>
        <v>-281182.508713523</v>
      </c>
      <c r="T69" s="22" t="n">
        <f aca="false">IF($A69&gt;=Premissas!$C$18,O69*(1-Premissas!$C$45)-Premissas!$C$46*MAX(0,O69*(1-Premissas!$C$45)-(SUM($Q$5:$Q$355)+Premissas!$C$26*Premissas!$C$60)),"")</f>
        <v>396757.358583215</v>
      </c>
      <c r="U69" s="22" t="n">
        <f aca="false">IF($A69&gt;=Premissas!$C$18,S69+T69,"")</f>
        <v>115574.849869692</v>
      </c>
      <c r="V69" s="22" t="n">
        <f aca="false">V68*(1+$P69)-R69</f>
        <v>436701.245922469</v>
      </c>
      <c r="W69" s="22" t="n">
        <f aca="false">($A69=Premissas!$C$16)*Premissas!$C$9</f>
        <v>0</v>
      </c>
      <c r="X69" s="22" t="n">
        <f aca="false">L69-M69-N69-W69</f>
        <v>1593.34061939072</v>
      </c>
      <c r="Y69" s="22" t="n">
        <f aca="false">Y68+X69</f>
        <v>-312110.508713523</v>
      </c>
      <c r="Z69" s="22" t="n">
        <f aca="false">IF($A69&gt;=Premissas!$C$18,O69*(1-Premissas!$C$45)-Premissas!$C$46*MAX(0,O69*(1-Premissas!$C$45)-(SUM($W$5:$W$355)+Premissas!$C$26*Premissas!$C$60)),"")</f>
        <v>401396.558583215</v>
      </c>
      <c r="AA69" s="22" t="n">
        <f aca="false">IF($A69&gt;=Premissas!$C$18,Y69+Z69,"")</f>
        <v>89286.049869692</v>
      </c>
      <c r="AB69" s="22" t="n">
        <f aca="false">AB68*(1+$P69)-X69</f>
        <v>486059.117813978</v>
      </c>
      <c r="AC69" s="22" t="n">
        <f aca="false">AND($A69&gt;=Premissas!$C$16,$A69&lt;EDATE(Premissas!$C$16,3))*Premissas!$C$10/3*(1+Premissas!$C$56)^$C69</f>
        <v>0</v>
      </c>
      <c r="AD69" s="22" t="n">
        <f aca="false">L69-M69-N69-AC69</f>
        <v>1593.34061939072</v>
      </c>
      <c r="AE69" s="22" t="n">
        <f aca="false">AE68+AD69</f>
        <v>-319730.972593548</v>
      </c>
      <c r="AF69" s="22" t="n">
        <f aca="false">IF($A69&gt;=Premissas!$C$18,O69*(1-Premissas!$C$45)-Premissas!$C$46*MAX(0,O69*(1-Premissas!$C$45)-(SUM($AC$5:$AC$355)+Premissas!$C$26*Premissas!$C$60)),"")</f>
        <v>402539.628165218</v>
      </c>
      <c r="AG69" s="22" t="n">
        <f aca="false">IF($A69&gt;=Premissas!$C$18,AE69+AF69,"")</f>
        <v>82808.6555716709</v>
      </c>
      <c r="AH69" s="22" t="n">
        <f aca="false">AH68*(1+$P69)-AD69</f>
        <v>493926.724513201</v>
      </c>
      <c r="AI69" s="22" t="n">
        <f aca="false">($A69=Premissas!$C$16)*0.2*Premissas!$C$11+AND($A69&gt;Premissas!$C$16,$A69&lt;=EDATE(Premissas!$C$16,43))*0.8*Premissas!$C$11/43*(1+Premissas!$C$56)^$C69</f>
        <v>0</v>
      </c>
      <c r="AJ69" s="22" t="n">
        <f aca="false">L69-M69-N69-AI69</f>
        <v>1593.34061939072</v>
      </c>
      <c r="AK69" s="22" t="n">
        <f aca="false">AK68+AJ69</f>
        <v>-365595.458011609</v>
      </c>
      <c r="AL69" s="22" t="n">
        <f aca="false">IF($A69&gt;=Premissas!$C$18,O69*(1-Premissas!$C$45)-Premissas!$C$46*MAX(0,O69*(1-Premissas!$C$45)-(SUM($AI$5:$AI$355)+Premissas!$C$26*Premissas!$C$60)),"")</f>
        <v>409419.300977928</v>
      </c>
      <c r="AM69" s="22" t="n">
        <f aca="false">IF($A69&gt;=Premissas!$C$18,AK69+AL69,"")</f>
        <v>43823.8429663183</v>
      </c>
      <c r="AN69" s="22" t="n">
        <f aca="false">AN68*(1+$P69)-AJ69</f>
        <v>501267.651995549</v>
      </c>
      <c r="AO69" s="22" t="n">
        <f aca="false">V69+S69</f>
        <v>155518.737208946</v>
      </c>
    </row>
    <row r="70" customFormat="false" ht="15" hidden="false" customHeight="false" outlineLevel="0" collapsed="false">
      <c r="A70" s="26" t="n">
        <f aca="false">DATE(YEAR(A69),MONTH(A69)+1,1)</f>
        <v>48274</v>
      </c>
      <c r="B70" s="22" t="str">
        <f aca="false">IF($A70&lt;Premissas!$C$18,"Obra",IF($A70&lt;Premissas!$C$20,"Entrega/mobília","Airbnb"))</f>
        <v>Airbnb</v>
      </c>
      <c r="C70" s="36" t="n">
        <f aca="false">(YEAR($A70)-YEAR(Premissas!$C$16))*12+MONTH($A70)-MONTH(Premissas!$C$16)</f>
        <v>65</v>
      </c>
      <c r="D70" s="33" t="n">
        <f aca="false">IF($A70&gt;=Premissas!$C$20,Premissas!$C$31*IF(((YEAR($A70)-YEAR(Premissas!$C$20))*12+MONTH($A70)-MONTH(Premissas!$C$20))&lt;Premissas!$C$33,Premissas!$C$34,1),0)</f>
        <v>0.62</v>
      </c>
      <c r="E70" s="22" t="n">
        <f aca="false">D70*Premissas!$C$30*Premissas!$C$32*(1+Premissas!$C$58)^$C70</f>
        <v>5750.64917927278</v>
      </c>
      <c r="F70" s="22" t="n">
        <f aca="false">E70*Premissas!$C$35</f>
        <v>920.103868683645</v>
      </c>
      <c r="G70" s="22" t="n">
        <f aca="false">E70*Premissas!$C$36</f>
        <v>1150.12983585456</v>
      </c>
      <c r="H70" s="22" t="n">
        <f aca="false">IF($A70&gt;=Premissas!$C$18,Premissas!$C$37*(1+Premissas!$C$58)^$C70,0)</f>
        <v>742.019248938423</v>
      </c>
      <c r="I70" s="22" t="n">
        <f aca="false">IF($A70&gt;=Premissas!$C$20,Premissas!$C$38*(1+Premissas!$C$58)^$C70,0)</f>
        <v>346.275649504598</v>
      </c>
      <c r="J70" s="22" t="n">
        <f aca="false">IF($A70&gt;=Premissas!$C$20,Premissas!$C$39*(1+Premissas!$C$58)^$C70,0)</f>
        <v>185.504812234606</v>
      </c>
      <c r="K70" s="22" t="n">
        <f aca="false">IF($A70&gt;=Premissas!$C$20,MAX(0,E70-F70-G70-H70)*Premissas!$C$41,0)</f>
        <v>808.058962093943</v>
      </c>
      <c r="L70" s="22" t="n">
        <f aca="false">E70-F70-G70-H70-I70-J70-K70</f>
        <v>1598.55680196301</v>
      </c>
      <c r="M70" s="22" t="n">
        <f aca="false">($A70=Premissas!$C$18)*Premissas!$C$26*Premissas!$C$60</f>
        <v>0</v>
      </c>
      <c r="N70" s="22" t="n">
        <f aca="false">IF(AND($A70&gt;=Premissas!$C$18,$A70&lt;Premissas!$C$20),Premissas!$C$27/MAX(1,Premissas!$C$19),0)</f>
        <v>0</v>
      </c>
      <c r="O70" s="22" t="n">
        <f aca="false">IF($A70&gt;=Premissas!$C$18,Premissas!$C$60*(1+Premissas!$C$59)^((YEAR($A70)-YEAR(Premissas!$C$18))*12+MONTH($A70)-MONTH(Premissas!$C$18)),"")</f>
        <v>448361.634625497</v>
      </c>
      <c r="P70" s="31" t="n">
        <f aca="false">(1+IF(YEAR($A70)&lt;=2026,Premissas!$C$49,IF(YEAR($A70)=2027,Premissas!$C$50,IF(YEAR($A70)=2028,Premissas!$C$51,Premissas!$C$52)))*(1-Premissas!$C$53))^(1/12)-1</f>
        <v>0.00682149336596227</v>
      </c>
      <c r="Q70" s="22" t="n">
        <f aca="false">($A70=Premissas!$C$16)*Premissas!$C$13</f>
        <v>0</v>
      </c>
      <c r="R70" s="22" t="n">
        <f aca="false">L70-M70-N70-Q70</f>
        <v>1598.55680196301</v>
      </c>
      <c r="S70" s="22" t="n">
        <f aca="false">S69+R70</f>
        <v>-279583.95191156</v>
      </c>
      <c r="T70" s="22" t="n">
        <f aca="false">IF($A70&gt;=Premissas!$C$18,O70*(1-Premissas!$C$45)-Premissas!$C$46*MAX(0,O70*(1-Premissas!$C$45)-(SUM($Q$5:$Q$355)+Premissas!$C$26*Premissas!$C$60)),"")</f>
        <v>398210.954412518</v>
      </c>
      <c r="U70" s="22" t="n">
        <f aca="false">IF($A70&gt;=Premissas!$C$18,S70+T70,"")</f>
        <v>118627.002500958</v>
      </c>
      <c r="V70" s="22" t="n">
        <f aca="false">V69*(1+$P70)-R70</f>
        <v>438081.643772473</v>
      </c>
      <c r="W70" s="22" t="n">
        <f aca="false">($A70=Premissas!$C$16)*Premissas!$C$9</f>
        <v>0</v>
      </c>
      <c r="X70" s="22" t="n">
        <f aca="false">L70-M70-N70-W70</f>
        <v>1598.55680196301</v>
      </c>
      <c r="Y70" s="22" t="n">
        <f aca="false">Y69+X70</f>
        <v>-310511.95191156</v>
      </c>
      <c r="Z70" s="22" t="n">
        <f aca="false">IF($A70&gt;=Premissas!$C$18,O70*(1-Premissas!$C$45)-Premissas!$C$46*MAX(0,O70*(1-Premissas!$C$45)-(SUM($W$5:$W$355)+Premissas!$C$26*Premissas!$C$60)),"")</f>
        <v>402850.154412518</v>
      </c>
      <c r="AA70" s="22" t="n">
        <f aca="false">IF($A70&gt;=Premissas!$C$18,Y70+Z70,"")</f>
        <v>92338.2025009582</v>
      </c>
      <c r="AB70" s="22" t="n">
        <f aca="false">AB69*(1+$P70)-X70</f>
        <v>487776.210059648</v>
      </c>
      <c r="AC70" s="22" t="n">
        <f aca="false">AND($A70&gt;=Premissas!$C$16,$A70&lt;EDATE(Premissas!$C$16,3))*Premissas!$C$10/3*(1+Premissas!$C$56)^$C70</f>
        <v>0</v>
      </c>
      <c r="AD70" s="22" t="n">
        <f aca="false">L70-M70-N70-AC70</f>
        <v>1598.55680196301</v>
      </c>
      <c r="AE70" s="22" t="n">
        <f aca="false">AE69+AD70</f>
        <v>-318132.415791585</v>
      </c>
      <c r="AF70" s="22" t="n">
        <f aca="false">IF($A70&gt;=Premissas!$C$18,O70*(1-Premissas!$C$45)-Premissas!$C$46*MAX(0,O70*(1-Premissas!$C$45)-(SUM($AC$5:$AC$355)+Premissas!$C$26*Premissas!$C$60)),"")</f>
        <v>403993.223994522</v>
      </c>
      <c r="AG70" s="22" t="n">
        <f aca="false">IF($A70&gt;=Premissas!$C$18,AE70+AF70,"")</f>
        <v>85860.8082029371</v>
      </c>
      <c r="AH70" s="22" t="n">
        <f aca="false">AH69*(1+$P70)-AD70</f>
        <v>495697.485585777</v>
      </c>
      <c r="AI70" s="22" t="n">
        <f aca="false">($A70=Premissas!$C$16)*0.2*Premissas!$C$11+AND($A70&gt;Premissas!$C$16,$A70&lt;=EDATE(Premissas!$C$16,43))*0.8*Premissas!$C$11/43*(1+Premissas!$C$56)^$C70</f>
        <v>0</v>
      </c>
      <c r="AJ70" s="22" t="n">
        <f aca="false">L70-M70-N70-AI70</f>
        <v>1598.55680196301</v>
      </c>
      <c r="AK70" s="22" t="n">
        <f aca="false">AK69+AJ70</f>
        <v>-363996.901209646</v>
      </c>
      <c r="AL70" s="22" t="n">
        <f aca="false">IF($A70&gt;=Premissas!$C$18,O70*(1-Premissas!$C$45)-Premissas!$C$46*MAX(0,O70*(1-Premissas!$C$45)-(SUM($AI$5:$AI$355)+Premissas!$C$26*Premissas!$C$60)),"")</f>
        <v>410872.896807231</v>
      </c>
      <c r="AM70" s="22" t="n">
        <f aca="false">IF($A70&gt;=Premissas!$C$18,AK70+AL70,"")</f>
        <v>46875.9955975846</v>
      </c>
      <c r="AN70" s="22" t="n">
        <f aca="false">AN69*(1+$P70)-AJ70</f>
        <v>503088.489156245</v>
      </c>
      <c r="AO70" s="22" t="n">
        <f aca="false">V70+S70</f>
        <v>158497.691860914</v>
      </c>
    </row>
    <row r="71" customFormat="false" ht="15" hidden="false" customHeight="false" outlineLevel="0" collapsed="false">
      <c r="A71" s="26" t="n">
        <f aca="false">DATE(YEAR(A70),MONTH(A70)+1,1)</f>
        <v>48305</v>
      </c>
      <c r="B71" s="22" t="str">
        <f aca="false">IF($A71&lt;Premissas!$C$18,"Obra",IF($A71&lt;Premissas!$C$20,"Entrega/mobília","Airbnb"))</f>
        <v>Airbnb</v>
      </c>
      <c r="C71" s="36" t="n">
        <f aca="false">(YEAR($A71)-YEAR(Premissas!$C$16))*12+MONTH($A71)-MONTH(Premissas!$C$16)</f>
        <v>66</v>
      </c>
      <c r="D71" s="33" t="n">
        <f aca="false">IF($A71&gt;=Premissas!$C$20,Premissas!$C$31*IF(((YEAR($A71)-YEAR(Premissas!$C$20))*12+MONTH($A71)-MONTH(Premissas!$C$20))&lt;Premissas!$C$33,Premissas!$C$34,1),0)</f>
        <v>0.62</v>
      </c>
      <c r="E71" s="22" t="n">
        <f aca="false">D71*Premissas!$C$30*Premissas!$C$32*(1+Premissas!$C$58)^$C71</f>
        <v>5769.47530826444</v>
      </c>
      <c r="F71" s="22" t="n">
        <f aca="false">E71*Premissas!$C$35</f>
        <v>923.11604932231</v>
      </c>
      <c r="G71" s="22" t="n">
        <f aca="false">E71*Premissas!$C$36</f>
        <v>1153.89506165289</v>
      </c>
      <c r="H71" s="22" t="n">
        <f aca="false">IF($A71&gt;=Premissas!$C$18,Premissas!$C$37*(1+Premissas!$C$58)^$C71,0)</f>
        <v>744.44842687283</v>
      </c>
      <c r="I71" s="22" t="n">
        <f aca="false">IF($A71&gt;=Premissas!$C$20,Premissas!$C$38*(1+Premissas!$C$58)^$C71,0)</f>
        <v>347.409265873987</v>
      </c>
      <c r="J71" s="22" t="n">
        <f aca="false">IF($A71&gt;=Premissas!$C$20,Premissas!$C$39*(1+Premissas!$C$58)^$C71,0)</f>
        <v>186.112106718208</v>
      </c>
      <c r="K71" s="22" t="n">
        <f aca="false">IF($A71&gt;=Premissas!$C$20,MAX(0,E71-F71-G71-H71)*Premissas!$C$41,0)</f>
        <v>810.704336864512</v>
      </c>
      <c r="L71" s="22" t="n">
        <f aca="false">E71-F71-G71-H71-I71-J71-K71</f>
        <v>1603.7900609597</v>
      </c>
      <c r="M71" s="22" t="n">
        <f aca="false">($A71=Premissas!$C$18)*Premissas!$C$26*Premissas!$C$60</f>
        <v>0</v>
      </c>
      <c r="N71" s="22" t="n">
        <f aca="false">IF(AND($A71&gt;=Premissas!$C$18,$A71&lt;Premissas!$C$20),Premissas!$C$27/MAX(1,Premissas!$C$19),0)</f>
        <v>0</v>
      </c>
      <c r="O71" s="22" t="n">
        <f aca="false">IF($A71&gt;=Premissas!$C$18,Premissas!$C$60*(1+Premissas!$C$59)^((YEAR($A71)-YEAR(Premissas!$C$18))*12+MONTH($A71)-MONTH(Premissas!$C$18)),"")</f>
        <v>450188.3154248</v>
      </c>
      <c r="P71" s="31" t="n">
        <f aca="false">(1+IF(YEAR($A71)&lt;=2026,Premissas!$C$49,IF(YEAR($A71)=2027,Premissas!$C$50,IF(YEAR($A71)=2028,Premissas!$C$51,Premissas!$C$52)))*(1-Premissas!$C$53))^(1/12)-1</f>
        <v>0.00682149336596227</v>
      </c>
      <c r="Q71" s="22" t="n">
        <f aca="false">($A71=Premissas!$C$16)*Premissas!$C$13</f>
        <v>0</v>
      </c>
      <c r="R71" s="22" t="n">
        <f aca="false">L71-M71-N71-Q71</f>
        <v>1603.7900609597</v>
      </c>
      <c r="S71" s="22" t="n">
        <f aca="false">S70+R71</f>
        <v>-277980.1618506</v>
      </c>
      <c r="T71" s="22" t="n">
        <f aca="false">IF($A71&gt;=Premissas!$C$18,O71*(1-Premissas!$C$45)-Premissas!$C$46*MAX(0,O71*(1-Premissas!$C$45)-(SUM($Q$5:$Q$355)+Premissas!$C$26*Premissas!$C$60)),"")</f>
        <v>399670.472371161</v>
      </c>
      <c r="U71" s="22" t="n">
        <f aca="false">IF($A71&gt;=Premissas!$C$18,S71+T71,"")</f>
        <v>121690.310520561</v>
      </c>
      <c r="V71" s="22" t="n">
        <f aca="false">V70*(1+$P71)-R71</f>
        <v>439466.224738258</v>
      </c>
      <c r="W71" s="22" t="n">
        <f aca="false">($A71=Premissas!$C$16)*Premissas!$C$9</f>
        <v>0</v>
      </c>
      <c r="X71" s="22" t="n">
        <f aca="false">L71-M71-N71-W71</f>
        <v>1603.7900609597</v>
      </c>
      <c r="Y71" s="22" t="n">
        <f aca="false">Y70+X71</f>
        <v>-308908.1618506</v>
      </c>
      <c r="Z71" s="22" t="n">
        <f aca="false">IF($A71&gt;=Premissas!$C$18,O71*(1-Premissas!$C$45)-Premissas!$C$46*MAX(0,O71*(1-Premissas!$C$45)-(SUM($W$5:$W$355)+Premissas!$C$26*Premissas!$C$60)),"")</f>
        <v>404309.672371161</v>
      </c>
      <c r="AA71" s="22" t="n">
        <f aca="false">IF($A71&gt;=Premissas!$C$18,Y71+Z71,"")</f>
        <v>95401.5105205613</v>
      </c>
      <c r="AB71" s="22" t="n">
        <f aca="false">AB70*(1+$P71)-X71</f>
        <v>489499.782179685</v>
      </c>
      <c r="AC71" s="22" t="n">
        <f aca="false">AND($A71&gt;=Premissas!$C$16,$A71&lt;EDATE(Premissas!$C$16,3))*Premissas!$C$10/3*(1+Premissas!$C$56)^$C71</f>
        <v>0</v>
      </c>
      <c r="AD71" s="22" t="n">
        <f aca="false">L71-M71-N71-AC71</f>
        <v>1603.7900609597</v>
      </c>
      <c r="AE71" s="22" t="n">
        <f aca="false">AE70+AD71</f>
        <v>-316528.625730625</v>
      </c>
      <c r="AF71" s="22" t="n">
        <f aca="false">IF($A71&gt;=Premissas!$C$18,O71*(1-Premissas!$C$45)-Premissas!$C$46*MAX(0,O71*(1-Premissas!$C$45)-(SUM($AC$5:$AC$355)+Premissas!$C$26*Premissas!$C$60)),"")</f>
        <v>405452.741953165</v>
      </c>
      <c r="AG71" s="22" t="n">
        <f aca="false">IF($A71&gt;=Premissas!$C$18,AE71+AF71,"")</f>
        <v>88924.1162225402</v>
      </c>
      <c r="AH71" s="22" t="n">
        <f aca="false">AH70*(1+$P71)-AD71</f>
        <v>497475.092634264</v>
      </c>
      <c r="AI71" s="22" t="n">
        <f aca="false">($A71=Premissas!$C$16)*0.2*Premissas!$C$11+AND($A71&gt;Premissas!$C$16,$A71&lt;=EDATE(Premissas!$C$16,43))*0.8*Premissas!$C$11/43*(1+Premissas!$C$56)^$C71</f>
        <v>0</v>
      </c>
      <c r="AJ71" s="22" t="n">
        <f aca="false">L71-M71-N71-AI71</f>
        <v>1603.7900609597</v>
      </c>
      <c r="AK71" s="22" t="n">
        <f aca="false">AK70+AJ71</f>
        <v>-362393.111148687</v>
      </c>
      <c r="AL71" s="22" t="n">
        <f aca="false">IF($A71&gt;=Premissas!$C$18,O71*(1-Premissas!$C$45)-Premissas!$C$46*MAX(0,O71*(1-Premissas!$C$45)-(SUM($AI$5:$AI$355)+Premissas!$C$26*Premissas!$C$60)),"")</f>
        <v>412332.414765874</v>
      </c>
      <c r="AM71" s="22" t="n">
        <f aca="false">IF($A71&gt;=Premissas!$C$18,AK71+AL71,"")</f>
        <v>49939.3036171875</v>
      </c>
      <c r="AN71" s="22" t="n">
        <f aca="false">AN70*(1+$P71)-AJ71</f>
        <v>504916.513886557</v>
      </c>
      <c r="AO71" s="22" t="n">
        <f aca="false">V71+S71</f>
        <v>161486.062887658</v>
      </c>
    </row>
    <row r="72" customFormat="false" ht="15" hidden="false" customHeight="false" outlineLevel="0" collapsed="false">
      <c r="A72" s="26" t="n">
        <f aca="false">DATE(YEAR(A71),MONTH(A71)+1,1)</f>
        <v>48335</v>
      </c>
      <c r="B72" s="22" t="str">
        <f aca="false">IF($A72&lt;Premissas!$C$18,"Obra",IF($A72&lt;Premissas!$C$20,"Entrega/mobília","Airbnb"))</f>
        <v>Airbnb</v>
      </c>
      <c r="C72" s="36" t="n">
        <f aca="false">(YEAR($A72)-YEAR(Premissas!$C$16))*12+MONTH($A72)-MONTH(Premissas!$C$16)</f>
        <v>67</v>
      </c>
      <c r="D72" s="33" t="n">
        <f aca="false">IF($A72&gt;=Premissas!$C$20,Premissas!$C$31*IF(((YEAR($A72)-YEAR(Premissas!$C$20))*12+MONTH($A72)-MONTH(Premissas!$C$20))&lt;Premissas!$C$33,Premissas!$C$34,1),0)</f>
        <v>0.62</v>
      </c>
      <c r="E72" s="22" t="n">
        <f aca="false">D72*Premissas!$C$30*Premissas!$C$32*(1+Premissas!$C$58)^$C72</f>
        <v>5788.36306910351</v>
      </c>
      <c r="F72" s="22" t="n">
        <f aca="false">E72*Premissas!$C$35</f>
        <v>926.138091056562</v>
      </c>
      <c r="G72" s="22" t="n">
        <f aca="false">E72*Premissas!$C$36</f>
        <v>1157.6726138207</v>
      </c>
      <c r="H72" s="22" t="n">
        <f aca="false">IF($A72&gt;=Premissas!$C$18,Premissas!$C$37*(1+Premissas!$C$58)^$C72,0)</f>
        <v>746.885557303679</v>
      </c>
      <c r="I72" s="22" t="n">
        <f aca="false">IF($A72&gt;=Premissas!$C$20,Premissas!$C$38*(1+Premissas!$C$58)^$C72,0)</f>
        <v>348.546593408384</v>
      </c>
      <c r="J72" s="22" t="n">
        <f aca="false">IF($A72&gt;=Premissas!$C$20,Premissas!$C$39*(1+Premissas!$C$58)^$C72,0)</f>
        <v>186.72138932592</v>
      </c>
      <c r="K72" s="22" t="n">
        <f aca="false">IF($A72&gt;=Premissas!$C$20,MAX(0,E72-F72-G72-H72)*Premissas!$C$41,0)</f>
        <v>813.358371903707</v>
      </c>
      <c r="L72" s="22" t="n">
        <f aca="false">E72-F72-G72-H72-I72-J72-K72</f>
        <v>1609.04045228456</v>
      </c>
      <c r="M72" s="22" t="n">
        <f aca="false">($A72=Premissas!$C$18)*Premissas!$C$26*Premissas!$C$60</f>
        <v>0</v>
      </c>
      <c r="N72" s="22" t="n">
        <f aca="false">IF(AND($A72&gt;=Premissas!$C$18,$A72&lt;Premissas!$C$20),Premissas!$C$27/MAX(1,Premissas!$C$19),0)</f>
        <v>0</v>
      </c>
      <c r="O72" s="22" t="n">
        <f aca="false">IF($A72&gt;=Premissas!$C$18,Premissas!$C$60*(1+Premissas!$C$59)^((YEAR($A72)-YEAR(Premissas!$C$18))*12+MONTH($A72)-MONTH(Premissas!$C$18)),"")</f>
        <v>452022.438347793</v>
      </c>
      <c r="P72" s="31" t="n">
        <f aca="false">(1+IF(YEAR($A72)&lt;=2026,Premissas!$C$49,IF(YEAR($A72)=2027,Premissas!$C$50,IF(YEAR($A72)=2028,Premissas!$C$51,Premissas!$C$52)))*(1-Premissas!$C$53))^(1/12)-1</f>
        <v>0.00682149336596227</v>
      </c>
      <c r="Q72" s="22" t="n">
        <f aca="false">($A72=Premissas!$C$16)*Premissas!$C$13</f>
        <v>0</v>
      </c>
      <c r="R72" s="22" t="n">
        <f aca="false">L72-M72-N72-Q72</f>
        <v>1609.04045228456</v>
      </c>
      <c r="S72" s="22" t="n">
        <f aca="false">S71+R72</f>
        <v>-276371.121398315</v>
      </c>
      <c r="T72" s="22" t="n">
        <f aca="false">IF($A72&gt;=Premissas!$C$18,O72*(1-Premissas!$C$45)-Premissas!$C$46*MAX(0,O72*(1-Premissas!$C$45)-(SUM($Q$5:$Q$355)+Premissas!$C$26*Premissas!$C$60)),"")</f>
        <v>401135.936586632</v>
      </c>
      <c r="U72" s="22" t="n">
        <f aca="false">IF($A72&gt;=Premissas!$C$18,S72+T72,"")</f>
        <v>124764.815188317</v>
      </c>
      <c r="V72" s="22" t="n">
        <f aca="false">V71*(1+$P72)-R72</f>
        <v>440855.000222589</v>
      </c>
      <c r="W72" s="22" t="n">
        <f aca="false">($A72=Premissas!$C$16)*Premissas!$C$9</f>
        <v>0</v>
      </c>
      <c r="X72" s="22" t="n">
        <f aca="false">L72-M72-N72-W72</f>
        <v>1609.04045228456</v>
      </c>
      <c r="Y72" s="22" t="n">
        <f aca="false">Y71+X72</f>
        <v>-307299.121398315</v>
      </c>
      <c r="Z72" s="22" t="n">
        <f aca="false">IF($A72&gt;=Premissas!$C$18,O72*(1-Premissas!$C$45)-Premissas!$C$46*MAX(0,O72*(1-Premissas!$C$45)-(SUM($W$5:$W$355)+Premissas!$C$26*Premissas!$C$60)),"")</f>
        <v>405775.136586632</v>
      </c>
      <c r="AA72" s="22" t="n">
        <f aca="false">IF($A72&gt;=Premissas!$C$18,Y72+Z72,"")</f>
        <v>98476.0151883171</v>
      </c>
      <c r="AB72" s="22" t="n">
        <f aca="false">AB71*(1+$P72)-X72</f>
        <v>491229.861244179</v>
      </c>
      <c r="AC72" s="22" t="n">
        <f aca="false">AND($A72&gt;=Premissas!$C$16,$A72&lt;EDATE(Premissas!$C$16,3))*Premissas!$C$10/3*(1+Premissas!$C$56)^$C72</f>
        <v>0</v>
      </c>
      <c r="AD72" s="22" t="n">
        <f aca="false">L72-M72-N72-AC72</f>
        <v>1609.04045228456</v>
      </c>
      <c r="AE72" s="22" t="n">
        <f aca="false">AE71+AD72</f>
        <v>-314919.58527834</v>
      </c>
      <c r="AF72" s="22" t="n">
        <f aca="false">IF($A72&gt;=Premissas!$C$18,O72*(1-Premissas!$C$45)-Premissas!$C$46*MAX(0,O72*(1-Premissas!$C$45)-(SUM($AC$5:$AC$355)+Premissas!$C$26*Premissas!$C$60)),"")</f>
        <v>406918.206168636</v>
      </c>
      <c r="AG72" s="22" t="n">
        <f aca="false">IF($A72&gt;=Premissas!$C$18,AE72+AF72,"")</f>
        <v>91998.6208902959</v>
      </c>
      <c r="AH72" s="22" t="n">
        <f aca="false">AH71*(1+$P72)-AD72</f>
        <v>499259.575226116</v>
      </c>
      <c r="AI72" s="22" t="n">
        <f aca="false">($A72=Premissas!$C$16)*0.2*Premissas!$C$11+AND($A72&gt;Premissas!$C$16,$A72&lt;=EDATE(Premissas!$C$16,43))*0.8*Premissas!$C$11/43*(1+Premissas!$C$56)^$C72</f>
        <v>0</v>
      </c>
      <c r="AJ72" s="22" t="n">
        <f aca="false">L72-M72-N72-AI72</f>
        <v>1609.04045228456</v>
      </c>
      <c r="AK72" s="22" t="n">
        <f aca="false">AK71+AJ72</f>
        <v>-360784.070696402</v>
      </c>
      <c r="AL72" s="22" t="n">
        <f aca="false">IF($A72&gt;=Premissas!$C$18,O72*(1-Premissas!$C$45)-Premissas!$C$46*MAX(0,O72*(1-Premissas!$C$45)-(SUM($AI$5:$AI$355)+Premissas!$C$26*Premissas!$C$60)),"")</f>
        <v>413797.878981345</v>
      </c>
      <c r="AM72" s="22" t="n">
        <f aca="false">IF($A72&gt;=Premissas!$C$18,AK72+AL72,"")</f>
        <v>53013.8082849433</v>
      </c>
      <c r="AN72" s="22" t="n">
        <f aca="false">AN71*(1+$P72)-AJ72</f>
        <v>506751.758084114</v>
      </c>
      <c r="AO72" s="22" t="n">
        <f aca="false">V72+S72</f>
        <v>164483.878824274</v>
      </c>
    </row>
    <row r="73" customFormat="false" ht="15" hidden="false" customHeight="false" outlineLevel="0" collapsed="false">
      <c r="A73" s="26" t="n">
        <f aca="false">DATE(YEAR(A72),MONTH(A72)+1,1)</f>
        <v>48366</v>
      </c>
      <c r="B73" s="22" t="str">
        <f aca="false">IF($A73&lt;Premissas!$C$18,"Obra",IF($A73&lt;Premissas!$C$20,"Entrega/mobília","Airbnb"))</f>
        <v>Airbnb</v>
      </c>
      <c r="C73" s="36" t="n">
        <f aca="false">(YEAR($A73)-YEAR(Premissas!$C$16))*12+MONTH($A73)-MONTH(Premissas!$C$16)</f>
        <v>68</v>
      </c>
      <c r="D73" s="33" t="n">
        <f aca="false">IF($A73&gt;=Premissas!$C$20,Premissas!$C$31*IF(((YEAR($A73)-YEAR(Premissas!$C$20))*12+MONTH($A73)-MONTH(Premissas!$C$20))&lt;Premissas!$C$33,Premissas!$C$34,1),0)</f>
        <v>0.62</v>
      </c>
      <c r="E73" s="22" t="n">
        <f aca="false">D73*Premissas!$C$30*Premissas!$C$32*(1+Premissas!$C$58)^$C73</f>
        <v>5807.31266355665</v>
      </c>
      <c r="F73" s="22" t="n">
        <f aca="false">E73*Premissas!$C$35</f>
        <v>929.170026169064</v>
      </c>
      <c r="G73" s="22" t="n">
        <f aca="false">E73*Premissas!$C$36</f>
        <v>1161.46253271133</v>
      </c>
      <c r="H73" s="22" t="n">
        <f aca="false">IF($A73&gt;=Premissas!$C$18,Premissas!$C$37*(1+Premissas!$C$58)^$C73,0)</f>
        <v>749.330666265374</v>
      </c>
      <c r="I73" s="22" t="n">
        <f aca="false">IF($A73&gt;=Premissas!$C$20,Premissas!$C$38*(1+Premissas!$C$58)^$C73,0)</f>
        <v>349.687644257175</v>
      </c>
      <c r="J73" s="22" t="n">
        <f aca="false">IF($A73&gt;=Premissas!$C$20,Premissas!$C$39*(1+Premissas!$C$58)^$C73,0)</f>
        <v>187.332666566344</v>
      </c>
      <c r="K73" s="22" t="n">
        <f aca="false">IF($A73&gt;=Premissas!$C$20,MAX(0,E73-F73-G73-H73)*Premissas!$C$41,0)</f>
        <v>816.021095562992</v>
      </c>
      <c r="L73" s="22" t="n">
        <f aca="false">E73-F73-G73-H73-I73-J73-K73</f>
        <v>1614.30803202437</v>
      </c>
      <c r="M73" s="22" t="n">
        <f aca="false">($A73=Premissas!$C$18)*Premissas!$C$26*Premissas!$C$60</f>
        <v>0</v>
      </c>
      <c r="N73" s="22" t="n">
        <f aca="false">IF(AND($A73&gt;=Premissas!$C$18,$A73&lt;Premissas!$C$20),Premissas!$C$27/MAX(1,Premissas!$C$19),0)</f>
        <v>0</v>
      </c>
      <c r="O73" s="22" t="n">
        <f aca="false">IF($A73&gt;=Premissas!$C$18,Premissas!$C$60*(1+Premissas!$C$59)^((YEAR($A73)-YEAR(Premissas!$C$18))*12+MONTH($A73)-MONTH(Premissas!$C$18)),"")</f>
        <v>453864.033714608</v>
      </c>
      <c r="P73" s="31" t="n">
        <f aca="false">(1+IF(YEAR($A73)&lt;=2026,Premissas!$C$49,IF(YEAR($A73)=2027,Premissas!$C$50,IF(YEAR($A73)=2028,Premissas!$C$51,Premissas!$C$52)))*(1-Premissas!$C$53))^(1/12)-1</f>
        <v>0.00682149336596227</v>
      </c>
      <c r="Q73" s="22" t="n">
        <f aca="false">($A73=Premissas!$C$16)*Premissas!$C$13</f>
        <v>0</v>
      </c>
      <c r="R73" s="22" t="n">
        <f aca="false">L73-M73-N73-Q73</f>
        <v>1614.30803202437</v>
      </c>
      <c r="S73" s="22" t="n">
        <f aca="false">S72+R73</f>
        <v>-274756.813366291</v>
      </c>
      <c r="T73" s="22" t="n">
        <f aca="false">IF($A73&gt;=Premissas!$C$18,O73*(1-Premissas!$C$45)-Premissas!$C$46*MAX(0,O73*(1-Premissas!$C$45)-(SUM($Q$5:$Q$355)+Premissas!$C$26*Premissas!$C$60)),"")</f>
        <v>402607.371284718</v>
      </c>
      <c r="U73" s="22" t="n">
        <f aca="false">IF($A73&gt;=Premissas!$C$18,S73+T73,"")</f>
        <v>127850.557918427</v>
      </c>
      <c r="V73" s="22" t="n">
        <f aca="false">V72*(1+$P73)-R73</f>
        <v>442247.981649935</v>
      </c>
      <c r="W73" s="22" t="n">
        <f aca="false">($A73=Premissas!$C$16)*Premissas!$C$9</f>
        <v>0</v>
      </c>
      <c r="X73" s="22" t="n">
        <f aca="false">L73-M73-N73-W73</f>
        <v>1614.30803202437</v>
      </c>
      <c r="Y73" s="22" t="n">
        <f aca="false">Y72+X73</f>
        <v>-305684.813366291</v>
      </c>
      <c r="Z73" s="22" t="n">
        <f aca="false">IF($A73&gt;=Premissas!$C$18,O73*(1-Premissas!$C$45)-Premissas!$C$46*MAX(0,O73*(1-Premissas!$C$45)-(SUM($W$5:$W$355)+Premissas!$C$26*Premissas!$C$60)),"")</f>
        <v>407246.571284718</v>
      </c>
      <c r="AA73" s="22" t="n">
        <f aca="false">IF($A73&gt;=Premissas!$C$18,Y73+Z73,"")</f>
        <v>101561.757918427</v>
      </c>
      <c r="AB73" s="22" t="n">
        <f aca="false">AB72*(1+$P73)-X73</f>
        <v>492966.474451794</v>
      </c>
      <c r="AC73" s="22" t="n">
        <f aca="false">AND($A73&gt;=Premissas!$C$16,$A73&lt;EDATE(Premissas!$C$16,3))*Premissas!$C$10/3*(1+Premissas!$C$56)^$C73</f>
        <v>0</v>
      </c>
      <c r="AD73" s="22" t="n">
        <f aca="false">L73-M73-N73-AC73</f>
        <v>1614.30803202437</v>
      </c>
      <c r="AE73" s="22" t="n">
        <f aca="false">AE72+AD73</f>
        <v>-313305.277246316</v>
      </c>
      <c r="AF73" s="22" t="n">
        <f aca="false">IF($A73&gt;=Premissas!$C$18,O73*(1-Premissas!$C$45)-Premissas!$C$46*MAX(0,O73*(1-Premissas!$C$45)-(SUM($AC$5:$AC$355)+Premissas!$C$26*Premissas!$C$60)),"")</f>
        <v>408389.640866722</v>
      </c>
      <c r="AG73" s="22" t="n">
        <f aca="false">IF($A73&gt;=Premissas!$C$18,AE73+AF73,"")</f>
        <v>95084.3636204058</v>
      </c>
      <c r="AH73" s="22" t="n">
        <f aca="false">AH72*(1+$P73)-AD73</f>
        <v>501050.96307439</v>
      </c>
      <c r="AI73" s="22" t="n">
        <f aca="false">($A73=Premissas!$C$16)*0.2*Premissas!$C$11+AND($A73&gt;Premissas!$C$16,$A73&lt;=EDATE(Premissas!$C$16,43))*0.8*Premissas!$C$11/43*(1+Premissas!$C$56)^$C73</f>
        <v>0</v>
      </c>
      <c r="AJ73" s="22" t="n">
        <f aca="false">L73-M73-N73-AI73</f>
        <v>1614.30803202437</v>
      </c>
      <c r="AK73" s="22" t="n">
        <f aca="false">AK72+AJ73</f>
        <v>-359169.762664378</v>
      </c>
      <c r="AL73" s="22" t="n">
        <f aca="false">IF($A73&gt;=Premissas!$C$18,O73*(1-Premissas!$C$45)-Premissas!$C$46*MAX(0,O73*(1-Premissas!$C$45)-(SUM($AI$5:$AI$355)+Premissas!$C$26*Premissas!$C$60)),"")</f>
        <v>415269.313679431</v>
      </c>
      <c r="AM73" s="22" t="n">
        <f aca="false">IF($A73&gt;=Premissas!$C$18,AK73+AL73,"")</f>
        <v>56099.5510150533</v>
      </c>
      <c r="AN73" s="22" t="n">
        <f aca="false">AN72*(1+$P73)-AJ73</f>
        <v>508594.25380805</v>
      </c>
      <c r="AO73" s="22" t="n">
        <f aca="false">V73+S73</f>
        <v>167491.168283644</v>
      </c>
    </row>
    <row r="74" customFormat="false" ht="15" hidden="false" customHeight="false" outlineLevel="0" collapsed="false">
      <c r="A74" s="26" t="n">
        <f aca="false">DATE(YEAR(A73),MONTH(A73)+1,1)</f>
        <v>48396</v>
      </c>
      <c r="B74" s="22" t="str">
        <f aca="false">IF($A74&lt;Premissas!$C$18,"Obra",IF($A74&lt;Premissas!$C$20,"Entrega/mobília","Airbnb"))</f>
        <v>Airbnb</v>
      </c>
      <c r="C74" s="36" t="n">
        <f aca="false">(YEAR($A74)-YEAR(Premissas!$C$16))*12+MONTH($A74)-MONTH(Premissas!$C$16)</f>
        <v>69</v>
      </c>
      <c r="D74" s="33" t="n">
        <f aca="false">IF($A74&gt;=Premissas!$C$20,Premissas!$C$31*IF(((YEAR($A74)-YEAR(Premissas!$C$20))*12+MONTH($A74)-MONTH(Premissas!$C$20))&lt;Premissas!$C$33,Premissas!$C$34,1),0)</f>
        <v>0.62</v>
      </c>
      <c r="E74" s="22" t="n">
        <f aca="false">D74*Premissas!$C$30*Premissas!$C$32*(1+Premissas!$C$58)^$C74</f>
        <v>5826.324294051</v>
      </c>
      <c r="F74" s="22" t="n">
        <f aca="false">E74*Premissas!$C$35</f>
        <v>932.21188704816</v>
      </c>
      <c r="G74" s="22" t="n">
        <f aca="false">E74*Premissas!$C$36</f>
        <v>1165.2648588102</v>
      </c>
      <c r="H74" s="22" t="n">
        <f aca="false">IF($A74&gt;=Premissas!$C$18,Premissas!$C$37*(1+Premissas!$C$58)^$C74,0)</f>
        <v>751.783779877549</v>
      </c>
      <c r="I74" s="22" t="n">
        <f aca="false">IF($A74&gt;=Premissas!$C$20,Premissas!$C$38*(1+Premissas!$C$58)^$C74,0)</f>
        <v>350.832430609523</v>
      </c>
      <c r="J74" s="22" t="n">
        <f aca="false">IF($A74&gt;=Premissas!$C$20,Premissas!$C$39*(1+Premissas!$C$58)^$C74,0)</f>
        <v>187.945944969387</v>
      </c>
      <c r="K74" s="22" t="n">
        <f aca="false">IF($A74&gt;=Premissas!$C$20,MAX(0,E74-F74-G74-H74)*Premissas!$C$41,0)</f>
        <v>818.692536286651</v>
      </c>
      <c r="L74" s="22" t="n">
        <f aca="false">E74-F74-G74-H74-I74-J74-K74</f>
        <v>1619.59285644953</v>
      </c>
      <c r="M74" s="22" t="n">
        <f aca="false">($A74=Premissas!$C$18)*Premissas!$C$26*Premissas!$C$60</f>
        <v>0</v>
      </c>
      <c r="N74" s="22" t="n">
        <f aca="false">IF(AND($A74&gt;=Premissas!$C$18,$A74&lt;Premissas!$C$20),Premissas!$C$27/MAX(1,Premissas!$C$19),0)</f>
        <v>0</v>
      </c>
      <c r="O74" s="22" t="n">
        <f aca="false">IF($A74&gt;=Premissas!$C$18,Premissas!$C$60*(1+Premissas!$C$59)^((YEAR($A74)-YEAR(Premissas!$C$18))*12+MONTH($A74)-MONTH(Premissas!$C$18)),"")</f>
        <v>455713.131968907</v>
      </c>
      <c r="P74" s="31" t="n">
        <f aca="false">(1+IF(YEAR($A74)&lt;=2026,Premissas!$C$49,IF(YEAR($A74)=2027,Premissas!$C$50,IF(YEAR($A74)=2028,Premissas!$C$51,Premissas!$C$52)))*(1-Premissas!$C$53))^(1/12)-1</f>
        <v>0.00682149336596227</v>
      </c>
      <c r="Q74" s="22" t="n">
        <f aca="false">($A74=Premissas!$C$16)*Premissas!$C$13</f>
        <v>0</v>
      </c>
      <c r="R74" s="22" t="n">
        <f aca="false">L74-M74-N74-Q74</f>
        <v>1619.59285644953</v>
      </c>
      <c r="S74" s="22" t="n">
        <f aca="false">S73+R74</f>
        <v>-273137.220509842</v>
      </c>
      <c r="T74" s="22" t="n">
        <f aca="false">IF($A74&gt;=Premissas!$C$18,O74*(1-Premissas!$C$45)-Premissas!$C$46*MAX(0,O74*(1-Premissas!$C$45)-(SUM($Q$5:$Q$355)+Premissas!$C$26*Premissas!$C$60)),"")</f>
        <v>404084.800789903</v>
      </c>
      <c r="U74" s="22" t="n">
        <f aca="false">IF($A74&gt;=Premissas!$C$18,S74+T74,"")</f>
        <v>130947.580280062</v>
      </c>
      <c r="V74" s="22" t="n">
        <f aca="false">V73*(1+$P74)-R74</f>
        <v>443645.18046642</v>
      </c>
      <c r="W74" s="22" t="n">
        <f aca="false">($A74=Premissas!$C$16)*Premissas!$C$9</f>
        <v>0</v>
      </c>
      <c r="X74" s="22" t="n">
        <f aca="false">L74-M74-N74-W74</f>
        <v>1619.59285644953</v>
      </c>
      <c r="Y74" s="22" t="n">
        <f aca="false">Y73+X74</f>
        <v>-304065.220509842</v>
      </c>
      <c r="Z74" s="22" t="n">
        <f aca="false">IF($A74&gt;=Premissas!$C$18,O74*(1-Premissas!$C$45)-Premissas!$C$46*MAX(0,O74*(1-Premissas!$C$45)-(SUM($W$5:$W$355)+Premissas!$C$26*Premissas!$C$60)),"")</f>
        <v>408724.000789903</v>
      </c>
      <c r="AA74" s="22" t="n">
        <f aca="false">IF($A74&gt;=Premissas!$C$18,Y74+Z74,"")</f>
        <v>104658.780280062</v>
      </c>
      <c r="AB74" s="22" t="n">
        <f aca="false">AB73*(1+$P74)-X74</f>
        <v>494709.649130459</v>
      </c>
      <c r="AC74" s="22" t="n">
        <f aca="false">AND($A74&gt;=Premissas!$C$16,$A74&lt;EDATE(Premissas!$C$16,3))*Premissas!$C$10/3*(1+Premissas!$C$56)^$C74</f>
        <v>0</v>
      </c>
      <c r="AD74" s="22" t="n">
        <f aca="false">L74-M74-N74-AC74</f>
        <v>1619.59285644953</v>
      </c>
      <c r="AE74" s="22" t="n">
        <f aca="false">AE73+AD74</f>
        <v>-311685.684389866</v>
      </c>
      <c r="AF74" s="22" t="n">
        <f aca="false">IF($A74&gt;=Premissas!$C$18,O74*(1-Premissas!$C$45)-Premissas!$C$46*MAX(0,O74*(1-Premissas!$C$45)-(SUM($AC$5:$AC$355)+Premissas!$C$26*Premissas!$C$60)),"")</f>
        <v>409867.070371907</v>
      </c>
      <c r="AG74" s="22" t="n">
        <f aca="false">IF($A74&gt;=Premissas!$C$18,AE74+AF74,"")</f>
        <v>98181.3859820405</v>
      </c>
      <c r="AH74" s="22" t="n">
        <f aca="false">AH73*(1+$P74)-AD74</f>
        <v>502849.286038561</v>
      </c>
      <c r="AI74" s="22" t="n">
        <f aca="false">($A74=Premissas!$C$16)*0.2*Premissas!$C$11+AND($A74&gt;Premissas!$C$16,$A74&lt;=EDATE(Premissas!$C$16,43))*0.8*Premissas!$C$11/43*(1+Premissas!$C$56)^$C74</f>
        <v>0</v>
      </c>
      <c r="AJ74" s="22" t="n">
        <f aca="false">L74-M74-N74-AI74</f>
        <v>1619.59285644953</v>
      </c>
      <c r="AK74" s="22" t="n">
        <f aca="false">AK73+AJ74</f>
        <v>-357550.169807928</v>
      </c>
      <c r="AL74" s="22" t="n">
        <f aca="false">IF($A74&gt;=Premissas!$C$18,O74*(1-Premissas!$C$45)-Premissas!$C$46*MAX(0,O74*(1-Premissas!$C$45)-(SUM($AI$5:$AI$355)+Premissas!$C$26*Premissas!$C$60)),"")</f>
        <v>416746.743184616</v>
      </c>
      <c r="AM74" s="22" t="n">
        <f aca="false">IF($A74&gt;=Premissas!$C$18,AK74+AL74,"")</f>
        <v>59196.5733766879</v>
      </c>
      <c r="AN74" s="22" t="n">
        <f aca="false">AN73*(1+$P74)-AJ74</f>
        <v>510444.033279919</v>
      </c>
      <c r="AO74" s="22" t="n">
        <f aca="false">V74+S74</f>
        <v>170507.959956579</v>
      </c>
    </row>
    <row r="75" customFormat="false" ht="15" hidden="false" customHeight="false" outlineLevel="0" collapsed="false">
      <c r="A75" s="26" t="n">
        <f aca="false">DATE(YEAR(A74),MONTH(A74)+1,1)</f>
        <v>48427</v>
      </c>
      <c r="B75" s="22" t="str">
        <f aca="false">IF($A75&lt;Premissas!$C$18,"Obra",IF($A75&lt;Premissas!$C$20,"Entrega/mobília","Airbnb"))</f>
        <v>Airbnb</v>
      </c>
      <c r="C75" s="36" t="n">
        <f aca="false">(YEAR($A75)-YEAR(Premissas!$C$16))*12+MONTH($A75)-MONTH(Premissas!$C$16)</f>
        <v>70</v>
      </c>
      <c r="D75" s="33" t="n">
        <f aca="false">IF($A75&gt;=Premissas!$C$20,Premissas!$C$31*IF(((YEAR($A75)-YEAR(Premissas!$C$20))*12+MONTH($A75)-MONTH(Premissas!$C$20))&lt;Premissas!$C$33,Premissas!$C$34,1),0)</f>
        <v>0.62</v>
      </c>
      <c r="E75" s="22" t="n">
        <f aca="false">D75*Premissas!$C$30*Premissas!$C$32*(1+Premissas!$C$58)^$C75</f>
        <v>5845.39816367643</v>
      </c>
      <c r="F75" s="22" t="n">
        <f aca="false">E75*Premissas!$C$35</f>
        <v>935.263706188229</v>
      </c>
      <c r="G75" s="22" t="n">
        <f aca="false">E75*Premissas!$C$36</f>
        <v>1169.07963273529</v>
      </c>
      <c r="H75" s="22" t="n">
        <f aca="false">IF($A75&gt;=Premissas!$C$18,Premissas!$C$37*(1+Premissas!$C$58)^$C75,0)</f>
        <v>754.244924345346</v>
      </c>
      <c r="I75" s="22" t="n">
        <f aca="false">IF($A75&gt;=Premissas!$C$20,Premissas!$C$38*(1+Premissas!$C$58)^$C75,0)</f>
        <v>351.980964694495</v>
      </c>
      <c r="J75" s="22" t="n">
        <f aca="false">IF($A75&gt;=Premissas!$C$20,Premissas!$C$39*(1+Premissas!$C$58)^$C75,0)</f>
        <v>188.561231086336</v>
      </c>
      <c r="K75" s="22" t="n">
        <f aca="false">IF($A75&gt;=Premissas!$C$20,MAX(0,E75-F75-G75-H75)*Premissas!$C$41,0)</f>
        <v>821.372722612082</v>
      </c>
      <c r="L75" s="22" t="n">
        <f aca="false">E75-F75-G75-H75-I75-J75-K75</f>
        <v>1624.89498201466</v>
      </c>
      <c r="M75" s="22" t="n">
        <f aca="false">($A75=Premissas!$C$18)*Premissas!$C$26*Premissas!$C$60</f>
        <v>0</v>
      </c>
      <c r="N75" s="22" t="n">
        <f aca="false">IF(AND($A75&gt;=Premissas!$C$18,$A75&lt;Premissas!$C$20),Premissas!$C$27/MAX(1,Premissas!$C$19),0)</f>
        <v>0</v>
      </c>
      <c r="O75" s="22" t="n">
        <f aca="false">IF($A75&gt;=Premissas!$C$18,Premissas!$C$60*(1+Premissas!$C$59)^((YEAR($A75)-YEAR(Premissas!$C$18))*12+MONTH($A75)-MONTH(Premissas!$C$18)),"")</f>
        <v>457569.763678383</v>
      </c>
      <c r="P75" s="31" t="n">
        <f aca="false">(1+IF(YEAR($A75)&lt;=2026,Premissas!$C$49,IF(YEAR($A75)=2027,Premissas!$C$50,IF(YEAR($A75)=2028,Premissas!$C$51,Premissas!$C$52)))*(1-Premissas!$C$53))^(1/12)-1</f>
        <v>0.00682149336596227</v>
      </c>
      <c r="Q75" s="22" t="n">
        <f aca="false">($A75=Premissas!$C$16)*Premissas!$C$13</f>
        <v>0</v>
      </c>
      <c r="R75" s="22" t="n">
        <f aca="false">L75-M75-N75-Q75</f>
        <v>1624.89498201466</v>
      </c>
      <c r="S75" s="22" t="n">
        <f aca="false">S74+R75</f>
        <v>-271512.325527827</v>
      </c>
      <c r="T75" s="22" t="n">
        <f aca="false">IF($A75&gt;=Premissas!$C$18,O75*(1-Premissas!$C$45)-Premissas!$C$46*MAX(0,O75*(1-Premissas!$C$45)-(SUM($Q$5:$Q$355)+Premissas!$C$26*Premissas!$C$60)),"")</f>
        <v>405568.249525774</v>
      </c>
      <c r="U75" s="22" t="n">
        <f aca="false">IF($A75&gt;=Premissas!$C$18,S75+T75,"")</f>
        <v>134055.923997947</v>
      </c>
      <c r="V75" s="22" t="n">
        <f aca="false">V74*(1+$P75)-R75</f>
        <v>445046.608139799</v>
      </c>
      <c r="W75" s="22" t="n">
        <f aca="false">($A75=Premissas!$C$16)*Premissas!$C$9</f>
        <v>0</v>
      </c>
      <c r="X75" s="22" t="n">
        <f aca="false">L75-M75-N75-W75</f>
        <v>1624.89498201466</v>
      </c>
      <c r="Y75" s="22" t="n">
        <f aca="false">Y74+X75</f>
        <v>-302440.325527827</v>
      </c>
      <c r="Z75" s="22" t="n">
        <f aca="false">IF($A75&gt;=Premissas!$C$18,O75*(1-Premissas!$C$45)-Premissas!$C$46*MAX(0,O75*(1-Premissas!$C$45)-(SUM($W$5:$W$355)+Premissas!$C$26*Premissas!$C$60)),"")</f>
        <v>410207.449525774</v>
      </c>
      <c r="AA75" s="22" t="n">
        <f aca="false">IF($A75&gt;=Premissas!$C$18,Y75+Z75,"")</f>
        <v>107767.123997947</v>
      </c>
      <c r="AB75" s="22" t="n">
        <f aca="false">AB74*(1+$P75)-X75</f>
        <v>496459.412738066</v>
      </c>
      <c r="AC75" s="22" t="n">
        <f aca="false">AND($A75&gt;=Premissas!$C$16,$A75&lt;EDATE(Premissas!$C$16,3))*Premissas!$C$10/3*(1+Premissas!$C$56)^$C75</f>
        <v>0</v>
      </c>
      <c r="AD75" s="22" t="n">
        <f aca="false">L75-M75-N75-AC75</f>
        <v>1624.89498201466</v>
      </c>
      <c r="AE75" s="22" t="n">
        <f aca="false">AE74+AD75</f>
        <v>-310060.789407852</v>
      </c>
      <c r="AF75" s="22" t="n">
        <f aca="false">IF($A75&gt;=Premissas!$C$18,O75*(1-Premissas!$C$45)-Premissas!$C$46*MAX(0,O75*(1-Premissas!$C$45)-(SUM($AC$5:$AC$355)+Premissas!$C$26*Premissas!$C$60)),"")</f>
        <v>411350.519107778</v>
      </c>
      <c r="AG75" s="22" t="n">
        <f aca="false">IF($A75&gt;=Premissas!$C$18,AE75+AF75,"")</f>
        <v>101289.729699926</v>
      </c>
      <c r="AH75" s="22" t="n">
        <f aca="false">AH74*(1+$P75)-AD75</f>
        <v>504654.574125337</v>
      </c>
      <c r="AI75" s="22" t="n">
        <f aca="false">($A75=Premissas!$C$16)*0.2*Premissas!$C$11+AND($A75&gt;Premissas!$C$16,$A75&lt;=EDATE(Premissas!$C$16,43))*0.8*Premissas!$C$11/43*(1+Premissas!$C$56)^$C75</f>
        <v>0</v>
      </c>
      <c r="AJ75" s="22" t="n">
        <f aca="false">L75-M75-N75-AI75</f>
        <v>1624.89498201466</v>
      </c>
      <c r="AK75" s="22" t="n">
        <f aca="false">AK74+AJ75</f>
        <v>-355925.274825914</v>
      </c>
      <c r="AL75" s="22" t="n">
        <f aca="false">IF($A75&gt;=Premissas!$C$18,O75*(1-Premissas!$C$45)-Premissas!$C$46*MAX(0,O75*(1-Premissas!$C$45)-(SUM($AI$5:$AI$355)+Premissas!$C$26*Premissas!$C$60)),"")</f>
        <v>418230.191920487</v>
      </c>
      <c r="AM75" s="22" t="n">
        <f aca="false">IF($A75&gt;=Premissas!$C$18,AK75+AL75,"")</f>
        <v>62304.9170945734</v>
      </c>
      <c r="AN75" s="22" t="n">
        <f aca="false">AN74*(1+$P75)-AJ75</f>
        <v>512301.128884618</v>
      </c>
      <c r="AO75" s="22" t="n">
        <f aca="false">V75+S75</f>
        <v>173534.282611972</v>
      </c>
    </row>
    <row r="76" customFormat="false" ht="15" hidden="false" customHeight="false" outlineLevel="0" collapsed="false">
      <c r="A76" s="26" t="n">
        <f aca="false">DATE(YEAR(A75),MONTH(A75)+1,1)</f>
        <v>48458</v>
      </c>
      <c r="B76" s="22" t="str">
        <f aca="false">IF($A76&lt;Premissas!$C$18,"Obra",IF($A76&lt;Premissas!$C$20,"Entrega/mobília","Airbnb"))</f>
        <v>Airbnb</v>
      </c>
      <c r="C76" s="36" t="n">
        <f aca="false">(YEAR($A76)-YEAR(Premissas!$C$16))*12+MONTH($A76)-MONTH(Premissas!$C$16)</f>
        <v>71</v>
      </c>
      <c r="D76" s="33" t="n">
        <f aca="false">IF($A76&gt;=Premissas!$C$20,Premissas!$C$31*IF(((YEAR($A76)-YEAR(Premissas!$C$20))*12+MONTH($A76)-MONTH(Premissas!$C$20))&lt;Premissas!$C$33,Premissas!$C$34,1),0)</f>
        <v>0.62</v>
      </c>
      <c r="E76" s="22" t="n">
        <f aca="false">D76*Premissas!$C$30*Premissas!$C$32*(1+Premissas!$C$58)^$C76</f>
        <v>5864.53447618765</v>
      </c>
      <c r="F76" s="22" t="n">
        <f aca="false">E76*Premissas!$C$35</f>
        <v>938.325516190024</v>
      </c>
      <c r="G76" s="22" t="n">
        <f aca="false">E76*Premissas!$C$36</f>
        <v>1172.90689523753</v>
      </c>
      <c r="H76" s="22" t="n">
        <f aca="false">IF($A76&gt;=Premissas!$C$18,Premissas!$C$37*(1+Premissas!$C$58)^$C76,0)</f>
        <v>756.714125959697</v>
      </c>
      <c r="I76" s="22" t="n">
        <f aca="false">IF($A76&gt;=Premissas!$C$20,Premissas!$C$38*(1+Premissas!$C$58)^$C76,0)</f>
        <v>353.133258781192</v>
      </c>
      <c r="J76" s="22" t="n">
        <f aca="false">IF($A76&gt;=Premissas!$C$20,Premissas!$C$39*(1+Premissas!$C$58)^$C76,0)</f>
        <v>189.178531489924</v>
      </c>
      <c r="K76" s="22" t="n">
        <f aca="false">IF($A76&gt;=Premissas!$C$20,MAX(0,E76-F76-G76-H76)*Premissas!$C$41,0)</f>
        <v>824.061683170109</v>
      </c>
      <c r="L76" s="22" t="n">
        <f aca="false">E76-F76-G76-H76-I76-J76-K76</f>
        <v>1630.21446535917</v>
      </c>
      <c r="M76" s="22" t="n">
        <f aca="false">($A76=Premissas!$C$18)*Premissas!$C$26*Premissas!$C$60</f>
        <v>0</v>
      </c>
      <c r="N76" s="22" t="n">
        <f aca="false">IF(AND($A76&gt;=Premissas!$C$18,$A76&lt;Premissas!$C$20),Premissas!$C$27/MAX(1,Premissas!$C$19),0)</f>
        <v>0</v>
      </c>
      <c r="O76" s="22" t="n">
        <f aca="false">IF($A76&gt;=Premissas!$C$18,Premissas!$C$60*(1+Premissas!$C$59)^((YEAR($A76)-YEAR(Premissas!$C$18))*12+MONTH($A76)-MONTH(Premissas!$C$18)),"")</f>
        <v>459433.959535263</v>
      </c>
      <c r="P76" s="31" t="n">
        <f aca="false">(1+IF(YEAR($A76)&lt;=2026,Premissas!$C$49,IF(YEAR($A76)=2027,Premissas!$C$50,IF(YEAR($A76)=2028,Premissas!$C$51,Premissas!$C$52)))*(1-Premissas!$C$53))^(1/12)-1</f>
        <v>0.00682149336596227</v>
      </c>
      <c r="Q76" s="22" t="n">
        <f aca="false">($A76=Premissas!$C$16)*Premissas!$C$13</f>
        <v>0</v>
      </c>
      <c r="R76" s="22" t="n">
        <f aca="false">L76-M76-N76-Q76</f>
        <v>1630.21446535917</v>
      </c>
      <c r="S76" s="22" t="n">
        <f aca="false">S75+R76</f>
        <v>-269882.111062468</v>
      </c>
      <c r="T76" s="22" t="n">
        <f aca="false">IF($A76&gt;=Premissas!$C$18,O76*(1-Premissas!$C$45)-Premissas!$C$46*MAX(0,O76*(1-Premissas!$C$45)-(SUM($Q$5:$Q$355)+Premissas!$C$26*Premissas!$C$60)),"")</f>
        <v>407057.742015421</v>
      </c>
      <c r="U76" s="22" t="n">
        <f aca="false">IF($A76&gt;=Premissas!$C$18,S76+T76,"")</f>
        <v>137175.630952954</v>
      </c>
      <c r="V76" s="22" t="n">
        <f aca="false">V75*(1+$P76)-R76</f>
        <v>446452.276159409</v>
      </c>
      <c r="W76" s="22" t="n">
        <f aca="false">($A76=Premissas!$C$16)*Premissas!$C$9</f>
        <v>0</v>
      </c>
      <c r="X76" s="22" t="n">
        <f aca="false">L76-M76-N76-W76</f>
        <v>1630.21446535917</v>
      </c>
      <c r="Y76" s="22" t="n">
        <f aca="false">Y75+X76</f>
        <v>-300810.111062468</v>
      </c>
      <c r="Z76" s="22" t="n">
        <f aca="false">IF($A76&gt;=Premissas!$C$18,O76*(1-Premissas!$C$45)-Premissas!$C$46*MAX(0,O76*(1-Premissas!$C$45)-(SUM($W$5:$W$355)+Premissas!$C$26*Premissas!$C$60)),"")</f>
        <v>411696.942015421</v>
      </c>
      <c r="AA76" s="22" t="n">
        <f aca="false">IF($A76&gt;=Premissas!$C$18,Y76+Z76,"")</f>
        <v>110886.830952954</v>
      </c>
      <c r="AB76" s="22" t="n">
        <f aca="false">AB75*(1+$P76)-X76</f>
        <v>498215.792863169</v>
      </c>
      <c r="AC76" s="22" t="n">
        <f aca="false">AND($A76&gt;=Premissas!$C$16,$A76&lt;EDATE(Premissas!$C$16,3))*Premissas!$C$10/3*(1+Premissas!$C$56)^$C76</f>
        <v>0</v>
      </c>
      <c r="AD76" s="22" t="n">
        <f aca="false">L76-M76-N76-AC76</f>
        <v>1630.21446535917</v>
      </c>
      <c r="AE76" s="22" t="n">
        <f aca="false">AE75+AD76</f>
        <v>-308430.574942493</v>
      </c>
      <c r="AF76" s="22" t="n">
        <f aca="false">IF($A76&gt;=Premissas!$C$18,O76*(1-Premissas!$C$45)-Premissas!$C$46*MAX(0,O76*(1-Premissas!$C$45)-(SUM($AC$5:$AC$355)+Premissas!$C$26*Premissas!$C$60)),"")</f>
        <v>412840.011597425</v>
      </c>
      <c r="AG76" s="22" t="n">
        <f aca="false">IF($A76&gt;=Premissas!$C$18,AE76+AF76,"")</f>
        <v>104409.436654933</v>
      </c>
      <c r="AH76" s="22" t="n">
        <f aca="false">AH75*(1+$P76)-AD76</f>
        <v>506466.857489477</v>
      </c>
      <c r="AI76" s="22" t="n">
        <f aca="false">($A76=Premissas!$C$16)*0.2*Premissas!$C$11+AND($A76&gt;Premissas!$C$16,$A76&lt;=EDATE(Premissas!$C$16,43))*0.8*Premissas!$C$11/43*(1+Premissas!$C$56)^$C76</f>
        <v>0</v>
      </c>
      <c r="AJ76" s="22" t="n">
        <f aca="false">L76-M76-N76-AI76</f>
        <v>1630.21446535917</v>
      </c>
      <c r="AK76" s="22" t="n">
        <f aca="false">AK75+AJ76</f>
        <v>-354295.060360554</v>
      </c>
      <c r="AL76" s="22" t="n">
        <f aca="false">IF($A76&gt;=Premissas!$C$18,O76*(1-Premissas!$C$45)-Premissas!$C$46*MAX(0,O76*(1-Premissas!$C$45)-(SUM($AI$5:$AI$355)+Premissas!$C$26*Premissas!$C$60)),"")</f>
        <v>419719.684410134</v>
      </c>
      <c r="AM76" s="22" t="n">
        <f aca="false">IF($A76&gt;=Premissas!$C$18,AK76+AL76,"")</f>
        <v>65424.6240495801</v>
      </c>
      <c r="AN76" s="22" t="n">
        <f aca="false">AN75*(1+$P76)-AJ76</f>
        <v>514165.573171321</v>
      </c>
      <c r="AO76" s="22" t="n">
        <f aca="false">V76+S76</f>
        <v>176570.165096941</v>
      </c>
    </row>
    <row r="77" customFormat="false" ht="15" hidden="false" customHeight="false" outlineLevel="0" collapsed="false">
      <c r="A77" s="26" t="n">
        <f aca="false">DATE(YEAR(A76),MONTH(A76)+1,1)</f>
        <v>48488</v>
      </c>
      <c r="B77" s="22" t="str">
        <f aca="false">IF($A77&lt;Premissas!$C$18,"Obra",IF($A77&lt;Premissas!$C$20,"Entrega/mobília","Airbnb"))</f>
        <v>Airbnb</v>
      </c>
      <c r="C77" s="36" t="n">
        <f aca="false">(YEAR($A77)-YEAR(Premissas!$C$16))*12+MONTH($A77)-MONTH(Premissas!$C$16)</f>
        <v>72</v>
      </c>
      <c r="D77" s="33" t="n">
        <f aca="false">IF($A77&gt;=Premissas!$C$20,Premissas!$C$31*IF(((YEAR($A77)-YEAR(Premissas!$C$20))*12+MONTH($A77)-MONTH(Premissas!$C$20))&lt;Premissas!$C$33,Premissas!$C$34,1),0)</f>
        <v>0.62</v>
      </c>
      <c r="E77" s="22" t="n">
        <f aca="false">D77*Premissas!$C$30*Premissas!$C$32*(1+Premissas!$C$58)^$C77</f>
        <v>5883.73343600642</v>
      </c>
      <c r="F77" s="22" t="n">
        <f aca="false">E77*Premissas!$C$35</f>
        <v>941.397349761028</v>
      </c>
      <c r="G77" s="22" t="n">
        <f aca="false">E77*Premissas!$C$36</f>
        <v>1176.74668720128</v>
      </c>
      <c r="H77" s="22" t="n">
        <f aca="false">IF($A77&gt;=Premissas!$C$18,Premissas!$C$37*(1+Premissas!$C$58)^$C77,0)</f>
        <v>759.191411097603</v>
      </c>
      <c r="I77" s="22" t="n">
        <f aca="false">IF($A77&gt;=Premissas!$C$20,Premissas!$C$38*(1+Premissas!$C$58)^$C77,0)</f>
        <v>354.289325178881</v>
      </c>
      <c r="J77" s="22" t="n">
        <f aca="false">IF($A77&gt;=Premissas!$C$20,Premissas!$C$39*(1+Premissas!$C$58)^$C77,0)</f>
        <v>189.797852774401</v>
      </c>
      <c r="K77" s="22" t="n">
        <f aca="false">IF($A77&gt;=Premissas!$C$20,MAX(0,E77-F77-G77-H77)*Premissas!$C$41,0)</f>
        <v>826.759446685289</v>
      </c>
      <c r="L77" s="22" t="n">
        <f aca="false">E77-F77-G77-H77-I77-J77-K77</f>
        <v>1635.55136330794</v>
      </c>
      <c r="M77" s="22" t="n">
        <f aca="false">($A77=Premissas!$C$18)*Premissas!$C$26*Premissas!$C$60</f>
        <v>0</v>
      </c>
      <c r="N77" s="22" t="n">
        <f aca="false">IF(AND($A77&gt;=Premissas!$C$18,$A77&lt;Premissas!$C$20),Premissas!$C$27/MAX(1,Premissas!$C$19),0)</f>
        <v>0</v>
      </c>
      <c r="O77" s="22" t="n">
        <f aca="false">IF($A77&gt;=Premissas!$C$18,Premissas!$C$60*(1+Premissas!$C$59)^((YEAR($A77)-YEAR(Premissas!$C$18))*12+MONTH($A77)-MONTH(Premissas!$C$18)),"")</f>
        <v>461305.750356822</v>
      </c>
      <c r="P77" s="31" t="n">
        <f aca="false">(1+IF(YEAR($A77)&lt;=2026,Premissas!$C$49,IF(YEAR($A77)=2027,Premissas!$C$50,IF(YEAR($A77)=2028,Premissas!$C$51,Premissas!$C$52)))*(1-Premissas!$C$53))^(1/12)-1</f>
        <v>0.00682149336596227</v>
      </c>
      <c r="Q77" s="22" t="n">
        <f aca="false">($A77=Premissas!$C$16)*Premissas!$C$13</f>
        <v>0</v>
      </c>
      <c r="R77" s="22" t="n">
        <f aca="false">L77-M77-N77-Q77</f>
        <v>1635.55136330794</v>
      </c>
      <c r="S77" s="22" t="n">
        <f aca="false">S76+R77</f>
        <v>-268246.55969916</v>
      </c>
      <c r="T77" s="22" t="n">
        <f aca="false">IF($A77&gt;=Premissas!$C$18,O77*(1-Premissas!$C$45)-Premissas!$C$46*MAX(0,O77*(1-Premissas!$C$45)-(SUM($Q$5:$Q$355)+Premissas!$C$26*Premissas!$C$60)),"")</f>
        <v>408553.302881847</v>
      </c>
      <c r="U77" s="22" t="n">
        <f aca="false">IF($A77&gt;=Premissas!$C$18,S77+T77,"")</f>
        <v>140306.743182687</v>
      </c>
      <c r="V77" s="22" t="n">
        <f aca="false">V76*(1+$P77)-R77</f>
        <v>447862.196036141</v>
      </c>
      <c r="W77" s="22" t="n">
        <f aca="false">($A77=Premissas!$C$16)*Premissas!$C$9</f>
        <v>0</v>
      </c>
      <c r="X77" s="22" t="n">
        <f aca="false">L77-M77-N77-W77</f>
        <v>1635.55136330794</v>
      </c>
      <c r="Y77" s="22" t="n">
        <f aca="false">Y76+X77</f>
        <v>-299174.55969916</v>
      </c>
      <c r="Z77" s="22" t="n">
        <f aca="false">IF($A77&gt;=Premissas!$C$18,O77*(1-Premissas!$C$45)-Premissas!$C$46*MAX(0,O77*(1-Premissas!$C$45)-(SUM($W$5:$W$355)+Premissas!$C$26*Premissas!$C$60)),"")</f>
        <v>413192.502881847</v>
      </c>
      <c r="AA77" s="22" t="n">
        <f aca="false">IF($A77&gt;=Premissas!$C$18,Y77+Z77,"")</f>
        <v>114017.943182687</v>
      </c>
      <c r="AB77" s="22" t="n">
        <f aca="false">AB76*(1+$P77)-X77</f>
        <v>499978.817225694</v>
      </c>
      <c r="AC77" s="22" t="n">
        <f aca="false">AND($A77&gt;=Premissas!$C$16,$A77&lt;EDATE(Premissas!$C$16,3))*Premissas!$C$10/3*(1+Premissas!$C$56)^$C77</f>
        <v>0</v>
      </c>
      <c r="AD77" s="22" t="n">
        <f aca="false">L77-M77-N77-AC77</f>
        <v>1635.55136330794</v>
      </c>
      <c r="AE77" s="22" t="n">
        <f aca="false">AE76+AD77</f>
        <v>-306795.023579185</v>
      </c>
      <c r="AF77" s="22" t="n">
        <f aca="false">IF($A77&gt;=Premissas!$C$18,O77*(1-Premissas!$C$45)-Premissas!$C$46*MAX(0,O77*(1-Premissas!$C$45)-(SUM($AC$5:$AC$355)+Premissas!$C$26*Premissas!$C$60)),"")</f>
        <v>414335.57246385</v>
      </c>
      <c r="AG77" s="22" t="n">
        <f aca="false">IF($A77&gt;=Premissas!$C$18,AE77+AF77,"")</f>
        <v>107540.548884666</v>
      </c>
      <c r="AH77" s="22" t="n">
        <f aca="false">AH76*(1+$P77)-AD77</f>
        <v>508286.166434613</v>
      </c>
      <c r="AI77" s="22" t="n">
        <f aca="false">($A77=Premissas!$C$16)*0.2*Premissas!$C$11+AND($A77&gt;Premissas!$C$16,$A77&lt;=EDATE(Premissas!$C$16,43))*0.8*Premissas!$C$11/43*(1+Premissas!$C$56)^$C77</f>
        <v>0</v>
      </c>
      <c r="AJ77" s="22" t="n">
        <f aca="false">L77-M77-N77-AI77</f>
        <v>1635.55136330794</v>
      </c>
      <c r="AK77" s="22" t="n">
        <f aca="false">AK76+AJ77</f>
        <v>-352659.508997246</v>
      </c>
      <c r="AL77" s="22" t="n">
        <f aca="false">IF($A77&gt;=Premissas!$C$18,O77*(1-Premissas!$C$45)-Premissas!$C$46*MAX(0,O77*(1-Premissas!$C$45)-(SUM($AI$5:$AI$355)+Premissas!$C$26*Premissas!$C$60)),"")</f>
        <v>421215.24527656</v>
      </c>
      <c r="AM77" s="22" t="n">
        <f aca="false">IF($A77&gt;=Premissas!$C$18,AK77+AL77,"")</f>
        <v>68555.7362793132</v>
      </c>
      <c r="AN77" s="22" t="n">
        <f aca="false">AN76*(1+$P77)-AJ77</f>
        <v>516037.398854407</v>
      </c>
      <c r="AO77" s="22" t="n">
        <f aca="false">V77+S77</f>
        <v>179615.636336982</v>
      </c>
    </row>
    <row r="78" customFormat="false" ht="15" hidden="false" customHeight="false" outlineLevel="0" collapsed="false">
      <c r="A78" s="26" t="n">
        <f aca="false">DATE(YEAR(A77),MONTH(A77)+1,1)</f>
        <v>48519</v>
      </c>
      <c r="B78" s="22" t="str">
        <f aca="false">IF($A78&lt;Premissas!$C$18,"Obra",IF($A78&lt;Premissas!$C$20,"Entrega/mobília","Airbnb"))</f>
        <v>Airbnb</v>
      </c>
      <c r="C78" s="36" t="n">
        <f aca="false">(YEAR($A78)-YEAR(Premissas!$C$16))*12+MONTH($A78)-MONTH(Premissas!$C$16)</f>
        <v>73</v>
      </c>
      <c r="D78" s="33" t="n">
        <f aca="false">IF($A78&gt;=Premissas!$C$20,Premissas!$C$31*IF(((YEAR($A78)-YEAR(Premissas!$C$20))*12+MONTH($A78)-MONTH(Premissas!$C$20))&lt;Premissas!$C$33,Premissas!$C$34,1),0)</f>
        <v>0.62</v>
      </c>
      <c r="E78" s="22" t="n">
        <f aca="false">D78*Premissas!$C$30*Premissas!$C$32*(1+Premissas!$C$58)^$C78</f>
        <v>5902.99524822373</v>
      </c>
      <c r="F78" s="22" t="n">
        <f aca="false">E78*Premissas!$C$35</f>
        <v>944.479239715797</v>
      </c>
      <c r="G78" s="22" t="n">
        <f aca="false">E78*Premissas!$C$36</f>
        <v>1180.59904964475</v>
      </c>
      <c r="H78" s="22" t="n">
        <f aca="false">IF($A78&gt;=Premissas!$C$18,Premissas!$C$37*(1+Premissas!$C$58)^$C78,0)</f>
        <v>761.676806222417</v>
      </c>
      <c r="I78" s="22" t="n">
        <f aca="false">IF($A78&gt;=Premissas!$C$20,Premissas!$C$38*(1+Premissas!$C$58)^$C78,0)</f>
        <v>355.449176237128</v>
      </c>
      <c r="J78" s="22" t="n">
        <f aca="false">IF($A78&gt;=Premissas!$C$20,Premissas!$C$39*(1+Premissas!$C$58)^$C78,0)</f>
        <v>190.419201555604</v>
      </c>
      <c r="K78" s="22" t="n">
        <f aca="false">IF($A78&gt;=Premissas!$C$20,MAX(0,E78-F78-G78-H78)*Premissas!$C$41,0)</f>
        <v>829.466041976212</v>
      </c>
      <c r="L78" s="22" t="n">
        <f aca="false">E78-F78-G78-H78-I78-J78-K78</f>
        <v>1640.90573287183</v>
      </c>
      <c r="M78" s="22" t="n">
        <f aca="false">($A78=Premissas!$C$18)*Premissas!$C$26*Premissas!$C$60</f>
        <v>0</v>
      </c>
      <c r="N78" s="22" t="n">
        <f aca="false">IF(AND($A78&gt;=Premissas!$C$18,$A78&lt;Premissas!$C$20),Premissas!$C$27/MAX(1,Premissas!$C$19),0)</f>
        <v>0</v>
      </c>
      <c r="O78" s="22" t="n">
        <f aca="false">IF($A78&gt;=Premissas!$C$18,Premissas!$C$60*(1+Premissas!$C$59)^((YEAR($A78)-YEAR(Premissas!$C$18))*12+MONTH($A78)-MONTH(Premissas!$C$18)),"")</f>
        <v>463185.167085884</v>
      </c>
      <c r="P78" s="31" t="n">
        <f aca="false">(1+IF(YEAR($A78)&lt;=2026,Premissas!$C$49,IF(YEAR($A78)=2027,Premissas!$C$50,IF(YEAR($A78)=2028,Premissas!$C$51,Premissas!$C$52)))*(1-Premissas!$C$53))^(1/12)-1</f>
        <v>0.00682149336596227</v>
      </c>
      <c r="Q78" s="22" t="n">
        <f aca="false">($A78=Premissas!$C$16)*Premissas!$C$13</f>
        <v>0</v>
      </c>
      <c r="R78" s="22" t="n">
        <f aca="false">L78-M78-N78-Q78</f>
        <v>1640.90573287183</v>
      </c>
      <c r="S78" s="22" t="n">
        <f aca="false">S77+R78</f>
        <v>-266605.653966288</v>
      </c>
      <c r="T78" s="22" t="n">
        <f aca="false">IF($A78&gt;=Premissas!$C$18,O78*(1-Premissas!$C$45)-Premissas!$C$46*MAX(0,O78*(1-Premissas!$C$45)-(SUM($Q$5:$Q$355)+Premissas!$C$26*Premissas!$C$60)),"")</f>
        <v>410054.956848367</v>
      </c>
      <c r="U78" s="22" t="n">
        <f aca="false">IF($A78&gt;=Premissas!$C$18,S78+T78,"")</f>
        <v>143449.30288208</v>
      </c>
      <c r="V78" s="22" t="n">
        <f aca="false">V77*(1+$P78)-R78</f>
        <v>449276.379302395</v>
      </c>
      <c r="W78" s="22" t="n">
        <f aca="false">($A78=Premissas!$C$16)*Premissas!$C$9</f>
        <v>0</v>
      </c>
      <c r="X78" s="22" t="n">
        <f aca="false">L78-M78-N78-W78</f>
        <v>1640.90573287183</v>
      </c>
      <c r="Y78" s="22" t="n">
        <f aca="false">Y77+X78</f>
        <v>-297533.653966288</v>
      </c>
      <c r="Z78" s="22" t="n">
        <f aca="false">IF($A78&gt;=Premissas!$C$18,O78*(1-Premissas!$C$45)-Premissas!$C$46*MAX(0,O78*(1-Premissas!$C$45)-(SUM($W$5:$W$355)+Premissas!$C$26*Premissas!$C$60)),"")</f>
        <v>414694.156848368</v>
      </c>
      <c r="AA78" s="22" t="n">
        <f aca="false">IF($A78&gt;=Premissas!$C$18,Y78+Z78,"")</f>
        <v>117160.50288208</v>
      </c>
      <c r="AB78" s="22" t="n">
        <f aca="false">AB77*(1+$P78)-X78</f>
        <v>501748.513677649</v>
      </c>
      <c r="AC78" s="22" t="n">
        <f aca="false">AND($A78&gt;=Premissas!$C$16,$A78&lt;EDATE(Premissas!$C$16,3))*Premissas!$C$10/3*(1+Premissas!$C$56)^$C78</f>
        <v>0</v>
      </c>
      <c r="AD78" s="22" t="n">
        <f aca="false">L78-M78-N78-AC78</f>
        <v>1640.90573287183</v>
      </c>
      <c r="AE78" s="22" t="n">
        <f aca="false">AE77+AD78</f>
        <v>-305154.117846313</v>
      </c>
      <c r="AF78" s="22" t="n">
        <f aca="false">IF($A78&gt;=Premissas!$C$18,O78*(1-Premissas!$C$45)-Premissas!$C$46*MAX(0,O78*(1-Premissas!$C$45)-(SUM($AC$5:$AC$355)+Premissas!$C$26*Premissas!$C$60)),"")</f>
        <v>415837.226430371</v>
      </c>
      <c r="AG78" s="22" t="n">
        <f aca="false">IF($A78&gt;=Premissas!$C$18,AE78+AF78,"")</f>
        <v>110683.108584058</v>
      </c>
      <c r="AH78" s="22" t="n">
        <f aca="false">AH77*(1+$P78)-AD78</f>
        <v>510112.531414085</v>
      </c>
      <c r="AI78" s="22" t="n">
        <f aca="false">($A78=Premissas!$C$16)*0.2*Premissas!$C$11+AND($A78&gt;Premissas!$C$16,$A78&lt;=EDATE(Premissas!$C$16,43))*0.8*Premissas!$C$11/43*(1+Premissas!$C$56)^$C78</f>
        <v>0</v>
      </c>
      <c r="AJ78" s="22" t="n">
        <f aca="false">L78-M78-N78-AI78</f>
        <v>1640.90573287183</v>
      </c>
      <c r="AK78" s="22" t="n">
        <f aca="false">AK77+AJ78</f>
        <v>-351018.603264375</v>
      </c>
      <c r="AL78" s="22" t="n">
        <f aca="false">IF($A78&gt;=Premissas!$C$18,O78*(1-Premissas!$C$45)-Premissas!$C$46*MAX(0,O78*(1-Premissas!$C$45)-(SUM($AI$5:$AI$355)+Premissas!$C$26*Premissas!$C$60)),"")</f>
        <v>422716.89924308</v>
      </c>
      <c r="AM78" s="22" t="n">
        <f aca="false">IF($A78&gt;=Premissas!$C$18,AK78+AL78,"")</f>
        <v>71698.2959787059</v>
      </c>
      <c r="AN78" s="22" t="n">
        <f aca="false">AN77*(1+$P78)-AJ78</f>
        <v>517916.638814409</v>
      </c>
      <c r="AO78" s="22" t="n">
        <f aca="false">V78+S78</f>
        <v>182670.725336107</v>
      </c>
    </row>
    <row r="79" customFormat="false" ht="15" hidden="false" customHeight="false" outlineLevel="0" collapsed="false">
      <c r="A79" s="26" t="n">
        <f aca="false">DATE(YEAR(A78),MONTH(A78)+1,1)</f>
        <v>48549</v>
      </c>
      <c r="B79" s="22" t="str">
        <f aca="false">IF($A79&lt;Premissas!$C$18,"Obra",IF($A79&lt;Premissas!$C$20,"Entrega/mobília","Airbnb"))</f>
        <v>Airbnb</v>
      </c>
      <c r="C79" s="36" t="n">
        <f aca="false">(YEAR($A79)-YEAR(Premissas!$C$16))*12+MONTH($A79)-MONTH(Premissas!$C$16)</f>
        <v>74</v>
      </c>
      <c r="D79" s="33" t="n">
        <f aca="false">IF($A79&gt;=Premissas!$C$20,Premissas!$C$31*IF(((YEAR($A79)-YEAR(Premissas!$C$20))*12+MONTH($A79)-MONTH(Premissas!$C$20))&lt;Premissas!$C$33,Premissas!$C$34,1),0)</f>
        <v>0.62</v>
      </c>
      <c r="E79" s="22" t="n">
        <f aca="false">D79*Premissas!$C$30*Premissas!$C$32*(1+Premissas!$C$58)^$C79</f>
        <v>5922.32011860197</v>
      </c>
      <c r="F79" s="22" t="n">
        <f aca="false">E79*Premissas!$C$35</f>
        <v>947.571218976315</v>
      </c>
      <c r="G79" s="22" t="n">
        <f aca="false">E79*Premissas!$C$36</f>
        <v>1184.46402372039</v>
      </c>
      <c r="H79" s="22" t="n">
        <f aca="false">IF($A79&gt;=Premissas!$C$18,Premissas!$C$37*(1+Premissas!$C$58)^$C79,0)</f>
        <v>764.170337884125</v>
      </c>
      <c r="I79" s="22" t="n">
        <f aca="false">IF($A79&gt;=Premissas!$C$20,Premissas!$C$38*(1+Premissas!$C$58)^$C79,0)</f>
        <v>356.612824345925</v>
      </c>
      <c r="J79" s="22" t="n">
        <f aca="false">IF($A79&gt;=Premissas!$C$20,Premissas!$C$39*(1+Premissas!$C$58)^$C79,0)</f>
        <v>191.042584471031</v>
      </c>
      <c r="K79" s="22" t="n">
        <f aca="false">IF($A79&gt;=Premissas!$C$20,MAX(0,E79-F79-G79-H79)*Premissas!$C$41,0)</f>
        <v>832.181497955813</v>
      </c>
      <c r="L79" s="22" t="n">
        <f aca="false">E79-F79-G79-H79-I79-J79-K79</f>
        <v>1646.27763124837</v>
      </c>
      <c r="M79" s="22" t="n">
        <f aca="false">($A79=Premissas!$C$18)*Premissas!$C$26*Premissas!$C$60</f>
        <v>0</v>
      </c>
      <c r="N79" s="22" t="n">
        <f aca="false">IF(AND($A79&gt;=Premissas!$C$18,$A79&lt;Premissas!$C$20),Premissas!$C$27/MAX(1,Premissas!$C$19),0)</f>
        <v>0</v>
      </c>
      <c r="O79" s="22" t="n">
        <f aca="false">IF($A79&gt;=Premissas!$C$18,Premissas!$C$60*(1+Premissas!$C$59)^((YEAR($A79)-YEAR(Premissas!$C$18))*12+MONTH($A79)-MONTH(Premissas!$C$18)),"")</f>
        <v>465072.240791342</v>
      </c>
      <c r="P79" s="31" t="n">
        <f aca="false">(1+IF(YEAR($A79)&lt;=2026,Premissas!$C$49,IF(YEAR($A79)=2027,Premissas!$C$50,IF(YEAR($A79)=2028,Premissas!$C$51,Premissas!$C$52)))*(1-Premissas!$C$53))^(1/12)-1</f>
        <v>0.00682149336596227</v>
      </c>
      <c r="Q79" s="22" t="n">
        <f aca="false">($A79=Premissas!$C$16)*Premissas!$C$13</f>
        <v>0</v>
      </c>
      <c r="R79" s="22" t="n">
        <f aca="false">L79-M79-N79-Q79</f>
        <v>1646.27763124837</v>
      </c>
      <c r="S79" s="22" t="n">
        <f aca="false">S78+R79</f>
        <v>-264959.37633504</v>
      </c>
      <c r="T79" s="22" t="n">
        <f aca="false">IF($A79&gt;=Premissas!$C$18,O79*(1-Premissas!$C$45)-Premissas!$C$46*MAX(0,O79*(1-Premissas!$C$45)-(SUM($Q$5:$Q$355)+Premissas!$C$26*Premissas!$C$60)),"")</f>
        <v>411562.728739028</v>
      </c>
      <c r="U79" s="22" t="n">
        <f aca="false">IF($A79&gt;=Premissas!$C$18,S79+T79,"")</f>
        <v>146603.352403989</v>
      </c>
      <c r="V79" s="22" t="n">
        <f aca="false">V78*(1+$P79)-R79</f>
        <v>450694.837512042</v>
      </c>
      <c r="W79" s="22" t="n">
        <f aca="false">($A79=Premissas!$C$16)*Premissas!$C$9</f>
        <v>0</v>
      </c>
      <c r="X79" s="22" t="n">
        <f aca="false">L79-M79-N79-W79</f>
        <v>1646.27763124837</v>
      </c>
      <c r="Y79" s="22" t="n">
        <f aca="false">Y78+X79</f>
        <v>-295887.37633504</v>
      </c>
      <c r="Z79" s="22" t="n">
        <f aca="false">IF($A79&gt;=Premissas!$C$18,O79*(1-Premissas!$C$45)-Premissas!$C$46*MAX(0,O79*(1-Premissas!$C$45)-(SUM($W$5:$W$355)+Premissas!$C$26*Premissas!$C$60)),"")</f>
        <v>416201.928739028</v>
      </c>
      <c r="AA79" s="22" t="n">
        <f aca="false">IF($A79&gt;=Premissas!$C$18,Y79+Z79,"")</f>
        <v>120314.552403989</v>
      </c>
      <c r="AB79" s="22" t="n">
        <f aca="false">AB78*(1+$P79)-X79</f>
        <v>503524.910203835</v>
      </c>
      <c r="AC79" s="22" t="n">
        <f aca="false">AND($A79&gt;=Premissas!$C$16,$A79&lt;EDATE(Premissas!$C$16,3))*Premissas!$C$10/3*(1+Premissas!$C$56)^$C79</f>
        <v>0</v>
      </c>
      <c r="AD79" s="22" t="n">
        <f aca="false">L79-M79-N79-AC79</f>
        <v>1646.27763124837</v>
      </c>
      <c r="AE79" s="22" t="n">
        <f aca="false">AE78+AD79</f>
        <v>-303507.840215064</v>
      </c>
      <c r="AF79" s="22" t="n">
        <f aca="false">IF($A79&gt;=Premissas!$C$18,O79*(1-Premissas!$C$45)-Premissas!$C$46*MAX(0,O79*(1-Premissas!$C$45)-(SUM($AC$5:$AC$355)+Premissas!$C$26*Premissas!$C$60)),"")</f>
        <v>417344.998321032</v>
      </c>
      <c r="AG79" s="22" t="n">
        <f aca="false">IF($A79&gt;=Premissas!$C$18,AE79+AF79,"")</f>
        <v>113837.158105968</v>
      </c>
      <c r="AH79" s="22" t="n">
        <f aca="false">AH78*(1+$P79)-AD79</f>
        <v>511945.983031772</v>
      </c>
      <c r="AI79" s="22" t="n">
        <f aca="false">($A79=Premissas!$C$16)*0.2*Premissas!$C$11+AND($A79&gt;Premissas!$C$16,$A79&lt;=EDATE(Premissas!$C$16,43))*0.8*Premissas!$C$11/43*(1+Premissas!$C$56)^$C79</f>
        <v>0</v>
      </c>
      <c r="AJ79" s="22" t="n">
        <f aca="false">L79-M79-N79-AI79</f>
        <v>1646.27763124837</v>
      </c>
      <c r="AK79" s="22" t="n">
        <f aca="false">AK78+AJ79</f>
        <v>-349372.325633126</v>
      </c>
      <c r="AL79" s="22" t="n">
        <f aca="false">IF($A79&gt;=Premissas!$C$18,O79*(1-Premissas!$C$45)-Premissas!$C$46*MAX(0,O79*(1-Premissas!$C$45)-(SUM($AI$5:$AI$355)+Premissas!$C$26*Premissas!$C$60)),"")</f>
        <v>424224.671133741</v>
      </c>
      <c r="AM79" s="22" t="n">
        <f aca="false">IF($A79&gt;=Premissas!$C$18,AK79+AL79,"")</f>
        <v>74852.345500615</v>
      </c>
      <c r="AN79" s="22" t="n">
        <f aca="false">AN78*(1+$P79)-AJ79</f>
        <v>519803.326098955</v>
      </c>
      <c r="AO79" s="22" t="n">
        <f aca="false">V79+S79</f>
        <v>185735.461177002</v>
      </c>
    </row>
    <row r="80" customFormat="false" ht="15" hidden="false" customHeight="false" outlineLevel="0" collapsed="false">
      <c r="A80" s="26" t="n">
        <f aca="false">DATE(YEAR(A79),MONTH(A79)+1,1)</f>
        <v>48580</v>
      </c>
      <c r="B80" s="22" t="str">
        <f aca="false">IF($A80&lt;Premissas!$C$18,"Obra",IF($A80&lt;Premissas!$C$20,"Entrega/mobília","Airbnb"))</f>
        <v>Airbnb</v>
      </c>
      <c r="C80" s="36" t="n">
        <f aca="false">(YEAR($A80)-YEAR(Premissas!$C$16))*12+MONTH($A80)-MONTH(Premissas!$C$16)</f>
        <v>75</v>
      </c>
      <c r="D80" s="33" t="n">
        <f aca="false">IF($A80&gt;=Premissas!$C$20,Premissas!$C$31*IF(((YEAR($A80)-YEAR(Premissas!$C$20))*12+MONTH($A80)-MONTH(Premissas!$C$20))&lt;Premissas!$C$33,Premissas!$C$34,1),0)</f>
        <v>0.62</v>
      </c>
      <c r="E80" s="22" t="n">
        <f aca="false">D80*Premissas!$C$30*Premissas!$C$32*(1+Premissas!$C$58)^$C80</f>
        <v>5941.70825357715</v>
      </c>
      <c r="F80" s="22" t="n">
        <f aca="false">E80*Premissas!$C$35</f>
        <v>950.673320572345</v>
      </c>
      <c r="G80" s="22" t="n">
        <f aca="false">E80*Premissas!$C$36</f>
        <v>1188.34165071543</v>
      </c>
      <c r="H80" s="22" t="n">
        <f aca="false">IF($A80&gt;=Premissas!$C$18,Premissas!$C$37*(1+Premissas!$C$58)^$C80,0)</f>
        <v>766.672032719633</v>
      </c>
      <c r="I80" s="22" t="n">
        <f aca="false">IF($A80&gt;=Premissas!$C$20,Premissas!$C$38*(1+Premissas!$C$58)^$C80,0)</f>
        <v>357.780281935829</v>
      </c>
      <c r="J80" s="22" t="n">
        <f aca="false">IF($A80&gt;=Premissas!$C$20,Premissas!$C$39*(1+Premissas!$C$58)^$C80,0)</f>
        <v>191.668008179908</v>
      </c>
      <c r="K80" s="22" t="n">
        <f aca="false">IF($A80&gt;=Premissas!$C$20,MAX(0,E80-F80-G80-H80)*Premissas!$C$41,0)</f>
        <v>834.90584363168</v>
      </c>
      <c r="L80" s="22" t="n">
        <f aca="false">E80-F80-G80-H80-I80-J80-K80</f>
        <v>1651.66711582233</v>
      </c>
      <c r="M80" s="22" t="n">
        <f aca="false">($A80=Premissas!$C$18)*Premissas!$C$26*Premissas!$C$60</f>
        <v>0</v>
      </c>
      <c r="N80" s="22" t="n">
        <f aca="false">IF(AND($A80&gt;=Premissas!$C$18,$A80&lt;Premissas!$C$20),Premissas!$C$27/MAX(1,Premissas!$C$19),0)</f>
        <v>0</v>
      </c>
      <c r="O80" s="22" t="n">
        <f aca="false">IF($A80&gt;=Premissas!$C$18,Premissas!$C$60*(1+Premissas!$C$59)^((YEAR($A80)-YEAR(Premissas!$C$18))*12+MONTH($A80)-MONTH(Premissas!$C$18)),"")</f>
        <v>466967.002668664</v>
      </c>
      <c r="P80" s="31" t="n">
        <f aca="false">(1+IF(YEAR($A80)&lt;=2026,Premissas!$C$49,IF(YEAR($A80)=2027,Premissas!$C$50,IF(YEAR($A80)=2028,Premissas!$C$51,Premissas!$C$52)))*(1-Premissas!$C$53))^(1/12)-1</f>
        <v>0.00682149336596227</v>
      </c>
      <c r="Q80" s="22" t="n">
        <f aca="false">($A80=Premissas!$C$16)*Premissas!$C$13</f>
        <v>0</v>
      </c>
      <c r="R80" s="22" t="n">
        <f aca="false">L80-M80-N80-Q80</f>
        <v>1651.66711582233</v>
      </c>
      <c r="S80" s="22" t="n">
        <f aca="false">S79+R80</f>
        <v>-263307.709219217</v>
      </c>
      <c r="T80" s="22" t="n">
        <f aca="false">IF($A80&gt;=Premissas!$C$18,O80*(1-Premissas!$C$45)-Premissas!$C$46*MAX(0,O80*(1-Premissas!$C$45)-(SUM($Q$5:$Q$355)+Premissas!$C$26*Premissas!$C$60)),"")</f>
        <v>413076.643479009</v>
      </c>
      <c r="U80" s="22" t="n">
        <f aca="false">IF($A80&gt;=Premissas!$C$18,S80+T80,"")</f>
        <v>149768.934259792</v>
      </c>
      <c r="V80" s="22" t="n">
        <f aca="false">V79*(1+$P80)-R80</f>
        <v>452117.582240381</v>
      </c>
      <c r="W80" s="22" t="n">
        <f aca="false">($A80=Premissas!$C$16)*Premissas!$C$9</f>
        <v>0</v>
      </c>
      <c r="X80" s="22" t="n">
        <f aca="false">L80-M80-N80-W80</f>
        <v>1651.66711582233</v>
      </c>
      <c r="Y80" s="22" t="n">
        <f aca="false">Y79+X80</f>
        <v>-294235.709219217</v>
      </c>
      <c r="Z80" s="22" t="n">
        <f aca="false">IF($A80&gt;=Premissas!$C$18,O80*(1-Premissas!$C$45)-Premissas!$C$46*MAX(0,O80*(1-Premissas!$C$45)-(SUM($W$5:$W$355)+Premissas!$C$26*Premissas!$C$60)),"")</f>
        <v>417715.843479009</v>
      </c>
      <c r="AA80" s="22" t="n">
        <f aca="false">IF($A80&gt;=Premissas!$C$18,Y80+Z80,"")</f>
        <v>123480.134259792</v>
      </c>
      <c r="AB80" s="22" t="n">
        <f aca="false">AB79*(1+$P80)-X80</f>
        <v>505308.034922564</v>
      </c>
      <c r="AC80" s="22" t="n">
        <f aca="false">AND($A80&gt;=Premissas!$C$16,$A80&lt;EDATE(Premissas!$C$16,3))*Premissas!$C$10/3*(1+Premissas!$C$56)^$C80</f>
        <v>0</v>
      </c>
      <c r="AD80" s="22" t="n">
        <f aca="false">L80-M80-N80-AC80</f>
        <v>1651.66711582233</v>
      </c>
      <c r="AE80" s="22" t="n">
        <f aca="false">AE79+AD80</f>
        <v>-301856.173099242</v>
      </c>
      <c r="AF80" s="22" t="n">
        <f aca="false">IF($A80&gt;=Premissas!$C$18,O80*(1-Premissas!$C$45)-Premissas!$C$46*MAX(0,O80*(1-Premissas!$C$45)-(SUM($AC$5:$AC$355)+Premissas!$C$26*Premissas!$C$60)),"")</f>
        <v>418858.913061013</v>
      </c>
      <c r="AG80" s="22" t="n">
        <f aca="false">IF($A80&gt;=Premissas!$C$18,AE80+AF80,"")</f>
        <v>117002.739961771</v>
      </c>
      <c r="AH80" s="22" t="n">
        <f aca="false">AH79*(1+$P80)-AD80</f>
        <v>513786.552042932</v>
      </c>
      <c r="AI80" s="22" t="n">
        <f aca="false">($A80=Premissas!$C$16)*0.2*Premissas!$C$11+AND($A80&gt;Premissas!$C$16,$A80&lt;=EDATE(Premissas!$C$16,43))*0.8*Premissas!$C$11/43*(1+Premissas!$C$56)^$C80</f>
        <v>0</v>
      </c>
      <c r="AJ80" s="22" t="n">
        <f aca="false">L80-M80-N80-AI80</f>
        <v>1651.66711582233</v>
      </c>
      <c r="AK80" s="22" t="n">
        <f aca="false">AK79+AJ80</f>
        <v>-347720.658517304</v>
      </c>
      <c r="AL80" s="22" t="n">
        <f aca="false">IF($A80&gt;=Premissas!$C$18,O80*(1-Premissas!$C$45)-Premissas!$C$46*MAX(0,O80*(1-Premissas!$C$45)-(SUM($AI$5:$AI$355)+Premissas!$C$26*Premissas!$C$60)),"")</f>
        <v>425738.585873722</v>
      </c>
      <c r="AM80" s="22" t="n">
        <f aca="false">IF($A80&gt;=Premissas!$C$18,AK80+AL80,"")</f>
        <v>78017.9273564181</v>
      </c>
      <c r="AN80" s="22" t="n">
        <f aca="false">AN79*(1+$P80)-AJ80</f>
        <v>521697.493923721</v>
      </c>
      <c r="AO80" s="22" t="n">
        <f aca="false">V80+S80</f>
        <v>188809.873021164</v>
      </c>
    </row>
    <row r="81" customFormat="false" ht="15" hidden="false" customHeight="false" outlineLevel="0" collapsed="false">
      <c r="A81" s="26" t="n">
        <f aca="false">DATE(YEAR(A80),MONTH(A80)+1,1)</f>
        <v>48611</v>
      </c>
      <c r="B81" s="22" t="str">
        <f aca="false">IF($A81&lt;Premissas!$C$18,"Obra",IF($A81&lt;Premissas!$C$20,"Entrega/mobília","Airbnb"))</f>
        <v>Airbnb</v>
      </c>
      <c r="C81" s="36" t="n">
        <f aca="false">(YEAR($A81)-YEAR(Premissas!$C$16))*12+MONTH($A81)-MONTH(Premissas!$C$16)</f>
        <v>76</v>
      </c>
      <c r="D81" s="33" t="n">
        <f aca="false">IF($A81&gt;=Premissas!$C$20,Premissas!$C$31*IF(((YEAR($A81)-YEAR(Premissas!$C$20))*12+MONTH($A81)-MONTH(Premissas!$C$20))&lt;Premissas!$C$33,Premissas!$C$34,1),0)</f>
        <v>0.62</v>
      </c>
      <c r="E81" s="22" t="n">
        <f aca="false">D81*Premissas!$C$30*Premissas!$C$32*(1+Premissas!$C$58)^$C81</f>
        <v>5961.15986026111</v>
      </c>
      <c r="F81" s="22" t="n">
        <f aca="false">E81*Premissas!$C$35</f>
        <v>953.785577641778</v>
      </c>
      <c r="G81" s="22" t="n">
        <f aca="false">E81*Premissas!$C$36</f>
        <v>1192.23197205222</v>
      </c>
      <c r="H81" s="22" t="n">
        <f aca="false">IF($A81&gt;=Premissas!$C$18,Premissas!$C$37*(1+Premissas!$C$58)^$C81,0)</f>
        <v>769.181917453047</v>
      </c>
      <c r="I81" s="22" t="n">
        <f aca="false">IF($A81&gt;=Premissas!$C$20,Premissas!$C$38*(1+Premissas!$C$58)^$C81,0)</f>
        <v>358.951561478088</v>
      </c>
      <c r="J81" s="22" t="n">
        <f aca="false">IF($A81&gt;=Premissas!$C$20,Premissas!$C$39*(1+Premissas!$C$58)^$C81,0)</f>
        <v>192.295479363262</v>
      </c>
      <c r="K81" s="22" t="n">
        <f aca="false">IF($A81&gt;=Premissas!$C$20,MAX(0,E81-F81-G81-H81)*Premissas!$C$41,0)</f>
        <v>837.639108106368</v>
      </c>
      <c r="L81" s="22" t="n">
        <f aca="false">E81-F81-G81-H81-I81-J81-K81</f>
        <v>1657.07424416635</v>
      </c>
      <c r="M81" s="22" t="n">
        <f aca="false">($A81=Premissas!$C$18)*Premissas!$C$26*Premissas!$C$60</f>
        <v>0</v>
      </c>
      <c r="N81" s="22" t="n">
        <f aca="false">IF(AND($A81&gt;=Premissas!$C$18,$A81&lt;Premissas!$C$20),Premissas!$C$27/MAX(1,Premissas!$C$19),0)</f>
        <v>0</v>
      </c>
      <c r="O81" s="22" t="n">
        <f aca="false">IF($A81&gt;=Premissas!$C$18,Premissas!$C$60*(1+Premissas!$C$59)^((YEAR($A81)-YEAR(Premissas!$C$18))*12+MONTH($A81)-MONTH(Premissas!$C$18)),"")</f>
        <v>468869.484040416</v>
      </c>
      <c r="P81" s="31" t="n">
        <f aca="false">(1+IF(YEAR($A81)&lt;=2026,Premissas!$C$49,IF(YEAR($A81)=2027,Premissas!$C$50,IF(YEAR($A81)=2028,Premissas!$C$51,Premissas!$C$52)))*(1-Premissas!$C$53))^(1/12)-1</f>
        <v>0.00682149336596227</v>
      </c>
      <c r="Q81" s="22" t="n">
        <f aca="false">($A81=Premissas!$C$16)*Premissas!$C$13</f>
        <v>0</v>
      </c>
      <c r="R81" s="22" t="n">
        <f aca="false">L81-M81-N81-Q81</f>
        <v>1657.07424416635</v>
      </c>
      <c r="S81" s="22" t="n">
        <f aca="false">S80+R81</f>
        <v>-261650.634975051</v>
      </c>
      <c r="T81" s="22" t="n">
        <f aca="false">IF($A81&gt;=Premissas!$C$18,O81*(1-Premissas!$C$45)-Premissas!$C$46*MAX(0,O81*(1-Premissas!$C$45)-(SUM($Q$5:$Q$355)+Premissas!$C$26*Premissas!$C$60)),"")</f>
        <v>414596.726095038</v>
      </c>
      <c r="U81" s="22" t="n">
        <f aca="false">IF($A81&gt;=Premissas!$C$18,S81+T81,"")</f>
        <v>152946.091119987</v>
      </c>
      <c r="V81" s="22" t="n">
        <f aca="false">V80*(1+$P81)-R81</f>
        <v>453544.625084103</v>
      </c>
      <c r="W81" s="22" t="n">
        <f aca="false">($A81=Premissas!$C$16)*Premissas!$C$9</f>
        <v>0</v>
      </c>
      <c r="X81" s="22" t="n">
        <f aca="false">L81-M81-N81-W81</f>
        <v>1657.07424416635</v>
      </c>
      <c r="Y81" s="22" t="n">
        <f aca="false">Y80+X81</f>
        <v>-292578.634975051</v>
      </c>
      <c r="Z81" s="22" t="n">
        <f aca="false">IF($A81&gt;=Premissas!$C$18,O81*(1-Premissas!$C$45)-Premissas!$C$46*MAX(0,O81*(1-Premissas!$C$45)-(SUM($W$5:$W$355)+Premissas!$C$26*Premissas!$C$60)),"")</f>
        <v>419235.926095038</v>
      </c>
      <c r="AA81" s="22" t="n">
        <f aca="false">IF($A81&gt;=Premissas!$C$18,Y81+Z81,"")</f>
        <v>126657.291119988</v>
      </c>
      <c r="AB81" s="22" t="n">
        <f aca="false">AB80*(1+$P81)-X81</f>
        <v>507097.91608639</v>
      </c>
      <c r="AC81" s="22" t="n">
        <f aca="false">AND($A81&gt;=Premissas!$C$16,$A81&lt;EDATE(Premissas!$C$16,3))*Premissas!$C$10/3*(1+Premissas!$C$56)^$C81</f>
        <v>0</v>
      </c>
      <c r="AD81" s="22" t="n">
        <f aca="false">L81-M81-N81-AC81</f>
        <v>1657.07424416635</v>
      </c>
      <c r="AE81" s="22" t="n">
        <f aca="false">AE80+AD81</f>
        <v>-300199.098855076</v>
      </c>
      <c r="AF81" s="22" t="n">
        <f aca="false">IF($A81&gt;=Premissas!$C$18,O81*(1-Premissas!$C$45)-Premissas!$C$46*MAX(0,O81*(1-Premissas!$C$45)-(SUM($AC$5:$AC$355)+Premissas!$C$26*Premissas!$C$60)),"")</f>
        <v>420378.995677042</v>
      </c>
      <c r="AG81" s="22" t="n">
        <f aca="false">IF($A81&gt;=Premissas!$C$18,AE81+AF81,"")</f>
        <v>120179.896821966</v>
      </c>
      <c r="AH81" s="22" t="n">
        <f aca="false">AH80*(1+$P81)-AD81</f>
        <v>515634.269355047</v>
      </c>
      <c r="AI81" s="22" t="n">
        <f aca="false">($A81=Premissas!$C$16)*0.2*Premissas!$C$11+AND($A81&gt;Premissas!$C$16,$A81&lt;=EDATE(Premissas!$C$16,43))*0.8*Premissas!$C$11/43*(1+Premissas!$C$56)^$C81</f>
        <v>0</v>
      </c>
      <c r="AJ81" s="22" t="n">
        <f aca="false">L81-M81-N81-AI81</f>
        <v>1657.07424416635</v>
      </c>
      <c r="AK81" s="22" t="n">
        <f aca="false">AK80+AJ81</f>
        <v>-346063.584273138</v>
      </c>
      <c r="AL81" s="22" t="n">
        <f aca="false">IF($A81&gt;=Premissas!$C$18,O81*(1-Premissas!$C$45)-Premissas!$C$46*MAX(0,O81*(1-Premissas!$C$45)-(SUM($AI$5:$AI$355)+Premissas!$C$26*Premissas!$C$60)),"")</f>
        <v>427258.668489751</v>
      </c>
      <c r="AM81" s="22" t="n">
        <f aca="false">IF($A81&gt;=Premissas!$C$18,AK81+AL81,"")</f>
        <v>81195.0842166138</v>
      </c>
      <c r="AN81" s="22" t="n">
        <f aca="false">AN80*(1+$P81)-AJ81</f>
        <v>523599.175673395</v>
      </c>
      <c r="AO81" s="22" t="n">
        <f aca="false">V81+S81</f>
        <v>191893.990109052</v>
      </c>
    </row>
    <row r="82" customFormat="false" ht="15" hidden="false" customHeight="false" outlineLevel="0" collapsed="false">
      <c r="A82" s="26" t="n">
        <f aca="false">DATE(YEAR(A81),MONTH(A81)+1,1)</f>
        <v>48639</v>
      </c>
      <c r="B82" s="22" t="str">
        <f aca="false">IF($A82&lt;Premissas!$C$18,"Obra",IF($A82&lt;Premissas!$C$20,"Entrega/mobília","Airbnb"))</f>
        <v>Airbnb</v>
      </c>
      <c r="C82" s="36" t="n">
        <f aca="false">(YEAR($A82)-YEAR(Premissas!$C$16))*12+MONTH($A82)-MONTH(Premissas!$C$16)</f>
        <v>77</v>
      </c>
      <c r="D82" s="33" t="n">
        <f aca="false">IF($A82&gt;=Premissas!$C$20,Premissas!$C$31*IF(((YEAR($A82)-YEAR(Premissas!$C$20))*12+MONTH($A82)-MONTH(Premissas!$C$20))&lt;Premissas!$C$33,Premissas!$C$34,1),0)</f>
        <v>0.62</v>
      </c>
      <c r="E82" s="22" t="n">
        <f aca="false">D82*Premissas!$C$30*Premissas!$C$32*(1+Premissas!$C$58)^$C82</f>
        <v>5980.67514644369</v>
      </c>
      <c r="F82" s="22" t="n">
        <f aca="false">E82*Premissas!$C$35</f>
        <v>956.908023430991</v>
      </c>
      <c r="G82" s="22" t="n">
        <f aca="false">E82*Premissas!$C$36</f>
        <v>1196.13502928874</v>
      </c>
      <c r="H82" s="22" t="n">
        <f aca="false">IF($A82&gt;=Premissas!$C$18,Premissas!$C$37*(1+Premissas!$C$58)^$C82,0)</f>
        <v>771.700018895961</v>
      </c>
      <c r="I82" s="22" t="n">
        <f aca="false">IF($A82&gt;=Premissas!$C$20,Premissas!$C$38*(1+Premissas!$C$58)^$C82,0)</f>
        <v>360.126675484782</v>
      </c>
      <c r="J82" s="22" t="n">
        <f aca="false">IF($A82&gt;=Premissas!$C$20,Premissas!$C$39*(1+Premissas!$C$58)^$C82,0)</f>
        <v>192.92500472399</v>
      </c>
      <c r="K82" s="22" t="n">
        <f aca="false">IF($A82&gt;=Premissas!$C$20,MAX(0,E82-F82-G82-H82)*Premissas!$C$41,0)</f>
        <v>840.381320577701</v>
      </c>
      <c r="L82" s="22" t="n">
        <f aca="false">E82-F82-G82-H82-I82-J82-K82</f>
        <v>1662.49907404153</v>
      </c>
      <c r="M82" s="22" t="n">
        <f aca="false">($A82=Premissas!$C$18)*Premissas!$C$26*Premissas!$C$60</f>
        <v>0</v>
      </c>
      <c r="N82" s="22" t="n">
        <f aca="false">IF(AND($A82&gt;=Premissas!$C$18,$A82&lt;Premissas!$C$20),Premissas!$C$27/MAX(1,Premissas!$C$19),0)</f>
        <v>0</v>
      </c>
      <c r="O82" s="22" t="n">
        <f aca="false">IF($A82&gt;=Premissas!$C$18,Premissas!$C$60*(1+Premissas!$C$59)^((YEAR($A82)-YEAR(Premissas!$C$18))*12+MONTH($A82)-MONTH(Premissas!$C$18)),"")</f>
        <v>470779.716356772</v>
      </c>
      <c r="P82" s="31" t="n">
        <f aca="false">(1+IF(YEAR($A82)&lt;=2026,Premissas!$C$49,IF(YEAR($A82)=2027,Premissas!$C$50,IF(YEAR($A82)=2028,Premissas!$C$51,Premissas!$C$52)))*(1-Premissas!$C$53))^(1/12)-1</f>
        <v>0.00682149336596227</v>
      </c>
      <c r="Q82" s="22" t="n">
        <f aca="false">($A82=Premissas!$C$16)*Premissas!$C$13</f>
        <v>0</v>
      </c>
      <c r="R82" s="22" t="n">
        <f aca="false">L82-M82-N82-Q82</f>
        <v>1662.49907404153</v>
      </c>
      <c r="S82" s="22" t="n">
        <f aca="false">S81+R82</f>
        <v>-259988.135901009</v>
      </c>
      <c r="T82" s="22" t="n">
        <f aca="false">IF($A82&gt;=Premissas!$C$18,O82*(1-Premissas!$C$45)-Premissas!$C$46*MAX(0,O82*(1-Premissas!$C$45)-(SUM($Q$5:$Q$355)+Premissas!$C$26*Premissas!$C$60)),"")</f>
        <v>416123.001715807</v>
      </c>
      <c r="U82" s="22" t="n">
        <f aca="false">IF($A82&gt;=Premissas!$C$18,S82+T82,"")</f>
        <v>156134.865814797</v>
      </c>
      <c r="V82" s="22" t="n">
        <f aca="false">V81*(1+$P82)-R82</f>
        <v>454975.97766124</v>
      </c>
      <c r="W82" s="22" t="n">
        <f aca="false">($A82=Premissas!$C$16)*Premissas!$C$9</f>
        <v>0</v>
      </c>
      <c r="X82" s="22" t="n">
        <f aca="false">L82-M82-N82-W82</f>
        <v>1662.49907404153</v>
      </c>
      <c r="Y82" s="22" t="n">
        <f aca="false">Y81+X82</f>
        <v>-290916.135901009</v>
      </c>
      <c r="Z82" s="22" t="n">
        <f aca="false">IF($A82&gt;=Premissas!$C$18,O82*(1-Premissas!$C$45)-Premissas!$C$46*MAX(0,O82*(1-Premissas!$C$45)-(SUM($W$5:$W$355)+Premissas!$C$26*Premissas!$C$60)),"")</f>
        <v>420762.201715807</v>
      </c>
      <c r="AA82" s="22" t="n">
        <f aca="false">IF($A82&gt;=Premissas!$C$18,Y82+Z82,"")</f>
        <v>129846.065814797</v>
      </c>
      <c r="AB82" s="22" t="n">
        <f aca="false">AB81*(1+$P82)-X82</f>
        <v>508894.582082825</v>
      </c>
      <c r="AC82" s="22" t="n">
        <f aca="false">AND($A82&gt;=Premissas!$C$16,$A82&lt;EDATE(Premissas!$C$16,3))*Premissas!$C$10/3*(1+Premissas!$C$56)^$C82</f>
        <v>0</v>
      </c>
      <c r="AD82" s="22" t="n">
        <f aca="false">L82-M82-N82-AC82</f>
        <v>1662.49907404153</v>
      </c>
      <c r="AE82" s="22" t="n">
        <f aca="false">AE81+AD82</f>
        <v>-298536.599781034</v>
      </c>
      <c r="AF82" s="22" t="n">
        <f aca="false">IF($A82&gt;=Premissas!$C$18,O82*(1-Premissas!$C$45)-Premissas!$C$46*MAX(0,O82*(1-Premissas!$C$45)-(SUM($AC$5:$AC$355)+Premissas!$C$26*Premissas!$C$60)),"")</f>
        <v>421905.271297811</v>
      </c>
      <c r="AG82" s="22" t="n">
        <f aca="false">IF($A82&gt;=Premissas!$C$18,AE82+AF82,"")</f>
        <v>123368.671516776</v>
      </c>
      <c r="AH82" s="22" t="n">
        <f aca="false">AH81*(1+$P82)-AD82</f>
        <v>517489.166028674</v>
      </c>
      <c r="AI82" s="22" t="n">
        <f aca="false">($A82=Premissas!$C$16)*0.2*Premissas!$C$11+AND($A82&gt;Premissas!$C$16,$A82&lt;=EDATE(Premissas!$C$16,43))*0.8*Premissas!$C$11/43*(1+Premissas!$C$56)^$C82</f>
        <v>0</v>
      </c>
      <c r="AJ82" s="22" t="n">
        <f aca="false">L82-M82-N82-AI82</f>
        <v>1662.49907404153</v>
      </c>
      <c r="AK82" s="22" t="n">
        <f aca="false">AK81+AJ82</f>
        <v>-344401.085199096</v>
      </c>
      <c r="AL82" s="22" t="n">
        <f aca="false">IF($A82&gt;=Premissas!$C$18,O82*(1-Premissas!$C$45)-Premissas!$C$46*MAX(0,O82*(1-Premissas!$C$45)-(SUM($AI$5:$AI$355)+Premissas!$C$26*Premissas!$C$60)),"")</f>
        <v>428784.94411052</v>
      </c>
      <c r="AM82" s="22" t="n">
        <f aca="false">IF($A82&gt;=Premissas!$C$18,AK82+AL82,"")</f>
        <v>84383.8589114238</v>
      </c>
      <c r="AN82" s="22" t="n">
        <f aca="false">AN81*(1+$P82)-AJ82</f>
        <v>525508.404902633</v>
      </c>
      <c r="AO82" s="22" t="n">
        <f aca="false">V82+S82</f>
        <v>194987.841760231</v>
      </c>
    </row>
    <row r="83" customFormat="false" ht="15" hidden="false" customHeight="false" outlineLevel="0" collapsed="false">
      <c r="A83" s="26" t="n">
        <f aca="false">DATE(YEAR(A82),MONTH(A82)+1,1)</f>
        <v>48670</v>
      </c>
      <c r="B83" s="22" t="str">
        <f aca="false">IF($A83&lt;Premissas!$C$18,"Obra",IF($A83&lt;Premissas!$C$20,"Entrega/mobília","Airbnb"))</f>
        <v>Airbnb</v>
      </c>
      <c r="C83" s="36" t="n">
        <f aca="false">(YEAR($A83)-YEAR(Premissas!$C$16))*12+MONTH($A83)-MONTH(Premissas!$C$16)</f>
        <v>78</v>
      </c>
      <c r="D83" s="33" t="n">
        <f aca="false">IF($A83&gt;=Premissas!$C$20,Premissas!$C$31*IF(((YEAR($A83)-YEAR(Premissas!$C$20))*12+MONTH($A83)-MONTH(Premissas!$C$20))&lt;Premissas!$C$33,Premissas!$C$34,1),0)</f>
        <v>0.62</v>
      </c>
      <c r="E83" s="22" t="n">
        <f aca="false">D83*Premissas!$C$30*Premissas!$C$32*(1+Premissas!$C$58)^$C83</f>
        <v>6000.25432059502</v>
      </c>
      <c r="F83" s="22" t="n">
        <f aca="false">E83*Premissas!$C$35</f>
        <v>960.040691295203</v>
      </c>
      <c r="G83" s="22" t="n">
        <f aca="false">E83*Premissas!$C$36</f>
        <v>1200.050864119</v>
      </c>
      <c r="H83" s="22" t="n">
        <f aca="false">IF($A83&gt;=Premissas!$C$18,Premissas!$C$37*(1+Premissas!$C$58)^$C83,0)</f>
        <v>774.226363947744</v>
      </c>
      <c r="I83" s="22" t="n">
        <f aca="false">IF($A83&gt;=Premissas!$C$20,Premissas!$C$38*(1+Premissas!$C$58)^$C83,0)</f>
        <v>361.305636508947</v>
      </c>
      <c r="J83" s="22" t="n">
        <f aca="false">IF($A83&gt;=Premissas!$C$20,Premissas!$C$39*(1+Premissas!$C$58)^$C83,0)</f>
        <v>193.556590986936</v>
      </c>
      <c r="K83" s="22" t="n">
        <f aca="false">IF($A83&gt;=Premissas!$C$20,MAX(0,E83-F83-G83-H83)*Premissas!$C$41,0)</f>
        <v>843.132510339093</v>
      </c>
      <c r="L83" s="22" t="n">
        <f aca="false">E83-F83-G83-H83-I83-J83-K83</f>
        <v>1667.94166339809</v>
      </c>
      <c r="M83" s="22" t="n">
        <f aca="false">($A83=Premissas!$C$18)*Premissas!$C$26*Premissas!$C$60</f>
        <v>0</v>
      </c>
      <c r="N83" s="22" t="n">
        <f aca="false">IF(AND($A83&gt;=Premissas!$C$18,$A83&lt;Premissas!$C$20),Premissas!$C$27/MAX(1,Premissas!$C$19),0)</f>
        <v>0</v>
      </c>
      <c r="O83" s="22" t="n">
        <f aca="false">IF($A83&gt;=Premissas!$C$18,Premissas!$C$60*(1+Premissas!$C$59)^((YEAR($A83)-YEAR(Premissas!$C$18))*12+MONTH($A83)-MONTH(Premissas!$C$18)),"")</f>
        <v>472697.73119604</v>
      </c>
      <c r="P83" s="31" t="n">
        <f aca="false">(1+IF(YEAR($A83)&lt;=2026,Premissas!$C$49,IF(YEAR($A83)=2027,Premissas!$C$50,IF(YEAR($A83)=2028,Premissas!$C$51,Premissas!$C$52)))*(1-Premissas!$C$53))^(1/12)-1</f>
        <v>0.00682149336596227</v>
      </c>
      <c r="Q83" s="22" t="n">
        <f aca="false">($A83=Premissas!$C$16)*Premissas!$C$13</f>
        <v>0</v>
      </c>
      <c r="R83" s="22" t="n">
        <f aca="false">L83-M83-N83-Q83</f>
        <v>1667.94166339809</v>
      </c>
      <c r="S83" s="22" t="n">
        <f aca="false">S82+R83</f>
        <v>-258320.194237611</v>
      </c>
      <c r="T83" s="22" t="n">
        <f aca="false">IF($A83&gt;=Premissas!$C$18,O83*(1-Premissas!$C$45)-Premissas!$C$46*MAX(0,O83*(1-Premissas!$C$45)-(SUM($Q$5:$Q$355)+Premissas!$C$26*Premissas!$C$60)),"")</f>
        <v>417655.495572382</v>
      </c>
      <c r="U83" s="22" t="n">
        <f aca="false">IF($A83&gt;=Premissas!$C$18,S83+T83,"")</f>
        <v>159335.301334771</v>
      </c>
      <c r="V83" s="22" t="n">
        <f aca="false">V82*(1+$P83)-R83</f>
        <v>456411.65161113</v>
      </c>
      <c r="W83" s="22" t="n">
        <f aca="false">($A83=Premissas!$C$16)*Premissas!$C$9</f>
        <v>0</v>
      </c>
      <c r="X83" s="22" t="n">
        <f aca="false">L83-M83-N83-W83</f>
        <v>1667.94166339809</v>
      </c>
      <c r="Y83" s="22" t="n">
        <f aca="false">Y82+X83</f>
        <v>-289248.194237611</v>
      </c>
      <c r="Z83" s="22" t="n">
        <f aca="false">IF($A83&gt;=Premissas!$C$18,O83*(1-Premissas!$C$45)-Premissas!$C$46*MAX(0,O83*(1-Premissas!$C$45)-(SUM($W$5:$W$355)+Premissas!$C$26*Premissas!$C$60)),"")</f>
        <v>422294.695572382</v>
      </c>
      <c r="AA83" s="22" t="n">
        <f aca="false">IF($A83&gt;=Premissas!$C$18,Y83+Z83,"")</f>
        <v>133046.501334771</v>
      </c>
      <c r="AB83" s="22" t="n">
        <f aca="false">AB82*(1+$P83)-X83</f>
        <v>510698.061435079</v>
      </c>
      <c r="AC83" s="22" t="n">
        <f aca="false">AND($A83&gt;=Premissas!$C$16,$A83&lt;EDATE(Premissas!$C$16,3))*Premissas!$C$10/3*(1+Premissas!$C$56)^$C83</f>
        <v>0</v>
      </c>
      <c r="AD83" s="22" t="n">
        <f aca="false">L83-M83-N83-AC83</f>
        <v>1667.94166339809</v>
      </c>
      <c r="AE83" s="22" t="n">
        <f aca="false">AE82+AD83</f>
        <v>-296868.658117636</v>
      </c>
      <c r="AF83" s="22" t="n">
        <f aca="false">IF($A83&gt;=Premissas!$C$18,O83*(1-Premissas!$C$45)-Premissas!$C$46*MAX(0,O83*(1-Premissas!$C$45)-(SUM($AC$5:$AC$355)+Premissas!$C$26*Premissas!$C$60)),"")</f>
        <v>423437.765154386</v>
      </c>
      <c r="AG83" s="22" t="n">
        <f aca="false">IF($A83&gt;=Premissas!$C$18,AE83+AF83,"")</f>
        <v>126569.10703675</v>
      </c>
      <c r="AH83" s="22" t="n">
        <f aca="false">AH82*(1+$P83)-AD83</f>
        <v>519351.273278298</v>
      </c>
      <c r="AI83" s="22" t="n">
        <f aca="false">($A83=Premissas!$C$16)*0.2*Premissas!$C$11+AND($A83&gt;Premissas!$C$16,$A83&lt;=EDATE(Premissas!$C$16,43))*0.8*Premissas!$C$11/43*(1+Premissas!$C$56)^$C83</f>
        <v>0</v>
      </c>
      <c r="AJ83" s="22" t="n">
        <f aca="false">L83-M83-N83-AI83</f>
        <v>1667.94166339809</v>
      </c>
      <c r="AK83" s="22" t="n">
        <f aca="false">AK82+AJ83</f>
        <v>-342733.143535698</v>
      </c>
      <c r="AL83" s="22" t="n">
        <f aca="false">IF($A83&gt;=Premissas!$C$18,O83*(1-Premissas!$C$45)-Premissas!$C$46*MAX(0,O83*(1-Premissas!$C$45)-(SUM($AI$5:$AI$355)+Premissas!$C$26*Premissas!$C$60)),"")</f>
        <v>430317.437967095</v>
      </c>
      <c r="AM83" s="22" t="n">
        <f aca="false">IF($A83&gt;=Premissas!$C$18,AK83+AL83,"")</f>
        <v>87584.2944313973</v>
      </c>
      <c r="AN83" s="22" t="n">
        <f aca="false">AN82*(1+$P83)-AJ83</f>
        <v>527425.215337035</v>
      </c>
      <c r="AO83" s="22" t="n">
        <f aca="false">V83+S83</f>
        <v>198091.457373519</v>
      </c>
    </row>
    <row r="84" customFormat="false" ht="15" hidden="false" customHeight="false" outlineLevel="0" collapsed="false">
      <c r="A84" s="26" t="n">
        <f aca="false">DATE(YEAR(A83),MONTH(A83)+1,1)</f>
        <v>48700</v>
      </c>
      <c r="B84" s="22" t="str">
        <f aca="false">IF($A84&lt;Premissas!$C$18,"Obra",IF($A84&lt;Premissas!$C$20,"Entrega/mobília","Airbnb"))</f>
        <v>Airbnb</v>
      </c>
      <c r="C84" s="36" t="n">
        <f aca="false">(YEAR($A84)-YEAR(Premissas!$C$16))*12+MONTH($A84)-MONTH(Premissas!$C$16)</f>
        <v>79</v>
      </c>
      <c r="D84" s="33" t="n">
        <f aca="false">IF($A84&gt;=Premissas!$C$20,Premissas!$C$31*IF(((YEAR($A84)-YEAR(Premissas!$C$20))*12+MONTH($A84)-MONTH(Premissas!$C$20))&lt;Premissas!$C$33,Premissas!$C$34,1),0)</f>
        <v>0.62</v>
      </c>
      <c r="E84" s="22" t="n">
        <f aca="false">D84*Premissas!$C$30*Premissas!$C$32*(1+Premissas!$C$58)^$C84</f>
        <v>6019.89759186766</v>
      </c>
      <c r="F84" s="22" t="n">
        <f aca="false">E84*Premissas!$C$35</f>
        <v>963.183614698825</v>
      </c>
      <c r="G84" s="22" t="n">
        <f aca="false">E84*Premissas!$C$36</f>
        <v>1203.97951837353</v>
      </c>
      <c r="H84" s="22" t="n">
        <f aca="false">IF($A84&gt;=Premissas!$C$18,Premissas!$C$37*(1+Premissas!$C$58)^$C84,0)</f>
        <v>776.760979595827</v>
      </c>
      <c r="I84" s="22" t="n">
        <f aca="false">IF($A84&gt;=Premissas!$C$20,Premissas!$C$38*(1+Premissas!$C$58)^$C84,0)</f>
        <v>362.488457144719</v>
      </c>
      <c r="J84" s="22" t="n">
        <f aca="false">IF($A84&gt;=Premissas!$C$20,Premissas!$C$39*(1+Premissas!$C$58)^$C84,0)</f>
        <v>194.190244898957</v>
      </c>
      <c r="K84" s="22" t="n">
        <f aca="false">IF($A84&gt;=Premissas!$C$20,MAX(0,E84-F84-G84-H84)*Premissas!$C$41,0)</f>
        <v>845.892706779856</v>
      </c>
      <c r="L84" s="22" t="n">
        <f aca="false">E84-F84-G84-H84-I84-J84-K84</f>
        <v>1673.40207037594</v>
      </c>
      <c r="M84" s="22" t="n">
        <f aca="false">($A84=Premissas!$C$18)*Premissas!$C$26*Premissas!$C$60</f>
        <v>0</v>
      </c>
      <c r="N84" s="22" t="n">
        <f aca="false">IF(AND($A84&gt;=Premissas!$C$18,$A84&lt;Premissas!$C$20),Premissas!$C$27/MAX(1,Premissas!$C$19),0)</f>
        <v>0</v>
      </c>
      <c r="O84" s="22" t="n">
        <f aca="false">IF($A84&gt;=Premissas!$C$18,Premissas!$C$60*(1+Premissas!$C$59)^((YEAR($A84)-YEAR(Premissas!$C$18))*12+MONTH($A84)-MONTH(Premissas!$C$18)),"")</f>
        <v>474623.560265183</v>
      </c>
      <c r="P84" s="31" t="n">
        <f aca="false">(1+IF(YEAR($A84)&lt;=2026,Premissas!$C$49,IF(YEAR($A84)=2027,Premissas!$C$50,IF(YEAR($A84)=2028,Premissas!$C$51,Premissas!$C$52)))*(1-Premissas!$C$53))^(1/12)-1</f>
        <v>0.00682149336596227</v>
      </c>
      <c r="Q84" s="22" t="n">
        <f aca="false">($A84=Premissas!$C$16)*Premissas!$C$13</f>
        <v>0</v>
      </c>
      <c r="R84" s="22" t="n">
        <f aca="false">L84-M84-N84-Q84</f>
        <v>1673.40207037594</v>
      </c>
      <c r="S84" s="22" t="n">
        <f aca="false">S83+R84</f>
        <v>-256646.792167235</v>
      </c>
      <c r="T84" s="22" t="n">
        <f aca="false">IF($A84&gt;=Premissas!$C$18,O84*(1-Premissas!$C$45)-Premissas!$C$46*MAX(0,O84*(1-Premissas!$C$45)-(SUM($Q$5:$Q$355)+Premissas!$C$26*Premissas!$C$60)),"")</f>
        <v>419194.232998627</v>
      </c>
      <c r="U84" s="22" t="n">
        <f aca="false">IF($A84&gt;=Premissas!$C$18,S84+T84,"")</f>
        <v>162547.440831392</v>
      </c>
      <c r="V84" s="22" t="n">
        <f aca="false">V83*(1+$P84)-R84</f>
        <v>457851.658594368</v>
      </c>
      <c r="W84" s="22" t="n">
        <f aca="false">($A84=Premissas!$C$16)*Premissas!$C$9</f>
        <v>0</v>
      </c>
      <c r="X84" s="22" t="n">
        <f aca="false">L84-M84-N84-W84</f>
        <v>1673.40207037594</v>
      </c>
      <c r="Y84" s="22" t="n">
        <f aca="false">Y83+X84</f>
        <v>-287574.792167235</v>
      </c>
      <c r="Z84" s="22" t="n">
        <f aca="false">IF($A84&gt;=Premissas!$C$18,O84*(1-Premissas!$C$45)-Premissas!$C$46*MAX(0,O84*(1-Premissas!$C$45)-(SUM($W$5:$W$355)+Premissas!$C$26*Premissas!$C$60)),"")</f>
        <v>423833.432998627</v>
      </c>
      <c r="AA84" s="22" t="n">
        <f aca="false">IF($A84&gt;=Premissas!$C$18,Y84+Z84,"")</f>
        <v>136258.640831392</v>
      </c>
      <c r="AB84" s="22" t="n">
        <f aca="false">AB83*(1+$P84)-X84</f>
        <v>512508.382802792</v>
      </c>
      <c r="AC84" s="22" t="n">
        <f aca="false">AND($A84&gt;=Premissas!$C$16,$A84&lt;EDATE(Premissas!$C$16,3))*Premissas!$C$10/3*(1+Premissas!$C$56)^$C84</f>
        <v>0</v>
      </c>
      <c r="AD84" s="22" t="n">
        <f aca="false">L84-M84-N84-AC84</f>
        <v>1673.40207037594</v>
      </c>
      <c r="AE84" s="22" t="n">
        <f aca="false">AE83+AD84</f>
        <v>-295195.25604726</v>
      </c>
      <c r="AF84" s="22" t="n">
        <f aca="false">IF($A84&gt;=Premissas!$C$18,O84*(1-Premissas!$C$45)-Premissas!$C$46*MAX(0,O84*(1-Premissas!$C$45)-(SUM($AC$5:$AC$355)+Premissas!$C$26*Premissas!$C$60)),"")</f>
        <v>424976.502580631</v>
      </c>
      <c r="AG84" s="22" t="n">
        <f aca="false">IF($A84&gt;=Premissas!$C$18,AE84+AF84,"")</f>
        <v>129781.246533371</v>
      </c>
      <c r="AH84" s="22" t="n">
        <f aca="false">AH83*(1+$P84)-AD84</f>
        <v>521220.622473194</v>
      </c>
      <c r="AI84" s="22" t="n">
        <f aca="false">($A84=Premissas!$C$16)*0.2*Premissas!$C$11+AND($A84&gt;Premissas!$C$16,$A84&lt;=EDATE(Premissas!$C$16,43))*0.8*Premissas!$C$11/43*(1+Premissas!$C$56)^$C84</f>
        <v>0</v>
      </c>
      <c r="AJ84" s="22" t="n">
        <f aca="false">L84-M84-N84-AI84</f>
        <v>1673.40207037594</v>
      </c>
      <c r="AK84" s="22" t="n">
        <f aca="false">AK83+AJ84</f>
        <v>-341059.741465322</v>
      </c>
      <c r="AL84" s="22" t="n">
        <f aca="false">IF($A84&gt;=Premissas!$C$18,O84*(1-Premissas!$C$45)-Premissas!$C$46*MAX(0,O84*(1-Premissas!$C$45)-(SUM($AI$5:$AI$355)+Premissas!$C$26*Premissas!$C$60)),"")</f>
        <v>431856.17539334</v>
      </c>
      <c r="AM84" s="22" t="n">
        <f aca="false">IF($A84&gt;=Premissas!$C$18,AK84+AL84,"")</f>
        <v>90796.433928018</v>
      </c>
      <c r="AN84" s="22" t="n">
        <f aca="false">AN83*(1+$P84)-AJ84</f>
        <v>529349.640874122</v>
      </c>
      <c r="AO84" s="22" t="n">
        <f aca="false">V84+S84</f>
        <v>201204.866427132</v>
      </c>
    </row>
    <row r="85" customFormat="false" ht="15" hidden="false" customHeight="false" outlineLevel="0" collapsed="false">
      <c r="A85" s="26" t="n">
        <f aca="false">DATE(YEAR(A84),MONTH(A84)+1,1)</f>
        <v>48731</v>
      </c>
      <c r="B85" s="22" t="str">
        <f aca="false">IF($A85&lt;Premissas!$C$18,"Obra",IF($A85&lt;Premissas!$C$20,"Entrega/mobília","Airbnb"))</f>
        <v>Airbnb</v>
      </c>
      <c r="C85" s="36" t="n">
        <f aca="false">(YEAR($A85)-YEAR(Premissas!$C$16))*12+MONTH($A85)-MONTH(Premissas!$C$16)</f>
        <v>80</v>
      </c>
      <c r="D85" s="33" t="n">
        <f aca="false">IF($A85&gt;=Premissas!$C$20,Premissas!$C$31*IF(((YEAR($A85)-YEAR(Premissas!$C$20))*12+MONTH($A85)-MONTH(Premissas!$C$20))&lt;Premissas!$C$33,Premissas!$C$34,1),0)</f>
        <v>0.62</v>
      </c>
      <c r="E85" s="22" t="n">
        <f aca="false">D85*Premissas!$C$30*Premissas!$C$32*(1+Premissas!$C$58)^$C85</f>
        <v>6039.60517009892</v>
      </c>
      <c r="F85" s="22" t="n">
        <f aca="false">E85*Premissas!$C$35</f>
        <v>966.336827215827</v>
      </c>
      <c r="G85" s="22" t="n">
        <f aca="false">E85*Premissas!$C$36</f>
        <v>1207.92103401978</v>
      </c>
      <c r="H85" s="22" t="n">
        <f aca="false">IF($A85&gt;=Premissas!$C$18,Premissas!$C$37*(1+Premissas!$C$58)^$C85,0)</f>
        <v>779.30389291599</v>
      </c>
      <c r="I85" s="22" t="n">
        <f aca="false">IF($A85&gt;=Premissas!$C$20,Premissas!$C$38*(1+Premissas!$C$58)^$C85,0)</f>
        <v>363.675150027462</v>
      </c>
      <c r="J85" s="22" t="n">
        <f aca="false">IF($A85&gt;=Premissas!$C$20,Premissas!$C$39*(1+Premissas!$C$58)^$C85,0)</f>
        <v>194.825973228997</v>
      </c>
      <c r="K85" s="22" t="n">
        <f aca="false">IF($A85&gt;=Premissas!$C$20,MAX(0,E85-F85-G85-H85)*Premissas!$C$41,0)</f>
        <v>848.661939385513</v>
      </c>
      <c r="L85" s="22" t="n">
        <f aca="false">E85-F85-G85-H85-I85-J85-K85</f>
        <v>1678.88035330535</v>
      </c>
      <c r="M85" s="22" t="n">
        <f aca="false">($A85=Premissas!$C$18)*Premissas!$C$26*Premissas!$C$60</f>
        <v>0</v>
      </c>
      <c r="N85" s="22" t="n">
        <f aca="false">IF(AND($A85&gt;=Premissas!$C$18,$A85&lt;Premissas!$C$20),Premissas!$C$27/MAX(1,Premissas!$C$19),0)</f>
        <v>0</v>
      </c>
      <c r="O85" s="22" t="n">
        <f aca="false">IF($A85&gt;=Premissas!$C$18,Premissas!$C$60*(1+Premissas!$C$59)^((YEAR($A85)-YEAR(Premissas!$C$18))*12+MONTH($A85)-MONTH(Premissas!$C$18)),"")</f>
        <v>476557.235400339</v>
      </c>
      <c r="P85" s="31" t="n">
        <f aca="false">(1+IF(YEAR($A85)&lt;=2026,Premissas!$C$49,IF(YEAR($A85)=2027,Premissas!$C$50,IF(YEAR($A85)=2028,Premissas!$C$51,Premissas!$C$52)))*(1-Premissas!$C$53))^(1/12)-1</f>
        <v>0.00682149336596227</v>
      </c>
      <c r="Q85" s="22" t="n">
        <f aca="false">($A85=Premissas!$C$16)*Premissas!$C$13</f>
        <v>0</v>
      </c>
      <c r="R85" s="22" t="n">
        <f aca="false">L85-M85-N85-Q85</f>
        <v>1678.88035330535</v>
      </c>
      <c r="S85" s="22" t="n">
        <f aca="false">S84+R85</f>
        <v>-254967.91181393</v>
      </c>
      <c r="T85" s="22" t="n">
        <f aca="false">IF($A85&gt;=Premissas!$C$18,O85*(1-Premissas!$C$45)-Premissas!$C$46*MAX(0,O85*(1-Premissas!$C$45)-(SUM($Q$5:$Q$355)+Premissas!$C$26*Premissas!$C$60)),"")</f>
        <v>420739.239431617</v>
      </c>
      <c r="U85" s="22" t="n">
        <f aca="false">IF($A85&gt;=Premissas!$C$18,S85+T85,"")</f>
        <v>165771.327617687</v>
      </c>
      <c r="V85" s="22" t="n">
        <f aca="false">V84*(1+$P85)-R85</f>
        <v>459296.010292759</v>
      </c>
      <c r="W85" s="22" t="n">
        <f aca="false">($A85=Premissas!$C$16)*Premissas!$C$9</f>
        <v>0</v>
      </c>
      <c r="X85" s="22" t="n">
        <f aca="false">L85-M85-N85-W85</f>
        <v>1678.88035330535</v>
      </c>
      <c r="Y85" s="22" t="n">
        <f aca="false">Y84+X85</f>
        <v>-285895.91181393</v>
      </c>
      <c r="Z85" s="22" t="n">
        <f aca="false">IF($A85&gt;=Premissas!$C$18,O85*(1-Premissas!$C$45)-Premissas!$C$46*MAX(0,O85*(1-Premissas!$C$45)-(SUM($W$5:$W$355)+Premissas!$C$26*Premissas!$C$60)),"")</f>
        <v>425378.439431617</v>
      </c>
      <c r="AA85" s="22" t="n">
        <f aca="false">IF($A85&gt;=Premissas!$C$18,Y85+Z85,"")</f>
        <v>139482.527617687</v>
      </c>
      <c r="AB85" s="22" t="n">
        <f aca="false">AB84*(1+$P85)-X85</f>
        <v>514325.574982776</v>
      </c>
      <c r="AC85" s="22" t="n">
        <f aca="false">AND($A85&gt;=Premissas!$C$16,$A85&lt;EDATE(Premissas!$C$16,3))*Premissas!$C$10/3*(1+Premissas!$C$56)^$C85</f>
        <v>0</v>
      </c>
      <c r="AD85" s="22" t="n">
        <f aca="false">L85-M85-N85-AC85</f>
        <v>1678.88035330535</v>
      </c>
      <c r="AE85" s="22" t="n">
        <f aca="false">AE84+AD85</f>
        <v>-293516.375693955</v>
      </c>
      <c r="AF85" s="22" t="n">
        <f aca="false">IF($A85&gt;=Premissas!$C$18,O85*(1-Premissas!$C$45)-Premissas!$C$46*MAX(0,O85*(1-Premissas!$C$45)-(SUM($AC$5:$AC$355)+Premissas!$C$26*Premissas!$C$60)),"")</f>
        <v>426521.509013621</v>
      </c>
      <c r="AG85" s="22" t="n">
        <f aca="false">IF($A85&gt;=Premissas!$C$18,AE85+AF85,"")</f>
        <v>133005.133319666</v>
      </c>
      <c r="AH85" s="22" t="n">
        <f aca="false">AH84*(1+$P85)-AD85</f>
        <v>523097.245138292</v>
      </c>
      <c r="AI85" s="22" t="n">
        <f aca="false">($A85=Premissas!$C$16)*0.2*Premissas!$C$11+AND($A85&gt;Premissas!$C$16,$A85&lt;=EDATE(Premissas!$C$16,43))*0.8*Premissas!$C$11/43*(1+Premissas!$C$56)^$C85</f>
        <v>0</v>
      </c>
      <c r="AJ85" s="22" t="n">
        <f aca="false">L85-M85-N85-AI85</f>
        <v>1678.88035330535</v>
      </c>
      <c r="AK85" s="22" t="n">
        <f aca="false">AK84+AJ85</f>
        <v>-339380.861112017</v>
      </c>
      <c r="AL85" s="22" t="n">
        <f aca="false">IF($A85&gt;=Premissas!$C$18,O85*(1-Premissas!$C$45)-Premissas!$C$46*MAX(0,O85*(1-Premissas!$C$45)-(SUM($AI$5:$AI$355)+Premissas!$C$26*Premissas!$C$60)),"")</f>
        <v>433401.18182633</v>
      </c>
      <c r="AM85" s="22" t="n">
        <f aca="false">IF($A85&gt;=Premissas!$C$18,AK85+AL85,"")</f>
        <v>94020.3207143133</v>
      </c>
      <c r="AN85" s="22" t="n">
        <f aca="false">AN84*(1+$P85)-AJ85</f>
        <v>531281.715584314</v>
      </c>
      <c r="AO85" s="22" t="n">
        <f aca="false">V85+S85</f>
        <v>204328.098478829</v>
      </c>
    </row>
    <row r="86" customFormat="false" ht="15" hidden="false" customHeight="false" outlineLevel="0" collapsed="false">
      <c r="A86" s="26" t="n">
        <f aca="false">DATE(YEAR(A85),MONTH(A85)+1,1)</f>
        <v>48761</v>
      </c>
      <c r="B86" s="22" t="str">
        <f aca="false">IF($A86&lt;Premissas!$C$18,"Obra",IF($A86&lt;Premissas!$C$20,"Entrega/mobília","Airbnb"))</f>
        <v>Airbnb</v>
      </c>
      <c r="C86" s="36" t="n">
        <f aca="false">(YEAR($A86)-YEAR(Premissas!$C$16))*12+MONTH($A86)-MONTH(Premissas!$C$16)</f>
        <v>81</v>
      </c>
      <c r="D86" s="33" t="n">
        <f aca="false">IF($A86&gt;=Premissas!$C$20,Premissas!$C$31*IF(((YEAR($A86)-YEAR(Premissas!$C$20))*12+MONTH($A86)-MONTH(Premissas!$C$20))&lt;Premissas!$C$33,Premissas!$C$34,1),0)</f>
        <v>0.62</v>
      </c>
      <c r="E86" s="22" t="n">
        <f aca="false">D86*Premissas!$C$30*Premissas!$C$32*(1+Premissas!$C$58)^$C86</f>
        <v>6059.37726581305</v>
      </c>
      <c r="F86" s="22" t="n">
        <f aca="false">E86*Premissas!$C$35</f>
        <v>969.500362530087</v>
      </c>
      <c r="G86" s="22" t="n">
        <f aca="false">E86*Premissas!$C$36</f>
        <v>1211.87545316261</v>
      </c>
      <c r="H86" s="22" t="n">
        <f aca="false">IF($A86&gt;=Premissas!$C$18,Premissas!$C$37*(1+Premissas!$C$58)^$C86,0)</f>
        <v>781.855131072651</v>
      </c>
      <c r="I86" s="22" t="n">
        <f aca="false">IF($A86&gt;=Premissas!$C$20,Premissas!$C$38*(1+Premissas!$C$58)^$C86,0)</f>
        <v>364.865727833904</v>
      </c>
      <c r="J86" s="22" t="n">
        <f aca="false">IF($A86&gt;=Premissas!$C$20,Premissas!$C$39*(1+Premissas!$C$58)^$C86,0)</f>
        <v>195.463782768163</v>
      </c>
      <c r="K86" s="22" t="n">
        <f aca="false">IF($A86&gt;=Premissas!$C$20,MAX(0,E86-F86-G86-H86)*Premissas!$C$41,0)</f>
        <v>851.440237738117</v>
      </c>
      <c r="L86" s="22" t="n">
        <f aca="false">E86-F86-G86-H86-I86-J86-K86</f>
        <v>1684.37657070752</v>
      </c>
      <c r="M86" s="22" t="n">
        <f aca="false">($A86=Premissas!$C$18)*Premissas!$C$26*Premissas!$C$60</f>
        <v>0</v>
      </c>
      <c r="N86" s="22" t="n">
        <f aca="false">IF(AND($A86&gt;=Premissas!$C$18,$A86&lt;Premissas!$C$20),Premissas!$C$27/MAX(1,Premissas!$C$19),0)</f>
        <v>0</v>
      </c>
      <c r="O86" s="22" t="n">
        <f aca="false">IF($A86&gt;=Premissas!$C$18,Premissas!$C$60*(1+Premissas!$C$59)^((YEAR($A86)-YEAR(Premissas!$C$18))*12+MONTH($A86)-MONTH(Premissas!$C$18)),"")</f>
        <v>478498.788567353</v>
      </c>
      <c r="P86" s="31" t="n">
        <f aca="false">(1+IF(YEAR($A86)&lt;=2026,Premissas!$C$49,IF(YEAR($A86)=2027,Premissas!$C$50,IF(YEAR($A86)=2028,Premissas!$C$51,Premissas!$C$52)))*(1-Premissas!$C$53))^(1/12)-1</f>
        <v>0.00682149336596227</v>
      </c>
      <c r="Q86" s="22" t="n">
        <f aca="false">($A86=Premissas!$C$16)*Premissas!$C$13</f>
        <v>0</v>
      </c>
      <c r="R86" s="22" t="n">
        <f aca="false">L86-M86-N86-Q86</f>
        <v>1684.37657070752</v>
      </c>
      <c r="S86" s="22" t="n">
        <f aca="false">S85+R86</f>
        <v>-253283.535243223</v>
      </c>
      <c r="T86" s="22" t="n">
        <f aca="false">IF($A86&gt;=Premissas!$C$18,O86*(1-Premissas!$C$45)-Premissas!$C$46*MAX(0,O86*(1-Premissas!$C$45)-(SUM($Q$5:$Q$355)+Premissas!$C$26*Premissas!$C$60)),"")</f>
        <v>422290.540412061</v>
      </c>
      <c r="U86" s="22" t="n">
        <f aca="false">IF($A86&gt;=Premissas!$C$18,S86+T86,"")</f>
        <v>169007.005168839</v>
      </c>
      <c r="V86" s="22" t="n">
        <f aca="false">V85*(1+$P86)-R86</f>
        <v>460744.718409276</v>
      </c>
      <c r="W86" s="22" t="n">
        <f aca="false">($A86=Premissas!$C$16)*Premissas!$C$9</f>
        <v>0</v>
      </c>
      <c r="X86" s="22" t="n">
        <f aca="false">L86-M86-N86-W86</f>
        <v>1684.37657070752</v>
      </c>
      <c r="Y86" s="22" t="n">
        <f aca="false">Y85+X86</f>
        <v>-284211.535243222</v>
      </c>
      <c r="Z86" s="22" t="n">
        <f aca="false">IF($A86&gt;=Premissas!$C$18,O86*(1-Premissas!$C$45)-Premissas!$C$46*MAX(0,O86*(1-Premissas!$C$45)-(SUM($W$5:$W$355)+Premissas!$C$26*Premissas!$C$60)),"")</f>
        <v>426929.740412061</v>
      </c>
      <c r="AA86" s="22" t="n">
        <f aca="false">IF($A86&gt;=Premissas!$C$18,Y86+Z86,"")</f>
        <v>142718.205168839</v>
      </c>
      <c r="AB86" s="22" t="n">
        <f aca="false">AB85*(1+$P86)-X86</f>
        <v>516149.666909758</v>
      </c>
      <c r="AC86" s="22" t="n">
        <f aca="false">AND($A86&gt;=Premissas!$C$16,$A86&lt;EDATE(Premissas!$C$16,3))*Premissas!$C$10/3*(1+Premissas!$C$56)^$C86</f>
        <v>0</v>
      </c>
      <c r="AD86" s="22" t="n">
        <f aca="false">L86-M86-N86-AC86</f>
        <v>1684.37657070752</v>
      </c>
      <c r="AE86" s="22" t="n">
        <f aca="false">AE85+AD86</f>
        <v>-291831.999123247</v>
      </c>
      <c r="AF86" s="22" t="n">
        <f aca="false">IF($A86&gt;=Premissas!$C$18,O86*(1-Premissas!$C$45)-Premissas!$C$46*MAX(0,O86*(1-Premissas!$C$45)-(SUM($AC$5:$AC$355)+Premissas!$C$26*Premissas!$C$60)),"")</f>
        <v>428072.809994065</v>
      </c>
      <c r="AG86" s="22" t="n">
        <f aca="false">IF($A86&gt;=Premissas!$C$18,AE86+AF86,"")</f>
        <v>136240.810870818</v>
      </c>
      <c r="AH86" s="22" t="n">
        <f aca="false">AH85*(1+$P86)-AD86</f>
        <v>524981.172955049</v>
      </c>
      <c r="AI86" s="22" t="n">
        <f aca="false">($A86=Premissas!$C$16)*0.2*Premissas!$C$11+AND($A86&gt;Premissas!$C$16,$A86&lt;=EDATE(Premissas!$C$16,43))*0.8*Premissas!$C$11/43*(1+Premissas!$C$56)^$C86</f>
        <v>0</v>
      </c>
      <c r="AJ86" s="22" t="n">
        <f aca="false">L86-M86-N86-AI86</f>
        <v>1684.37657070752</v>
      </c>
      <c r="AK86" s="22" t="n">
        <f aca="false">AK85+AJ86</f>
        <v>-337696.484541309</v>
      </c>
      <c r="AL86" s="22" t="n">
        <f aca="false">IF($A86&gt;=Premissas!$C$18,O86*(1-Premissas!$C$45)-Premissas!$C$46*MAX(0,O86*(1-Premissas!$C$45)-(SUM($AI$5:$AI$355)+Premissas!$C$26*Premissas!$C$60)),"")</f>
        <v>434952.482806774</v>
      </c>
      <c r="AM86" s="22" t="n">
        <f aca="false">IF($A86&gt;=Premissas!$C$18,AK86+AL86,"")</f>
        <v>97255.9982654652</v>
      </c>
      <c r="AN86" s="22" t="n">
        <f aca="false">AN85*(1+$P86)-AJ86</f>
        <v>533221.473711922</v>
      </c>
      <c r="AO86" s="22" t="n">
        <f aca="false">V86+S86</f>
        <v>207461.183166054</v>
      </c>
    </row>
    <row r="87" customFormat="false" ht="15" hidden="false" customHeight="false" outlineLevel="0" collapsed="false">
      <c r="A87" s="26" t="n">
        <f aca="false">DATE(YEAR(A86),MONTH(A86)+1,1)</f>
        <v>48792</v>
      </c>
      <c r="B87" s="22" t="str">
        <f aca="false">IF($A87&lt;Premissas!$C$18,"Obra",IF($A87&lt;Premissas!$C$20,"Entrega/mobília","Airbnb"))</f>
        <v>Airbnb</v>
      </c>
      <c r="C87" s="36" t="n">
        <f aca="false">(YEAR($A87)-YEAR(Premissas!$C$16))*12+MONTH($A87)-MONTH(Premissas!$C$16)</f>
        <v>82</v>
      </c>
      <c r="D87" s="33" t="n">
        <f aca="false">IF($A87&gt;=Premissas!$C$20,Premissas!$C$31*IF(((YEAR($A87)-YEAR(Premissas!$C$20))*12+MONTH($A87)-MONTH(Premissas!$C$20))&lt;Premissas!$C$33,Premissas!$C$34,1),0)</f>
        <v>0.62</v>
      </c>
      <c r="E87" s="22" t="n">
        <f aca="false">D87*Premissas!$C$30*Premissas!$C$32*(1+Premissas!$C$58)^$C87</f>
        <v>6079.21409022349</v>
      </c>
      <c r="F87" s="22" t="n">
        <f aca="false">E87*Premissas!$C$35</f>
        <v>972.674254435758</v>
      </c>
      <c r="G87" s="22" t="n">
        <f aca="false">E87*Premissas!$C$36</f>
        <v>1215.8428180447</v>
      </c>
      <c r="H87" s="22" t="n">
        <f aca="false">IF($A87&gt;=Premissas!$C$18,Premissas!$C$37*(1+Premissas!$C$58)^$C87,0)</f>
        <v>784.41472131916</v>
      </c>
      <c r="I87" s="22" t="n">
        <f aca="false">IF($A87&gt;=Premissas!$C$20,Premissas!$C$38*(1+Premissas!$C$58)^$C87,0)</f>
        <v>366.060203282275</v>
      </c>
      <c r="J87" s="22" t="n">
        <f aca="false">IF($A87&gt;=Premissas!$C$20,Premissas!$C$39*(1+Premissas!$C$58)^$C87,0)</f>
        <v>196.10368032979</v>
      </c>
      <c r="K87" s="22" t="n">
        <f aca="false">IF($A87&gt;=Premissas!$C$20,MAX(0,E87-F87-G87-H87)*Premissas!$C$41,0)</f>
        <v>854.227631516565</v>
      </c>
      <c r="L87" s="22" t="n">
        <f aca="false">E87-F87-G87-H87-I87-J87-K87</f>
        <v>1689.89078129524</v>
      </c>
      <c r="M87" s="22" t="n">
        <f aca="false">($A87=Premissas!$C$18)*Premissas!$C$26*Premissas!$C$60</f>
        <v>0</v>
      </c>
      <c r="N87" s="22" t="n">
        <f aca="false">IF(AND($A87&gt;=Premissas!$C$18,$A87&lt;Premissas!$C$20),Premissas!$C$27/MAX(1,Premissas!$C$19),0)</f>
        <v>0</v>
      </c>
      <c r="O87" s="22" t="n">
        <f aca="false">IF($A87&gt;=Premissas!$C$18,Premissas!$C$60*(1+Premissas!$C$59)^((YEAR($A87)-YEAR(Premissas!$C$18))*12+MONTH($A87)-MONTH(Premissas!$C$18)),"")</f>
        <v>480448.251862302</v>
      </c>
      <c r="P87" s="31" t="n">
        <f aca="false">(1+IF(YEAR($A87)&lt;=2026,Premissas!$C$49,IF(YEAR($A87)=2027,Premissas!$C$50,IF(YEAR($A87)=2028,Premissas!$C$51,Premissas!$C$52)))*(1-Premissas!$C$53))^(1/12)-1</f>
        <v>0.00682149336596227</v>
      </c>
      <c r="Q87" s="22" t="n">
        <f aca="false">($A87=Premissas!$C$16)*Premissas!$C$13</f>
        <v>0</v>
      </c>
      <c r="R87" s="22" t="n">
        <f aca="false">L87-M87-N87-Q87</f>
        <v>1689.89078129524</v>
      </c>
      <c r="S87" s="22" t="n">
        <f aca="false">S86+R87</f>
        <v>-251593.644461927</v>
      </c>
      <c r="T87" s="22" t="n">
        <f aca="false">IF($A87&gt;=Premissas!$C$18,O87*(1-Premissas!$C$45)-Premissas!$C$46*MAX(0,O87*(1-Premissas!$C$45)-(SUM($Q$5:$Q$355)+Premissas!$C$26*Premissas!$C$60)),"")</f>
        <v>423848.161584726</v>
      </c>
      <c r="U87" s="22" t="n">
        <f aca="false">IF($A87&gt;=Premissas!$C$18,S87+T87,"")</f>
        <v>172254.517122798</v>
      </c>
      <c r="V87" s="22" t="n">
        <f aca="false">V86*(1+$P87)-R87</f>
        <v>462197.794668012</v>
      </c>
      <c r="W87" s="22" t="n">
        <f aca="false">($A87=Premissas!$C$16)*Premissas!$C$9</f>
        <v>0</v>
      </c>
      <c r="X87" s="22" t="n">
        <f aca="false">L87-M87-N87-W87</f>
        <v>1689.89078129524</v>
      </c>
      <c r="Y87" s="22" t="n">
        <f aca="false">Y86+X87</f>
        <v>-282521.644461927</v>
      </c>
      <c r="Z87" s="22" t="n">
        <f aca="false">IF($A87&gt;=Premissas!$C$18,O87*(1-Premissas!$C$45)-Premissas!$C$46*MAX(0,O87*(1-Premissas!$C$45)-(SUM($W$5:$W$355)+Premissas!$C$26*Premissas!$C$60)),"")</f>
        <v>428487.361584726</v>
      </c>
      <c r="AA87" s="22" t="n">
        <f aca="false">IF($A87&gt;=Premissas!$C$18,Y87+Z87,"")</f>
        <v>145965.717122798</v>
      </c>
      <c r="AB87" s="22" t="n">
        <f aca="false">AB86*(1+$P87)-X87</f>
        <v>517980.687657131</v>
      </c>
      <c r="AC87" s="22" t="n">
        <f aca="false">AND($A87&gt;=Premissas!$C$16,$A87&lt;EDATE(Premissas!$C$16,3))*Premissas!$C$10/3*(1+Premissas!$C$56)^$C87</f>
        <v>0</v>
      </c>
      <c r="AD87" s="22" t="n">
        <f aca="false">L87-M87-N87-AC87</f>
        <v>1689.89078129524</v>
      </c>
      <c r="AE87" s="22" t="n">
        <f aca="false">AE86+AD87</f>
        <v>-290142.108341952</v>
      </c>
      <c r="AF87" s="22" t="n">
        <f aca="false">IF($A87&gt;=Premissas!$C$18,O87*(1-Premissas!$C$45)-Premissas!$C$46*MAX(0,O87*(1-Premissas!$C$45)-(SUM($AC$5:$AC$355)+Premissas!$C$26*Premissas!$C$60)),"")</f>
        <v>429630.431166729</v>
      </c>
      <c r="AG87" s="22" t="n">
        <f aca="false">IF($A87&gt;=Premissas!$C$18,AE87+AF87,"")</f>
        <v>139488.322824777</v>
      </c>
      <c r="AH87" s="22" t="n">
        <f aca="false">AH86*(1+$P87)-AD87</f>
        <v>526872.437762321</v>
      </c>
      <c r="AI87" s="22" t="n">
        <f aca="false">($A87=Premissas!$C$16)*0.2*Premissas!$C$11+AND($A87&gt;Premissas!$C$16,$A87&lt;=EDATE(Premissas!$C$16,43))*0.8*Premissas!$C$11/43*(1+Premissas!$C$56)^$C87</f>
        <v>0</v>
      </c>
      <c r="AJ87" s="22" t="n">
        <f aca="false">L87-M87-N87-AI87</f>
        <v>1689.89078129524</v>
      </c>
      <c r="AK87" s="22" t="n">
        <f aca="false">AK86+AJ87</f>
        <v>-336006.593760014</v>
      </c>
      <c r="AL87" s="22" t="n">
        <f aca="false">IF($A87&gt;=Premissas!$C$18,O87*(1-Premissas!$C$45)-Premissas!$C$46*MAX(0,O87*(1-Premissas!$C$45)-(SUM($AI$5:$AI$355)+Premissas!$C$26*Premissas!$C$60)),"")</f>
        <v>436510.103979439</v>
      </c>
      <c r="AM87" s="22" t="n">
        <f aca="false">IF($A87&gt;=Premissas!$C$18,AK87+AL87,"")</f>
        <v>100503.510219425</v>
      </c>
      <c r="AN87" s="22" t="n">
        <f aca="false">AN86*(1+$P87)-AJ87</f>
        <v>535168.949676141</v>
      </c>
      <c r="AO87" s="22" t="n">
        <f aca="false">V87+S87</f>
        <v>210604.150206085</v>
      </c>
    </row>
    <row r="88" customFormat="false" ht="15" hidden="false" customHeight="false" outlineLevel="0" collapsed="false">
      <c r="A88" s="26" t="n">
        <f aca="false">DATE(YEAR(A87),MONTH(A87)+1,1)</f>
        <v>48823</v>
      </c>
      <c r="B88" s="22" t="str">
        <f aca="false">IF($A88&lt;Premissas!$C$18,"Obra",IF($A88&lt;Premissas!$C$20,"Entrega/mobília","Airbnb"))</f>
        <v>Airbnb</v>
      </c>
      <c r="C88" s="36" t="n">
        <f aca="false">(YEAR($A88)-YEAR(Premissas!$C$16))*12+MONTH($A88)-MONTH(Premissas!$C$16)</f>
        <v>83</v>
      </c>
      <c r="D88" s="33" t="n">
        <f aca="false">IF($A88&gt;=Premissas!$C$20,Premissas!$C$31*IF(((YEAR($A88)-YEAR(Premissas!$C$20))*12+MONTH($A88)-MONTH(Premissas!$C$20))&lt;Premissas!$C$33,Premissas!$C$34,1),0)</f>
        <v>0.62</v>
      </c>
      <c r="E88" s="22" t="n">
        <f aca="false">D88*Premissas!$C$30*Premissas!$C$32*(1+Premissas!$C$58)^$C88</f>
        <v>6099.11585523516</v>
      </c>
      <c r="F88" s="22" t="n">
        <f aca="false">E88*Premissas!$C$35</f>
        <v>975.858536837625</v>
      </c>
      <c r="G88" s="22" t="n">
        <f aca="false">E88*Premissas!$C$36</f>
        <v>1219.82317104703</v>
      </c>
      <c r="H88" s="22" t="n">
        <f aca="false">IF($A88&gt;=Premissas!$C$18,Premissas!$C$37*(1+Premissas!$C$58)^$C88,0)</f>
        <v>786.982690998085</v>
      </c>
      <c r="I88" s="22" t="n">
        <f aca="false">IF($A88&gt;=Premissas!$C$20,Premissas!$C$38*(1+Premissas!$C$58)^$C88,0)</f>
        <v>367.25858913244</v>
      </c>
      <c r="J88" s="22" t="n">
        <f aca="false">IF($A88&gt;=Premissas!$C$20,Premissas!$C$39*(1+Premissas!$C$58)^$C88,0)</f>
        <v>196.745672749521</v>
      </c>
      <c r="K88" s="22" t="n">
        <f aca="false">IF($A88&gt;=Premissas!$C$20,MAX(0,E88-F88-G88-H88)*Premissas!$C$41,0)</f>
        <v>857.024150496915</v>
      </c>
      <c r="L88" s="22" t="n">
        <f aca="false">E88-F88-G88-H88-I88-J88-K88</f>
        <v>1695.42304397354</v>
      </c>
      <c r="M88" s="22" t="n">
        <f aca="false">($A88=Premissas!$C$18)*Premissas!$C$26*Premissas!$C$60</f>
        <v>0</v>
      </c>
      <c r="N88" s="22" t="n">
        <f aca="false">IF(AND($A88&gt;=Premissas!$C$18,$A88&lt;Premissas!$C$20),Premissas!$C$27/MAX(1,Premissas!$C$19),0)</f>
        <v>0</v>
      </c>
      <c r="O88" s="22" t="n">
        <f aca="false">IF($A88&gt;=Premissas!$C$18,Premissas!$C$60*(1+Premissas!$C$59)^((YEAR($A88)-YEAR(Premissas!$C$18))*12+MONTH($A88)-MONTH(Premissas!$C$18)),"")</f>
        <v>482405.657512027</v>
      </c>
      <c r="P88" s="31" t="n">
        <f aca="false">(1+IF(YEAR($A88)&lt;=2026,Premissas!$C$49,IF(YEAR($A88)=2027,Premissas!$C$50,IF(YEAR($A88)=2028,Premissas!$C$51,Premissas!$C$52)))*(1-Premissas!$C$53))^(1/12)-1</f>
        <v>0.00682149336596227</v>
      </c>
      <c r="Q88" s="22" t="n">
        <f aca="false">($A88=Premissas!$C$16)*Premissas!$C$13</f>
        <v>0</v>
      </c>
      <c r="R88" s="22" t="n">
        <f aca="false">L88-M88-N88-Q88</f>
        <v>1695.42304397354</v>
      </c>
      <c r="S88" s="22" t="n">
        <f aca="false">S87+R88</f>
        <v>-249898.221417954</v>
      </c>
      <c r="T88" s="22" t="n">
        <f aca="false">IF($A88&gt;=Premissas!$C$18,O88*(1-Premissas!$C$45)-Premissas!$C$46*MAX(0,O88*(1-Premissas!$C$45)-(SUM($Q$5:$Q$355)+Premissas!$C$26*Premissas!$C$60)),"")</f>
        <v>425412.128698856</v>
      </c>
      <c r="U88" s="22" t="n">
        <f aca="false">IF($A88&gt;=Premissas!$C$18,S88+T88,"")</f>
        <v>175513.907280902</v>
      </c>
      <c r="V88" s="22" t="n">
        <f aca="false">V87*(1+$P88)-R88</f>
        <v>463655.250814128</v>
      </c>
      <c r="W88" s="22" t="n">
        <f aca="false">($A88=Premissas!$C$16)*Premissas!$C$9</f>
        <v>0</v>
      </c>
      <c r="X88" s="22" t="n">
        <f aca="false">L88-M88-N88-W88</f>
        <v>1695.42304397354</v>
      </c>
      <c r="Y88" s="22" t="n">
        <f aca="false">Y87+X88</f>
        <v>-280826.221417954</v>
      </c>
      <c r="Z88" s="22" t="n">
        <f aca="false">IF($A88&gt;=Premissas!$C$18,O88*(1-Premissas!$C$45)-Premissas!$C$46*MAX(0,O88*(1-Premissas!$C$45)-(SUM($W$5:$W$355)+Premissas!$C$26*Premissas!$C$60)),"")</f>
        <v>430051.328698856</v>
      </c>
      <c r="AA88" s="22" t="n">
        <f aca="false">IF($A88&gt;=Premissas!$C$18,Y88+Z88,"")</f>
        <v>149225.107280902</v>
      </c>
      <c r="AB88" s="22" t="n">
        <f aca="false">AB87*(1+$P88)-X88</f>
        <v>519818.666437708</v>
      </c>
      <c r="AC88" s="22" t="n">
        <f aca="false">AND($A88&gt;=Premissas!$C$16,$A88&lt;EDATE(Premissas!$C$16,3))*Premissas!$C$10/3*(1+Premissas!$C$56)^$C88</f>
        <v>0</v>
      </c>
      <c r="AD88" s="22" t="n">
        <f aca="false">L88-M88-N88-AC88</f>
        <v>1695.42304397354</v>
      </c>
      <c r="AE88" s="22" t="n">
        <f aca="false">AE87+AD88</f>
        <v>-288446.685297978</v>
      </c>
      <c r="AF88" s="22" t="n">
        <f aca="false">IF($A88&gt;=Premissas!$C$18,O88*(1-Premissas!$C$45)-Premissas!$C$46*MAX(0,O88*(1-Premissas!$C$45)-(SUM($AC$5:$AC$355)+Premissas!$C$26*Premissas!$C$60)),"")</f>
        <v>431194.398280859</v>
      </c>
      <c r="AG88" s="22" t="n">
        <f aca="false">IF($A88&gt;=Premissas!$C$18,AE88+AF88,"")</f>
        <v>142747.712982881</v>
      </c>
      <c r="AH88" s="22" t="n">
        <f aca="false">AH87*(1+$P88)-AD88</f>
        <v>528771.071557252</v>
      </c>
      <c r="AI88" s="22" t="n">
        <f aca="false">($A88=Premissas!$C$16)*0.2*Premissas!$C$11+AND($A88&gt;Premissas!$C$16,$A88&lt;=EDATE(Premissas!$C$16,43))*0.8*Premissas!$C$11/43*(1+Premissas!$C$56)^$C88</f>
        <v>0</v>
      </c>
      <c r="AJ88" s="22" t="n">
        <f aca="false">L88-M88-N88-AI88</f>
        <v>1695.42304397354</v>
      </c>
      <c r="AK88" s="22" t="n">
        <f aca="false">AK87+AJ88</f>
        <v>-334311.17071604</v>
      </c>
      <c r="AL88" s="22" t="n">
        <f aca="false">IF($A88&gt;=Premissas!$C$18,O88*(1-Premissas!$C$45)-Premissas!$C$46*MAX(0,O88*(1-Premissas!$C$45)-(SUM($AI$5:$AI$355)+Premissas!$C$26*Premissas!$C$60)),"")</f>
        <v>438074.071093569</v>
      </c>
      <c r="AM88" s="22" t="n">
        <f aca="false">IF($A88&gt;=Premissas!$C$18,AK88+AL88,"")</f>
        <v>103762.900377528</v>
      </c>
      <c r="AN88" s="22" t="n">
        <f aca="false">AN87*(1+$P88)-AJ88</f>
        <v>537124.178072052</v>
      </c>
      <c r="AO88" s="22" t="n">
        <f aca="false">V88+S88</f>
        <v>213757.029396175</v>
      </c>
    </row>
    <row r="89" customFormat="false" ht="15" hidden="false" customHeight="false" outlineLevel="0" collapsed="false">
      <c r="A89" s="26" t="n">
        <f aca="false">DATE(YEAR(A88),MONTH(A88)+1,1)</f>
        <v>48853</v>
      </c>
      <c r="B89" s="22" t="str">
        <f aca="false">IF($A89&lt;Premissas!$C$18,"Obra",IF($A89&lt;Premissas!$C$20,"Entrega/mobília","Airbnb"))</f>
        <v>Airbnb</v>
      </c>
      <c r="C89" s="36" t="n">
        <f aca="false">(YEAR($A89)-YEAR(Premissas!$C$16))*12+MONTH($A89)-MONTH(Premissas!$C$16)</f>
        <v>84</v>
      </c>
      <c r="D89" s="33" t="n">
        <f aca="false">IF($A89&gt;=Premissas!$C$20,Premissas!$C$31*IF(((YEAR($A89)-YEAR(Premissas!$C$20))*12+MONTH($A89)-MONTH(Premissas!$C$20))&lt;Premissas!$C$33,Premissas!$C$34,1),0)</f>
        <v>0.62</v>
      </c>
      <c r="E89" s="22" t="n">
        <f aca="false">D89*Premissas!$C$30*Premissas!$C$32*(1+Premissas!$C$58)^$C89</f>
        <v>6119.08277344668</v>
      </c>
      <c r="F89" s="22" t="n">
        <f aca="false">E89*Premissas!$C$35</f>
        <v>979.053243751469</v>
      </c>
      <c r="G89" s="22" t="n">
        <f aca="false">E89*Premissas!$C$36</f>
        <v>1223.81655468934</v>
      </c>
      <c r="H89" s="22" t="n">
        <f aca="false">IF($A89&gt;=Premissas!$C$18,Premissas!$C$37*(1+Premissas!$C$58)^$C89,0)</f>
        <v>789.559067541507</v>
      </c>
      <c r="I89" s="22" t="n">
        <f aca="false">IF($A89&gt;=Premissas!$C$20,Premissas!$C$38*(1+Premissas!$C$58)^$C89,0)</f>
        <v>368.460898186037</v>
      </c>
      <c r="J89" s="22" t="n">
        <f aca="false">IF($A89&gt;=Premissas!$C$20,Premissas!$C$39*(1+Premissas!$C$58)^$C89,0)</f>
        <v>197.389766885377</v>
      </c>
      <c r="K89" s="22" t="n">
        <f aca="false">IF($A89&gt;=Premissas!$C$20,MAX(0,E89-F89-G89-H89)*Premissas!$C$41,0)</f>
        <v>859.829824552701</v>
      </c>
      <c r="L89" s="22" t="n">
        <f aca="false">E89-F89-G89-H89-I89-J89-K89</f>
        <v>1700.97341784025</v>
      </c>
      <c r="M89" s="22" t="n">
        <f aca="false">($A89=Premissas!$C$18)*Premissas!$C$26*Premissas!$C$60</f>
        <v>0</v>
      </c>
      <c r="N89" s="22" t="n">
        <f aca="false">IF(AND($A89&gt;=Premissas!$C$18,$A89&lt;Premissas!$C$20),Premissas!$C$27/MAX(1,Premissas!$C$19),0)</f>
        <v>0</v>
      </c>
      <c r="O89" s="22" t="n">
        <f aca="false">IF($A89&gt;=Premissas!$C$18,Premissas!$C$60*(1+Premissas!$C$59)^((YEAR($A89)-YEAR(Premissas!$C$18))*12+MONTH($A89)-MONTH(Premissas!$C$18)),"")</f>
        <v>484371.037874663</v>
      </c>
      <c r="P89" s="31" t="n">
        <f aca="false">(1+IF(YEAR($A89)&lt;=2026,Premissas!$C$49,IF(YEAR($A89)=2027,Premissas!$C$50,IF(YEAR($A89)=2028,Premissas!$C$51,Premissas!$C$52)))*(1-Premissas!$C$53))^(1/12)-1</f>
        <v>0.00682149336596227</v>
      </c>
      <c r="Q89" s="22" t="n">
        <f aca="false">($A89=Premissas!$C$16)*Premissas!$C$13</f>
        <v>0</v>
      </c>
      <c r="R89" s="22" t="n">
        <f aca="false">L89-M89-N89-Q89</f>
        <v>1700.97341784025</v>
      </c>
      <c r="S89" s="22" t="n">
        <f aca="false">S88+R89</f>
        <v>-248197.248000113</v>
      </c>
      <c r="T89" s="22" t="n">
        <f aca="false">IF($A89&gt;=Premissas!$C$18,O89*(1-Premissas!$C$45)-Premissas!$C$46*MAX(0,O89*(1-Premissas!$C$45)-(SUM($Q$5:$Q$355)+Premissas!$C$26*Premissas!$C$60)),"")</f>
        <v>426982.467608602</v>
      </c>
      <c r="U89" s="22" t="n">
        <f aca="false">IF($A89&gt;=Premissas!$C$18,S89+T89,"")</f>
        <v>178785.219608488</v>
      </c>
      <c r="V89" s="22" t="n">
        <f aca="false">V88*(1+$P89)-R89</f>
        <v>465117.09861381</v>
      </c>
      <c r="W89" s="22" t="n">
        <f aca="false">($A89=Premissas!$C$16)*Premissas!$C$9</f>
        <v>0</v>
      </c>
      <c r="X89" s="22" t="n">
        <f aca="false">L89-M89-N89-W89</f>
        <v>1700.97341784025</v>
      </c>
      <c r="Y89" s="22" t="n">
        <f aca="false">Y88+X89</f>
        <v>-279125.248000113</v>
      </c>
      <c r="Z89" s="22" t="n">
        <f aca="false">IF($A89&gt;=Premissas!$C$18,O89*(1-Premissas!$C$45)-Premissas!$C$46*MAX(0,O89*(1-Premissas!$C$45)-(SUM($W$5:$W$355)+Premissas!$C$26*Premissas!$C$60)),"")</f>
        <v>431621.667608602</v>
      </c>
      <c r="AA89" s="22" t="n">
        <f aca="false">IF($A89&gt;=Premissas!$C$18,Y89+Z89,"")</f>
        <v>152496.419608489</v>
      </c>
      <c r="AB89" s="22" t="n">
        <f aca="false">AB88*(1+$P89)-X89</f>
        <v>521663.632604476</v>
      </c>
      <c r="AC89" s="22" t="n">
        <f aca="false">AND($A89&gt;=Premissas!$C$16,$A89&lt;EDATE(Premissas!$C$16,3))*Premissas!$C$10/3*(1+Premissas!$C$56)^$C89</f>
        <v>0</v>
      </c>
      <c r="AD89" s="22" t="n">
        <f aca="false">L89-M89-N89-AC89</f>
        <v>1700.97341784025</v>
      </c>
      <c r="AE89" s="22" t="n">
        <f aca="false">AE88+AD89</f>
        <v>-286745.711880138</v>
      </c>
      <c r="AF89" s="22" t="n">
        <f aca="false">IF($A89&gt;=Premissas!$C$18,O89*(1-Premissas!$C$45)-Premissas!$C$46*MAX(0,O89*(1-Premissas!$C$45)-(SUM($AC$5:$AC$355)+Premissas!$C$26*Premissas!$C$60)),"")</f>
        <v>432764.737190606</v>
      </c>
      <c r="AG89" s="22" t="n">
        <f aca="false">IF($A89&gt;=Premissas!$C$18,AE89+AF89,"")</f>
        <v>146019.025310467</v>
      </c>
      <c r="AH89" s="22" t="n">
        <f aca="false">AH88*(1+$P89)-AD89</f>
        <v>530677.106496152</v>
      </c>
      <c r="AI89" s="22" t="n">
        <f aca="false">($A89=Premissas!$C$16)*0.2*Premissas!$C$11+AND($A89&gt;Premissas!$C$16,$A89&lt;=EDATE(Premissas!$C$16,43))*0.8*Premissas!$C$11/43*(1+Premissas!$C$56)^$C89</f>
        <v>0</v>
      </c>
      <c r="AJ89" s="22" t="n">
        <f aca="false">L89-M89-N89-AI89</f>
        <v>1700.97341784025</v>
      </c>
      <c r="AK89" s="22" t="n">
        <f aca="false">AK88+AJ89</f>
        <v>-332610.1972982</v>
      </c>
      <c r="AL89" s="22" t="n">
        <f aca="false">IF($A89&gt;=Premissas!$C$18,O89*(1-Premissas!$C$45)-Premissas!$C$46*MAX(0,O89*(1-Premissas!$C$45)-(SUM($AI$5:$AI$355)+Premissas!$C$26*Premissas!$C$60)),"")</f>
        <v>439644.410003315</v>
      </c>
      <c r="AM89" s="22" t="n">
        <f aca="false">IF($A89&gt;=Premissas!$C$18,AK89+AL89,"")</f>
        <v>107034.212705115</v>
      </c>
      <c r="AN89" s="22" t="n">
        <f aca="false">AN88*(1+$P89)-AJ89</f>
        <v>539087.193671629</v>
      </c>
      <c r="AO89" s="22" t="n">
        <f aca="false">V89+S89</f>
        <v>216919.850613697</v>
      </c>
    </row>
    <row r="90" customFormat="false" ht="15" hidden="false" customHeight="false" outlineLevel="0" collapsed="false">
      <c r="A90" s="26" t="n">
        <f aca="false">DATE(YEAR(A89),MONTH(A89)+1,1)</f>
        <v>48884</v>
      </c>
      <c r="B90" s="22" t="str">
        <f aca="false">IF($A90&lt;Premissas!$C$18,"Obra",IF($A90&lt;Premissas!$C$20,"Entrega/mobília","Airbnb"))</f>
        <v>Airbnb</v>
      </c>
      <c r="C90" s="36" t="n">
        <f aca="false">(YEAR($A90)-YEAR(Premissas!$C$16))*12+MONTH($A90)-MONTH(Premissas!$C$16)</f>
        <v>85</v>
      </c>
      <c r="D90" s="33" t="n">
        <f aca="false">IF($A90&gt;=Premissas!$C$20,Premissas!$C$31*IF(((YEAR($A90)-YEAR(Premissas!$C$20))*12+MONTH($A90)-MONTH(Premissas!$C$20))&lt;Premissas!$C$33,Premissas!$C$34,1),0)</f>
        <v>0.62</v>
      </c>
      <c r="E90" s="22" t="n">
        <f aca="false">D90*Premissas!$C$30*Premissas!$C$32*(1+Premissas!$C$58)^$C90</f>
        <v>6139.11505815268</v>
      </c>
      <c r="F90" s="22" t="n">
        <f aca="false">E90*Premissas!$C$35</f>
        <v>982.258409304429</v>
      </c>
      <c r="G90" s="22" t="n">
        <f aca="false">E90*Premissas!$C$36</f>
        <v>1227.82301163054</v>
      </c>
      <c r="H90" s="22" t="n">
        <f aca="false">IF($A90&gt;=Premissas!$C$18,Premissas!$C$37*(1+Premissas!$C$58)^$C90,0)</f>
        <v>792.143878471314</v>
      </c>
      <c r="I90" s="22" t="n">
        <f aca="false">IF($A90&gt;=Premissas!$C$20,Premissas!$C$38*(1+Premissas!$C$58)^$C90,0)</f>
        <v>369.667143286613</v>
      </c>
      <c r="J90" s="22" t="n">
        <f aca="false">IF($A90&gt;=Premissas!$C$20,Premissas!$C$39*(1+Premissas!$C$58)^$C90,0)</f>
        <v>198.035969617828</v>
      </c>
      <c r="K90" s="22" t="n">
        <f aca="false">IF($A90&gt;=Premissas!$C$20,MAX(0,E90-F90-G90-H90)*Premissas!$C$41,0)</f>
        <v>862.644683655261</v>
      </c>
      <c r="L90" s="22" t="n">
        <f aca="false">E90-F90-G90-H90-I90-J90-K90</f>
        <v>1706.5419621867</v>
      </c>
      <c r="M90" s="22" t="n">
        <f aca="false">($A90=Premissas!$C$18)*Premissas!$C$26*Premissas!$C$60</f>
        <v>0</v>
      </c>
      <c r="N90" s="22" t="n">
        <f aca="false">IF(AND($A90&gt;=Premissas!$C$18,$A90&lt;Premissas!$C$20),Premissas!$C$27/MAX(1,Premissas!$C$19),0)</f>
        <v>0</v>
      </c>
      <c r="O90" s="22" t="n">
        <f aca="false">IF($A90&gt;=Premissas!$C$18,Premissas!$C$60*(1+Premissas!$C$59)^((YEAR($A90)-YEAR(Premissas!$C$18))*12+MONTH($A90)-MONTH(Premissas!$C$18)),"")</f>
        <v>486344.425440179</v>
      </c>
      <c r="P90" s="31" t="n">
        <f aca="false">(1+IF(YEAR($A90)&lt;=2026,Premissas!$C$49,IF(YEAR($A90)=2027,Premissas!$C$50,IF(YEAR($A90)=2028,Premissas!$C$51,Premissas!$C$52)))*(1-Premissas!$C$53))^(1/12)-1</f>
        <v>0.00682149336596227</v>
      </c>
      <c r="Q90" s="22" t="n">
        <f aca="false">($A90=Premissas!$C$16)*Premissas!$C$13</f>
        <v>0</v>
      </c>
      <c r="R90" s="22" t="n">
        <f aca="false">L90-M90-N90-Q90</f>
        <v>1706.5419621867</v>
      </c>
      <c r="S90" s="22" t="n">
        <f aca="false">S89+R90</f>
        <v>-246490.706037927</v>
      </c>
      <c r="T90" s="22" t="n">
        <f aca="false">IF($A90&gt;=Premissas!$C$18,O90*(1-Premissas!$C$45)-Premissas!$C$46*MAX(0,O90*(1-Premissas!$C$45)-(SUM($Q$5:$Q$355)+Premissas!$C$26*Premissas!$C$60)),"")</f>
        <v>428559.204273449</v>
      </c>
      <c r="U90" s="22" t="n">
        <f aca="false">IF($A90&gt;=Premissas!$C$18,S90+T90,"")</f>
        <v>182068.498235522</v>
      </c>
      <c r="V90" s="22" t="n">
        <f aca="false">V89*(1+$P90)-R90</f>
        <v>466583.349854213</v>
      </c>
      <c r="W90" s="22" t="n">
        <f aca="false">($A90=Premissas!$C$16)*Premissas!$C$9</f>
        <v>0</v>
      </c>
      <c r="X90" s="22" t="n">
        <f aca="false">L90-M90-N90-W90</f>
        <v>1706.5419621867</v>
      </c>
      <c r="Y90" s="22" t="n">
        <f aca="false">Y89+X90</f>
        <v>-277418.706037927</v>
      </c>
      <c r="Z90" s="22" t="n">
        <f aca="false">IF($A90&gt;=Premissas!$C$18,O90*(1-Premissas!$C$45)-Premissas!$C$46*MAX(0,O90*(1-Premissas!$C$45)-(SUM($W$5:$W$355)+Premissas!$C$26*Premissas!$C$60)),"")</f>
        <v>433198.404273449</v>
      </c>
      <c r="AA90" s="22" t="n">
        <f aca="false">IF($A90&gt;=Premissas!$C$18,Y90+Z90,"")</f>
        <v>155779.698235522</v>
      </c>
      <c r="AB90" s="22" t="n">
        <f aca="false">AB89*(1+$P90)-X90</f>
        <v>523515.615651364</v>
      </c>
      <c r="AC90" s="22" t="n">
        <f aca="false">AND($A90&gt;=Premissas!$C$16,$A90&lt;EDATE(Premissas!$C$16,3))*Premissas!$C$10/3*(1+Premissas!$C$56)^$C90</f>
        <v>0</v>
      </c>
      <c r="AD90" s="22" t="n">
        <f aca="false">L90-M90-N90-AC90</f>
        <v>1706.5419621867</v>
      </c>
      <c r="AE90" s="22" t="n">
        <f aca="false">AE89+AD90</f>
        <v>-285039.169917951</v>
      </c>
      <c r="AF90" s="22" t="n">
        <f aca="false">IF($A90&gt;=Premissas!$C$18,O90*(1-Premissas!$C$45)-Premissas!$C$46*MAX(0,O90*(1-Premissas!$C$45)-(SUM($AC$5:$AC$355)+Premissas!$C$26*Premissas!$C$60)),"")</f>
        <v>434341.473855453</v>
      </c>
      <c r="AG90" s="22" t="n">
        <f aca="false">IF($A90&gt;=Premissas!$C$18,AE90+AF90,"")</f>
        <v>149302.303937501</v>
      </c>
      <c r="AH90" s="22" t="n">
        <f aca="false">AH89*(1+$P90)-AD90</f>
        <v>532590.574895397</v>
      </c>
      <c r="AI90" s="22" t="n">
        <f aca="false">($A90=Premissas!$C$16)*0.2*Premissas!$C$11+AND($A90&gt;Premissas!$C$16,$A90&lt;=EDATE(Premissas!$C$16,43))*0.8*Premissas!$C$11/43*(1+Premissas!$C$56)^$C90</f>
        <v>0</v>
      </c>
      <c r="AJ90" s="22" t="n">
        <f aca="false">L90-M90-N90-AI90</f>
        <v>1706.5419621867</v>
      </c>
      <c r="AK90" s="22" t="n">
        <f aca="false">AK89+AJ90</f>
        <v>-330903.655336013</v>
      </c>
      <c r="AL90" s="22" t="n">
        <f aca="false">IF($A90&gt;=Premissas!$C$18,O90*(1-Premissas!$C$45)-Premissas!$C$46*MAX(0,O90*(1-Premissas!$C$45)-(SUM($AI$5:$AI$355)+Premissas!$C$26*Premissas!$C$60)),"")</f>
        <v>441221.146668162</v>
      </c>
      <c r="AM90" s="22" t="n">
        <f aca="false">IF($A90&gt;=Premissas!$C$18,AK90+AL90,"")</f>
        <v>110317.491332148</v>
      </c>
      <c r="AN90" s="22" t="n">
        <f aca="false">AN89*(1+$P90)-AJ90</f>
        <v>541058.031424748</v>
      </c>
      <c r="AO90" s="22" t="n">
        <f aca="false">V90+S90</f>
        <v>220092.643816287</v>
      </c>
    </row>
    <row r="91" customFormat="false" ht="15" hidden="false" customHeight="false" outlineLevel="0" collapsed="false">
      <c r="A91" s="26" t="n">
        <f aca="false">DATE(YEAR(A90),MONTH(A90)+1,1)</f>
        <v>48914</v>
      </c>
      <c r="B91" s="22" t="str">
        <f aca="false">IF($A91&lt;Premissas!$C$18,"Obra",IF($A91&lt;Premissas!$C$20,"Entrega/mobília","Airbnb"))</f>
        <v>Airbnb</v>
      </c>
      <c r="C91" s="36" t="n">
        <f aca="false">(YEAR($A91)-YEAR(Premissas!$C$16))*12+MONTH($A91)-MONTH(Premissas!$C$16)</f>
        <v>86</v>
      </c>
      <c r="D91" s="33" t="n">
        <f aca="false">IF($A91&gt;=Premissas!$C$20,Premissas!$C$31*IF(((YEAR($A91)-YEAR(Premissas!$C$20))*12+MONTH($A91)-MONTH(Premissas!$C$20))&lt;Premissas!$C$33,Premissas!$C$34,1),0)</f>
        <v>0.62</v>
      </c>
      <c r="E91" s="22" t="n">
        <f aca="false">D91*Premissas!$C$30*Premissas!$C$32*(1+Premissas!$C$58)^$C91</f>
        <v>6159.21292334605</v>
      </c>
      <c r="F91" s="22" t="n">
        <f aca="false">E91*Premissas!$C$35</f>
        <v>985.474067735369</v>
      </c>
      <c r="G91" s="22" t="n">
        <f aca="false">E91*Premissas!$C$36</f>
        <v>1231.84258466921</v>
      </c>
      <c r="H91" s="22" t="n">
        <f aca="false">IF($A91&gt;=Premissas!$C$18,Premissas!$C$37*(1+Premissas!$C$58)^$C91,0)</f>
        <v>794.737151399491</v>
      </c>
      <c r="I91" s="22" t="n">
        <f aca="false">IF($A91&gt;=Premissas!$C$20,Premissas!$C$38*(1+Premissas!$C$58)^$C91,0)</f>
        <v>370.877337319762</v>
      </c>
      <c r="J91" s="22" t="n">
        <f aca="false">IF($A91&gt;=Premissas!$C$20,Premissas!$C$39*(1+Premissas!$C$58)^$C91,0)</f>
        <v>198.684287849873</v>
      </c>
      <c r="K91" s="22" t="n">
        <f aca="false">IF($A91&gt;=Premissas!$C$20,MAX(0,E91-F91-G91-H91)*Premissas!$C$41,0)</f>
        <v>865.468757874046</v>
      </c>
      <c r="L91" s="22" t="n">
        <f aca="false">E91-F91-G91-H91-I91-J91-K91</f>
        <v>1712.1287364983</v>
      </c>
      <c r="M91" s="22" t="n">
        <f aca="false">($A91=Premissas!$C$18)*Premissas!$C$26*Premissas!$C$60</f>
        <v>0</v>
      </c>
      <c r="N91" s="22" t="n">
        <f aca="false">IF(AND($A91&gt;=Premissas!$C$18,$A91&lt;Premissas!$C$20),Premissas!$C$27/MAX(1,Premissas!$C$19),0)</f>
        <v>0</v>
      </c>
      <c r="O91" s="22" t="n">
        <f aca="false">IF($A91&gt;=Premissas!$C$18,Premissas!$C$60*(1+Premissas!$C$59)^((YEAR($A91)-YEAR(Premissas!$C$18))*12+MONTH($A91)-MONTH(Premissas!$C$18)),"")</f>
        <v>488325.852830909</v>
      </c>
      <c r="P91" s="31" t="n">
        <f aca="false">(1+IF(YEAR($A91)&lt;=2026,Premissas!$C$49,IF(YEAR($A91)=2027,Premissas!$C$50,IF(YEAR($A91)=2028,Premissas!$C$51,Premissas!$C$52)))*(1-Premissas!$C$53))^(1/12)-1</f>
        <v>0.00682149336596227</v>
      </c>
      <c r="Q91" s="22" t="n">
        <f aca="false">($A91=Premissas!$C$16)*Premissas!$C$13</f>
        <v>0</v>
      </c>
      <c r="R91" s="22" t="n">
        <f aca="false">L91-M91-N91-Q91</f>
        <v>1712.1287364983</v>
      </c>
      <c r="S91" s="22" t="n">
        <f aca="false">S90+R91</f>
        <v>-244778.577301428</v>
      </c>
      <c r="T91" s="22" t="n">
        <f aca="false">IF($A91&gt;=Premissas!$C$18,O91*(1-Premissas!$C$45)-Premissas!$C$46*MAX(0,O91*(1-Premissas!$C$45)-(SUM($Q$5:$Q$355)+Premissas!$C$26*Premissas!$C$60)),"")</f>
        <v>430142.364758643</v>
      </c>
      <c r="U91" s="22" t="n">
        <f aca="false">IF($A91&gt;=Premissas!$C$18,S91+T91,"")</f>
        <v>185363.787457214</v>
      </c>
      <c r="V91" s="22" t="n">
        <f aca="false">V90*(1+$P91)-R91</f>
        <v>468054.016343414</v>
      </c>
      <c r="W91" s="22" t="n">
        <f aca="false">($A91=Premissas!$C$16)*Premissas!$C$9</f>
        <v>0</v>
      </c>
      <c r="X91" s="22" t="n">
        <f aca="false">L91-M91-N91-W91</f>
        <v>1712.1287364983</v>
      </c>
      <c r="Y91" s="22" t="n">
        <f aca="false">Y90+X91</f>
        <v>-275706.577301428</v>
      </c>
      <c r="Z91" s="22" t="n">
        <f aca="false">IF($A91&gt;=Premissas!$C$18,O91*(1-Premissas!$C$45)-Premissas!$C$46*MAX(0,O91*(1-Premissas!$C$45)-(SUM($W$5:$W$355)+Premissas!$C$26*Premissas!$C$60)),"")</f>
        <v>434781.564758643</v>
      </c>
      <c r="AA91" s="22" t="n">
        <f aca="false">IF($A91&gt;=Premissas!$C$18,Y91+Z91,"")</f>
        <v>159074.987457214</v>
      </c>
      <c r="AB91" s="22" t="n">
        <f aca="false">AB90*(1+$P91)-X91</f>
        <v>525374.645214009</v>
      </c>
      <c r="AC91" s="22" t="n">
        <f aca="false">AND($A91&gt;=Premissas!$C$16,$A91&lt;EDATE(Premissas!$C$16,3))*Premissas!$C$10/3*(1+Premissas!$C$56)^$C91</f>
        <v>0</v>
      </c>
      <c r="AD91" s="22" t="n">
        <f aca="false">L91-M91-N91-AC91</f>
        <v>1712.1287364983</v>
      </c>
      <c r="AE91" s="22" t="n">
        <f aca="false">AE90+AD91</f>
        <v>-283327.041181453</v>
      </c>
      <c r="AF91" s="22" t="n">
        <f aca="false">IF($A91&gt;=Premissas!$C$18,O91*(1-Premissas!$C$45)-Premissas!$C$46*MAX(0,O91*(1-Premissas!$C$45)-(SUM($AC$5:$AC$355)+Premissas!$C$26*Premissas!$C$60)),"")</f>
        <v>435924.634340646</v>
      </c>
      <c r="AG91" s="22" t="n">
        <f aca="false">IF($A91&gt;=Premissas!$C$18,AE91+AF91,"")</f>
        <v>152597.593159193</v>
      </c>
      <c r="AH91" s="22" t="n">
        <f aca="false">AH90*(1+$P91)-AD91</f>
        <v>534511.509232322</v>
      </c>
      <c r="AI91" s="22" t="n">
        <f aca="false">($A91=Premissas!$C$16)*0.2*Premissas!$C$11+AND($A91&gt;Premissas!$C$16,$A91&lt;=EDATE(Premissas!$C$16,43))*0.8*Premissas!$C$11/43*(1+Premissas!$C$56)^$C91</f>
        <v>0</v>
      </c>
      <c r="AJ91" s="22" t="n">
        <f aca="false">L91-M91-N91-AI91</f>
        <v>1712.1287364983</v>
      </c>
      <c r="AK91" s="22" t="n">
        <f aca="false">AK90+AJ91</f>
        <v>-329191.526599515</v>
      </c>
      <c r="AL91" s="22" t="n">
        <f aca="false">IF($A91&gt;=Premissas!$C$18,O91*(1-Premissas!$C$45)-Premissas!$C$46*MAX(0,O91*(1-Premissas!$C$45)-(SUM($AI$5:$AI$355)+Premissas!$C$26*Premissas!$C$60)),"")</f>
        <v>442804.307153356</v>
      </c>
      <c r="AM91" s="22" t="n">
        <f aca="false">IF($A91&gt;=Premissas!$C$18,AK91+AL91,"")</f>
        <v>113612.780553841</v>
      </c>
      <c r="AN91" s="22" t="n">
        <f aca="false">AN90*(1+$P91)-AJ91</f>
        <v>543036.726460214</v>
      </c>
      <c r="AO91" s="22" t="n">
        <f aca="false">V91+S91</f>
        <v>223275.439041986</v>
      </c>
    </row>
    <row r="92" customFormat="false" ht="15" hidden="false" customHeight="false" outlineLevel="0" collapsed="false">
      <c r="A92" s="26" t="n">
        <f aca="false">DATE(YEAR(A91),MONTH(A91)+1,1)</f>
        <v>48945</v>
      </c>
      <c r="B92" s="22" t="str">
        <f aca="false">IF($A92&lt;Premissas!$C$18,"Obra",IF($A92&lt;Premissas!$C$20,"Entrega/mobília","Airbnb"))</f>
        <v>Airbnb</v>
      </c>
      <c r="C92" s="36" t="n">
        <f aca="false">(YEAR($A92)-YEAR(Premissas!$C$16))*12+MONTH($A92)-MONTH(Premissas!$C$16)</f>
        <v>87</v>
      </c>
      <c r="D92" s="33" t="n">
        <f aca="false">IF($A92&gt;=Premissas!$C$20,Premissas!$C$31*IF(((YEAR($A92)-YEAR(Premissas!$C$20))*12+MONTH($A92)-MONTH(Premissas!$C$20))&lt;Premissas!$C$33,Premissas!$C$34,1),0)</f>
        <v>0.62</v>
      </c>
      <c r="E92" s="22" t="n">
        <f aca="false">D92*Premissas!$C$30*Premissas!$C$32*(1+Premissas!$C$58)^$C92</f>
        <v>6179.37658372024</v>
      </c>
      <c r="F92" s="22" t="n">
        <f aca="false">E92*Premissas!$C$35</f>
        <v>988.700253395239</v>
      </c>
      <c r="G92" s="22" t="n">
        <f aca="false">E92*Premissas!$C$36</f>
        <v>1235.87531674405</v>
      </c>
      <c r="H92" s="22" t="n">
        <f aca="false">IF($A92&gt;=Premissas!$C$18,Premissas!$C$37*(1+Premissas!$C$58)^$C92,0)</f>
        <v>797.338914028419</v>
      </c>
      <c r="I92" s="22" t="n">
        <f aca="false">IF($A92&gt;=Premissas!$C$20,Premissas!$C$38*(1+Premissas!$C$58)^$C92,0)</f>
        <v>372.091493213262</v>
      </c>
      <c r="J92" s="22" t="n">
        <f aca="false">IF($A92&gt;=Premissas!$C$20,Premissas!$C$39*(1+Premissas!$C$58)^$C92,0)</f>
        <v>199.334728507105</v>
      </c>
      <c r="K92" s="22" t="n">
        <f aca="false">IF($A92&gt;=Premissas!$C$20,MAX(0,E92-F92-G92-H92)*Premissas!$C$41,0)</f>
        <v>868.302077376948</v>
      </c>
      <c r="L92" s="22" t="n">
        <f aca="false">E92-F92-G92-H92-I92-J92-K92</f>
        <v>1717.73380045522</v>
      </c>
      <c r="M92" s="22" t="n">
        <f aca="false">($A92=Premissas!$C$18)*Premissas!$C$26*Premissas!$C$60</f>
        <v>0</v>
      </c>
      <c r="N92" s="22" t="n">
        <f aca="false">IF(AND($A92&gt;=Premissas!$C$18,$A92&lt;Premissas!$C$20),Premissas!$C$27/MAX(1,Premissas!$C$19),0)</f>
        <v>0</v>
      </c>
      <c r="O92" s="22" t="n">
        <f aca="false">IF($A92&gt;=Premissas!$C$18,Premissas!$C$60*(1+Premissas!$C$59)^((YEAR($A92)-YEAR(Premissas!$C$18))*12+MONTH($A92)-MONTH(Premissas!$C$18)),"")</f>
        <v>490315.352802098</v>
      </c>
      <c r="P92" s="31" t="n">
        <f aca="false">(1+IF(YEAR($A92)&lt;=2026,Premissas!$C$49,IF(YEAR($A92)=2027,Premissas!$C$50,IF(YEAR($A92)=2028,Premissas!$C$51,Premissas!$C$52)))*(1-Premissas!$C$53))^(1/12)-1</f>
        <v>0.00682149336596227</v>
      </c>
      <c r="Q92" s="22" t="n">
        <f aca="false">($A92=Premissas!$C$16)*Premissas!$C$13</f>
        <v>0</v>
      </c>
      <c r="R92" s="22" t="n">
        <f aca="false">L92-M92-N92-Q92</f>
        <v>1717.73380045522</v>
      </c>
      <c r="S92" s="22" t="n">
        <f aca="false">S91+R92</f>
        <v>-243060.843500973</v>
      </c>
      <c r="T92" s="22" t="n">
        <f aca="false">IF($A92&gt;=Premissas!$C$18,O92*(1-Premissas!$C$45)-Premissas!$C$46*MAX(0,O92*(1-Premissas!$C$45)-(SUM($Q$5:$Q$355)+Premissas!$C$26*Premissas!$C$60)),"")</f>
        <v>431731.975235622</v>
      </c>
      <c r="U92" s="22" t="n">
        <f aca="false">IF($A92&gt;=Premissas!$C$18,S92+T92,"")</f>
        <v>188671.131734649</v>
      </c>
      <c r="V92" s="22" t="n">
        <f aca="false">V91*(1+$P92)-R92</f>
        <v>469529.109910357</v>
      </c>
      <c r="W92" s="22" t="n">
        <f aca="false">($A92=Premissas!$C$16)*Premissas!$C$9</f>
        <v>0</v>
      </c>
      <c r="X92" s="22" t="n">
        <f aca="false">L92-M92-N92-W92</f>
        <v>1717.73380045522</v>
      </c>
      <c r="Y92" s="22" t="n">
        <f aca="false">Y91+X92</f>
        <v>-273988.843500973</v>
      </c>
      <c r="Z92" s="22" t="n">
        <f aca="false">IF($A92&gt;=Premissas!$C$18,O92*(1-Premissas!$C$45)-Premissas!$C$46*MAX(0,O92*(1-Premissas!$C$45)-(SUM($W$5:$W$355)+Premissas!$C$26*Premissas!$C$60)),"")</f>
        <v>436371.175235622</v>
      </c>
      <c r="AA92" s="22" t="n">
        <f aca="false">IF($A92&gt;=Premissas!$C$18,Y92+Z92,"")</f>
        <v>162382.331734649</v>
      </c>
      <c r="AB92" s="22" t="n">
        <f aca="false">AB91*(1+$P92)-X92</f>
        <v>527240.751070526</v>
      </c>
      <c r="AC92" s="22" t="n">
        <f aca="false">AND($A92&gt;=Premissas!$C$16,$A92&lt;EDATE(Premissas!$C$16,3))*Premissas!$C$10/3*(1+Premissas!$C$56)^$C92</f>
        <v>0</v>
      </c>
      <c r="AD92" s="22" t="n">
        <f aca="false">L92-M92-N92-AC92</f>
        <v>1717.73380045522</v>
      </c>
      <c r="AE92" s="22" t="n">
        <f aca="false">AE91+AD92</f>
        <v>-281609.307380998</v>
      </c>
      <c r="AF92" s="22" t="n">
        <f aca="false">IF($A92&gt;=Premissas!$C$18,O92*(1-Premissas!$C$45)-Premissas!$C$46*MAX(0,O92*(1-Premissas!$C$45)-(SUM($AC$5:$AC$355)+Premissas!$C$26*Premissas!$C$60)),"")</f>
        <v>437514.244817626</v>
      </c>
      <c r="AG92" s="22" t="n">
        <f aca="false">IF($A92&gt;=Premissas!$C$18,AE92+AF92,"")</f>
        <v>155904.937436628</v>
      </c>
      <c r="AH92" s="22" t="n">
        <f aca="false">AH91*(1+$P92)-AD92</f>
        <v>536439.942146125</v>
      </c>
      <c r="AI92" s="22" t="n">
        <f aca="false">($A92=Premissas!$C$16)*0.2*Premissas!$C$11+AND($A92&gt;Premissas!$C$16,$A92&lt;=EDATE(Premissas!$C$16,43))*0.8*Premissas!$C$11/43*(1+Premissas!$C$56)^$C92</f>
        <v>0</v>
      </c>
      <c r="AJ92" s="22" t="n">
        <f aca="false">L92-M92-N92-AI92</f>
        <v>1717.73380045522</v>
      </c>
      <c r="AK92" s="22" t="n">
        <f aca="false">AK91+AJ92</f>
        <v>-327473.79279906</v>
      </c>
      <c r="AL92" s="22" t="n">
        <f aca="false">IF($A92&gt;=Premissas!$C$18,O92*(1-Premissas!$C$45)-Premissas!$C$46*MAX(0,O92*(1-Premissas!$C$45)-(SUM($AI$5:$AI$355)+Premissas!$C$26*Premissas!$C$60)),"")</f>
        <v>444393.917630335</v>
      </c>
      <c r="AM92" s="22" t="n">
        <f aca="false">IF($A92&gt;=Premissas!$C$18,AK92+AL92,"")</f>
        <v>116920.124831276</v>
      </c>
      <c r="AN92" s="22" t="n">
        <f aca="false">AN91*(1+$P92)-AJ92</f>
        <v>545023.314086781</v>
      </c>
      <c r="AO92" s="22" t="n">
        <f aca="false">V92+S92</f>
        <v>226468.266409384</v>
      </c>
    </row>
    <row r="93" customFormat="false" ht="15" hidden="false" customHeight="false" outlineLevel="0" collapsed="false">
      <c r="A93" s="26" t="n">
        <f aca="false">DATE(YEAR(A92),MONTH(A92)+1,1)</f>
        <v>48976</v>
      </c>
      <c r="B93" s="22" t="str">
        <f aca="false">IF($A93&lt;Premissas!$C$18,"Obra",IF($A93&lt;Premissas!$C$20,"Entrega/mobília","Airbnb"))</f>
        <v>Airbnb</v>
      </c>
      <c r="C93" s="36" t="n">
        <f aca="false">(YEAR($A93)-YEAR(Premissas!$C$16))*12+MONTH($A93)-MONTH(Premissas!$C$16)</f>
        <v>88</v>
      </c>
      <c r="D93" s="33" t="n">
        <f aca="false">IF($A93&gt;=Premissas!$C$20,Premissas!$C$31*IF(((YEAR($A93)-YEAR(Premissas!$C$20))*12+MONTH($A93)-MONTH(Premissas!$C$20))&lt;Premissas!$C$33,Premissas!$C$34,1),0)</f>
        <v>0.62</v>
      </c>
      <c r="E93" s="22" t="n">
        <f aca="false">D93*Premissas!$C$30*Premissas!$C$32*(1+Premissas!$C$58)^$C93</f>
        <v>6199.60625467156</v>
      </c>
      <c r="F93" s="22" t="n">
        <f aca="false">E93*Premissas!$C$35</f>
        <v>991.937000747449</v>
      </c>
      <c r="G93" s="22" t="n">
        <f aca="false">E93*Premissas!$C$36</f>
        <v>1239.92125093431</v>
      </c>
      <c r="H93" s="22" t="n">
        <f aca="false">IF($A93&gt;=Premissas!$C$18,Premissas!$C$37*(1+Premissas!$C$58)^$C93,0)</f>
        <v>799.949194151169</v>
      </c>
      <c r="I93" s="22" t="n">
        <f aca="false">IF($A93&gt;=Premissas!$C$20,Premissas!$C$38*(1+Premissas!$C$58)^$C93,0)</f>
        <v>373.309623937212</v>
      </c>
      <c r="J93" s="22" t="n">
        <f aca="false">IF($A93&gt;=Premissas!$C$20,Premissas!$C$39*(1+Premissas!$C$58)^$C93,0)</f>
        <v>199.987298537792</v>
      </c>
      <c r="K93" s="22" t="n">
        <f aca="false">IF($A93&gt;=Premissas!$C$20,MAX(0,E93-F93-G93-H93)*Premissas!$C$41,0)</f>
        <v>871.144672430623</v>
      </c>
      <c r="L93" s="22" t="n">
        <f aca="false">E93-F93-G93-H93-I93-J93-K93</f>
        <v>1723.357213933</v>
      </c>
      <c r="M93" s="22" t="n">
        <f aca="false">($A93=Premissas!$C$18)*Premissas!$C$26*Premissas!$C$60</f>
        <v>0</v>
      </c>
      <c r="N93" s="22" t="n">
        <f aca="false">IF(AND($A93&gt;=Premissas!$C$18,$A93&lt;Premissas!$C$20),Premissas!$C$27/MAX(1,Premissas!$C$19),0)</f>
        <v>0</v>
      </c>
      <c r="O93" s="22" t="n">
        <f aca="false">IF($A93&gt;=Premissas!$C$18,Premissas!$C$60*(1+Premissas!$C$59)^((YEAR($A93)-YEAR(Premissas!$C$18))*12+MONTH($A93)-MONTH(Premissas!$C$18)),"")</f>
        <v>492312.958242437</v>
      </c>
      <c r="P93" s="31" t="n">
        <f aca="false">(1+IF(YEAR($A93)&lt;=2026,Premissas!$C$49,IF(YEAR($A93)=2027,Premissas!$C$50,IF(YEAR($A93)=2028,Premissas!$C$51,Premissas!$C$52)))*(1-Premissas!$C$53))^(1/12)-1</f>
        <v>0.00682149336596227</v>
      </c>
      <c r="Q93" s="22" t="n">
        <f aca="false">($A93=Premissas!$C$16)*Premissas!$C$13</f>
        <v>0</v>
      </c>
      <c r="R93" s="22" t="n">
        <f aca="false">L93-M93-N93-Q93</f>
        <v>1723.357213933</v>
      </c>
      <c r="S93" s="22" t="n">
        <f aca="false">S92+R93</f>
        <v>-241337.48628704</v>
      </c>
      <c r="T93" s="22" t="n">
        <f aca="false">IF($A93&gt;=Premissas!$C$18,O93*(1-Premissas!$C$45)-Premissas!$C$46*MAX(0,O93*(1-Premissas!$C$45)-(SUM($Q$5:$Q$355)+Premissas!$C$26*Premissas!$C$60)),"")</f>
        <v>433328.061982453</v>
      </c>
      <c r="U93" s="22" t="n">
        <f aca="false">IF($A93&gt;=Premissas!$C$18,S93+T93,"")</f>
        <v>191990.575695413</v>
      </c>
      <c r="V93" s="22" t="n">
        <f aca="false">V92*(1+$P93)-R93</f>
        <v>471008.642404804</v>
      </c>
      <c r="W93" s="22" t="n">
        <f aca="false">($A93=Premissas!$C$16)*Premissas!$C$9</f>
        <v>0</v>
      </c>
      <c r="X93" s="22" t="n">
        <f aca="false">L93-M93-N93-W93</f>
        <v>1723.357213933</v>
      </c>
      <c r="Y93" s="22" t="n">
        <f aca="false">Y92+X93</f>
        <v>-272265.48628704</v>
      </c>
      <c r="Z93" s="22" t="n">
        <f aca="false">IF($A93&gt;=Premissas!$C$18,O93*(1-Premissas!$C$45)-Premissas!$C$46*MAX(0,O93*(1-Premissas!$C$45)-(SUM($W$5:$W$355)+Premissas!$C$26*Premissas!$C$60)),"")</f>
        <v>437967.261982453</v>
      </c>
      <c r="AA93" s="22" t="n">
        <f aca="false">IF($A93&gt;=Premissas!$C$18,Y93+Z93,"")</f>
        <v>165701.775695413</v>
      </c>
      <c r="AB93" s="22" t="n">
        <f aca="false">AB92*(1+$P93)-X93</f>
        <v>529113.963142286</v>
      </c>
      <c r="AC93" s="22" t="n">
        <f aca="false">AND($A93&gt;=Premissas!$C$16,$A93&lt;EDATE(Premissas!$C$16,3))*Premissas!$C$10/3*(1+Premissas!$C$56)^$C93</f>
        <v>0</v>
      </c>
      <c r="AD93" s="22" t="n">
        <f aca="false">L93-M93-N93-AC93</f>
        <v>1723.357213933</v>
      </c>
      <c r="AE93" s="22" t="n">
        <f aca="false">AE92+AD93</f>
        <v>-279885.950167065</v>
      </c>
      <c r="AF93" s="22" t="n">
        <f aca="false">IF($A93&gt;=Premissas!$C$18,O93*(1-Premissas!$C$45)-Premissas!$C$46*MAX(0,O93*(1-Premissas!$C$45)-(SUM($AC$5:$AC$355)+Premissas!$C$26*Premissas!$C$60)),"")</f>
        <v>439110.331564457</v>
      </c>
      <c r="AG93" s="22" t="n">
        <f aca="false">IF($A93&gt;=Premissas!$C$18,AE93+AF93,"")</f>
        <v>159224.381397392</v>
      </c>
      <c r="AH93" s="22" t="n">
        <f aca="false">AH92*(1+$P93)-AD93</f>
        <v>538375.906438779</v>
      </c>
      <c r="AI93" s="22" t="n">
        <f aca="false">($A93=Premissas!$C$16)*0.2*Premissas!$C$11+AND($A93&gt;Premissas!$C$16,$A93&lt;=EDATE(Premissas!$C$16,43))*0.8*Premissas!$C$11/43*(1+Premissas!$C$56)^$C93</f>
        <v>0</v>
      </c>
      <c r="AJ93" s="22" t="n">
        <f aca="false">L93-M93-N93-AI93</f>
        <v>1723.357213933</v>
      </c>
      <c r="AK93" s="22" t="n">
        <f aca="false">AK92+AJ93</f>
        <v>-325750.435585127</v>
      </c>
      <c r="AL93" s="22" t="n">
        <f aca="false">IF($A93&gt;=Premissas!$C$18,O93*(1-Premissas!$C$45)-Premissas!$C$46*MAX(0,O93*(1-Premissas!$C$45)-(SUM($AI$5:$AI$355)+Premissas!$C$26*Premissas!$C$60)),"")</f>
        <v>445990.004377166</v>
      </c>
      <c r="AM93" s="22" t="n">
        <f aca="false">IF($A93&gt;=Premissas!$C$18,AK93+AL93,"")</f>
        <v>120239.568792039</v>
      </c>
      <c r="AN93" s="22" t="n">
        <f aca="false">AN92*(1+$P93)-AJ93</f>
        <v>547017.829794186</v>
      </c>
      <c r="AO93" s="22" t="n">
        <f aca="false">V93+S93</f>
        <v>229671.156117764</v>
      </c>
    </row>
    <row r="94" customFormat="false" ht="15" hidden="false" customHeight="false" outlineLevel="0" collapsed="false">
      <c r="A94" s="26" t="n">
        <f aca="false">DATE(YEAR(A93),MONTH(A93)+1,1)</f>
        <v>49004</v>
      </c>
      <c r="B94" s="22" t="str">
        <f aca="false">IF($A94&lt;Premissas!$C$18,"Obra",IF($A94&lt;Premissas!$C$20,"Entrega/mobília","Airbnb"))</f>
        <v>Airbnb</v>
      </c>
      <c r="C94" s="36" t="n">
        <f aca="false">(YEAR($A94)-YEAR(Premissas!$C$16))*12+MONTH($A94)-MONTH(Premissas!$C$16)</f>
        <v>89</v>
      </c>
      <c r="D94" s="33" t="n">
        <f aca="false">IF($A94&gt;=Premissas!$C$20,Premissas!$C$31*IF(((YEAR($A94)-YEAR(Premissas!$C$20))*12+MONTH($A94)-MONTH(Premissas!$C$20))&lt;Premissas!$C$33,Premissas!$C$34,1),0)</f>
        <v>0.62</v>
      </c>
      <c r="E94" s="22" t="n">
        <f aca="false">D94*Premissas!$C$30*Premissas!$C$32*(1+Premissas!$C$58)^$C94</f>
        <v>6219.90215230145</v>
      </c>
      <c r="F94" s="22" t="n">
        <f aca="false">E94*Premissas!$C$35</f>
        <v>995.184344368232</v>
      </c>
      <c r="G94" s="22" t="n">
        <f aca="false">E94*Premissas!$C$36</f>
        <v>1243.98043046029</v>
      </c>
      <c r="H94" s="22" t="n">
        <f aca="false">IF($A94&gt;=Premissas!$C$18,Premissas!$C$37*(1+Premissas!$C$58)^$C94,0)</f>
        <v>802.5680196518</v>
      </c>
      <c r="I94" s="22" t="n">
        <f aca="false">IF($A94&gt;=Premissas!$C$20,Premissas!$C$38*(1+Premissas!$C$58)^$C94,0)</f>
        <v>374.531742504173</v>
      </c>
      <c r="J94" s="22" t="n">
        <f aca="false">IF($A94&gt;=Premissas!$C$20,Premissas!$C$39*(1+Premissas!$C$58)^$C94,0)</f>
        <v>200.64200491295</v>
      </c>
      <c r="K94" s="22" t="n">
        <f aca="false">IF($A94&gt;=Premissas!$C$20,MAX(0,E94-F94-G94-H94)*Premissas!$C$41,0)</f>
        <v>873.99657340081</v>
      </c>
      <c r="L94" s="22" t="n">
        <f aca="false">E94-F94-G94-H94-I94-J94-K94</f>
        <v>1728.99903700319</v>
      </c>
      <c r="M94" s="22" t="n">
        <f aca="false">($A94=Premissas!$C$18)*Premissas!$C$26*Premissas!$C$60</f>
        <v>0</v>
      </c>
      <c r="N94" s="22" t="n">
        <f aca="false">IF(AND($A94&gt;=Premissas!$C$18,$A94&lt;Premissas!$C$20),Premissas!$C$27/MAX(1,Premissas!$C$19),0)</f>
        <v>0</v>
      </c>
      <c r="O94" s="22" t="n">
        <f aca="false">IF($A94&gt;=Premissas!$C$18,Premissas!$C$60*(1+Premissas!$C$59)^((YEAR($A94)-YEAR(Premissas!$C$18))*12+MONTH($A94)-MONTH(Premissas!$C$18)),"")</f>
        <v>494318.702174611</v>
      </c>
      <c r="P94" s="31" t="n">
        <f aca="false">(1+IF(YEAR($A94)&lt;=2026,Premissas!$C$49,IF(YEAR($A94)=2027,Premissas!$C$50,IF(YEAR($A94)=2028,Premissas!$C$51,Premissas!$C$52)))*(1-Premissas!$C$53))^(1/12)-1</f>
        <v>0.00682149336596227</v>
      </c>
      <c r="Q94" s="22" t="n">
        <f aca="false">($A94=Premissas!$C$16)*Premissas!$C$13</f>
        <v>0</v>
      </c>
      <c r="R94" s="22" t="n">
        <f aca="false">L94-M94-N94-Q94</f>
        <v>1728.99903700319</v>
      </c>
      <c r="S94" s="22" t="n">
        <f aca="false">S93+R94</f>
        <v>-239608.487250037</v>
      </c>
      <c r="T94" s="22" t="n">
        <f aca="false">IF($A94&gt;=Premissas!$C$18,O94*(1-Premissas!$C$45)-Premissas!$C$46*MAX(0,O94*(1-Premissas!$C$45)-(SUM($Q$5:$Q$355)+Premissas!$C$26*Premissas!$C$60)),"")</f>
        <v>434930.65138426</v>
      </c>
      <c r="U94" s="22" t="n">
        <f aca="false">IF($A94&gt;=Premissas!$C$18,S94+T94,"")</f>
        <v>195322.164134223</v>
      </c>
      <c r="V94" s="22" t="n">
        <f aca="false">V93*(1+$P94)-R94</f>
        <v>472492.625697276</v>
      </c>
      <c r="W94" s="22" t="n">
        <f aca="false">($A94=Premissas!$C$16)*Premissas!$C$9</f>
        <v>0</v>
      </c>
      <c r="X94" s="22" t="n">
        <f aca="false">L94-M94-N94-W94</f>
        <v>1728.99903700319</v>
      </c>
      <c r="Y94" s="22" t="n">
        <f aca="false">Y93+X94</f>
        <v>-270536.487250037</v>
      </c>
      <c r="Z94" s="22" t="n">
        <f aca="false">IF($A94&gt;=Premissas!$C$18,O94*(1-Premissas!$C$45)-Premissas!$C$46*MAX(0,O94*(1-Premissas!$C$45)-(SUM($W$5:$W$355)+Premissas!$C$26*Premissas!$C$60)),"")</f>
        <v>439569.85138426</v>
      </c>
      <c r="AA94" s="22" t="n">
        <f aca="false">IF($A94&gt;=Premissas!$C$18,Y94+Z94,"")</f>
        <v>169033.364134223</v>
      </c>
      <c r="AB94" s="22" t="n">
        <f aca="false">AB93*(1+$P94)-X94</f>
        <v>530994.311494696</v>
      </c>
      <c r="AC94" s="22" t="n">
        <f aca="false">AND($A94&gt;=Premissas!$C$16,$A94&lt;EDATE(Premissas!$C$16,3))*Premissas!$C$10/3*(1+Premissas!$C$56)^$C94</f>
        <v>0</v>
      </c>
      <c r="AD94" s="22" t="n">
        <f aca="false">L94-M94-N94-AC94</f>
        <v>1728.99903700319</v>
      </c>
      <c r="AE94" s="22" t="n">
        <f aca="false">AE93+AD94</f>
        <v>-278156.951130062</v>
      </c>
      <c r="AF94" s="22" t="n">
        <f aca="false">IF($A94&gt;=Premissas!$C$18,O94*(1-Premissas!$C$45)-Premissas!$C$46*MAX(0,O94*(1-Premissas!$C$45)-(SUM($AC$5:$AC$355)+Premissas!$C$26*Premissas!$C$60)),"")</f>
        <v>440712.920966264</v>
      </c>
      <c r="AG94" s="22" t="n">
        <f aca="false">IF($A94&gt;=Premissas!$C$18,AE94+AF94,"")</f>
        <v>162555.969836202</v>
      </c>
      <c r="AH94" s="22" t="n">
        <f aca="false">AH93*(1+$P94)-AD94</f>
        <v>540319.435075942</v>
      </c>
      <c r="AI94" s="22" t="n">
        <f aca="false">($A94=Premissas!$C$16)*0.2*Premissas!$C$11+AND($A94&gt;Premissas!$C$16,$A94&lt;=EDATE(Premissas!$C$16,43))*0.8*Premissas!$C$11/43*(1+Premissas!$C$56)^$C94</f>
        <v>0</v>
      </c>
      <c r="AJ94" s="22" t="n">
        <f aca="false">L94-M94-N94-AI94</f>
        <v>1728.99903700319</v>
      </c>
      <c r="AK94" s="22" t="n">
        <f aca="false">AK93+AJ94</f>
        <v>-324021.436548124</v>
      </c>
      <c r="AL94" s="22" t="n">
        <f aca="false">IF($A94&gt;=Premissas!$C$18,O94*(1-Premissas!$C$45)-Premissas!$C$46*MAX(0,O94*(1-Premissas!$C$45)-(SUM($AI$5:$AI$355)+Premissas!$C$26*Premissas!$C$60)),"")</f>
        <v>447592.593778973</v>
      </c>
      <c r="AM94" s="22" t="n">
        <f aca="false">IF($A94&gt;=Premissas!$C$18,AK94+AL94,"")</f>
        <v>123571.15723085</v>
      </c>
      <c r="AN94" s="22" t="n">
        <f aca="false">AN93*(1+$P94)-AJ94</f>
        <v>549020.309254187</v>
      </c>
      <c r="AO94" s="22" t="n">
        <f aca="false">V94+S94</f>
        <v>232884.138447239</v>
      </c>
    </row>
    <row r="95" customFormat="false" ht="15" hidden="false" customHeight="false" outlineLevel="0" collapsed="false">
      <c r="A95" s="26" t="n">
        <f aca="false">DATE(YEAR(A94),MONTH(A94)+1,1)</f>
        <v>49035</v>
      </c>
      <c r="B95" s="22" t="str">
        <f aca="false">IF($A95&lt;Premissas!$C$18,"Obra",IF($A95&lt;Premissas!$C$20,"Entrega/mobília","Airbnb"))</f>
        <v>Airbnb</v>
      </c>
      <c r="C95" s="36" t="n">
        <f aca="false">(YEAR($A95)-YEAR(Premissas!$C$16))*12+MONTH($A95)-MONTH(Premissas!$C$16)</f>
        <v>90</v>
      </c>
      <c r="D95" s="33" t="n">
        <f aca="false">IF($A95&gt;=Premissas!$C$20,Premissas!$C$31*IF(((YEAR($A95)-YEAR(Premissas!$C$20))*12+MONTH($A95)-MONTH(Premissas!$C$20))&lt;Premissas!$C$33,Premissas!$C$34,1),0)</f>
        <v>0.62</v>
      </c>
      <c r="E95" s="22" t="n">
        <f aca="false">D95*Premissas!$C$30*Premissas!$C$32*(1+Premissas!$C$58)^$C95</f>
        <v>6240.26449341882</v>
      </c>
      <c r="F95" s="22" t="n">
        <f aca="false">E95*Premissas!$C$35</f>
        <v>998.442318947011</v>
      </c>
      <c r="G95" s="22" t="n">
        <f aca="false">E95*Premissas!$C$36</f>
        <v>1248.05289868376</v>
      </c>
      <c r="H95" s="22" t="n">
        <f aca="false">IF($A95&gt;=Premissas!$C$18,Premissas!$C$37*(1+Premissas!$C$58)^$C95,0)</f>
        <v>805.195418505654</v>
      </c>
      <c r="I95" s="22" t="n">
        <f aca="false">IF($A95&gt;=Premissas!$C$20,Premissas!$C$38*(1+Premissas!$C$58)^$C95,0)</f>
        <v>375.757861969305</v>
      </c>
      <c r="J95" s="22" t="n">
        <f aca="false">IF($A95&gt;=Premissas!$C$20,Premissas!$C$39*(1+Premissas!$C$58)^$C95,0)</f>
        <v>201.298854626414</v>
      </c>
      <c r="K95" s="22" t="n">
        <f aca="false">IF($A95&gt;=Premissas!$C$20,MAX(0,E95-F95-G95-H95)*Premissas!$C$41,0)</f>
        <v>876.857810752657</v>
      </c>
      <c r="L95" s="22" t="n">
        <f aca="false">E95-F95-G95-H95-I95-J95-K95</f>
        <v>1734.65932993401</v>
      </c>
      <c r="M95" s="22" t="n">
        <f aca="false">($A95=Premissas!$C$18)*Premissas!$C$26*Premissas!$C$60</f>
        <v>0</v>
      </c>
      <c r="N95" s="22" t="n">
        <f aca="false">IF(AND($A95&gt;=Premissas!$C$18,$A95&lt;Premissas!$C$20),Premissas!$C$27/MAX(1,Premissas!$C$19),0)</f>
        <v>0</v>
      </c>
      <c r="O95" s="22" t="n">
        <f aca="false">IF($A95&gt;=Premissas!$C$18,Premissas!$C$60*(1+Premissas!$C$59)^((YEAR($A95)-YEAR(Premissas!$C$18))*12+MONTH($A95)-MONTH(Premissas!$C$18)),"")</f>
        <v>496332.617755842</v>
      </c>
      <c r="P95" s="31" t="n">
        <f aca="false">(1+IF(YEAR($A95)&lt;=2026,Premissas!$C$49,IF(YEAR($A95)=2027,Premissas!$C$50,IF(YEAR($A95)=2028,Premissas!$C$51,Premissas!$C$52)))*(1-Premissas!$C$53))^(1/12)-1</f>
        <v>0.00682149336596227</v>
      </c>
      <c r="Q95" s="22" t="n">
        <f aca="false">($A95=Premissas!$C$16)*Premissas!$C$13</f>
        <v>0</v>
      </c>
      <c r="R95" s="22" t="n">
        <f aca="false">L95-M95-N95-Q95</f>
        <v>1734.65932993401</v>
      </c>
      <c r="S95" s="22" t="n">
        <f aca="false">S94+R95</f>
        <v>-237873.827920103</v>
      </c>
      <c r="T95" s="22" t="n">
        <f aca="false">IF($A95&gt;=Premissas!$C$18,O95*(1-Premissas!$C$45)-Premissas!$C$46*MAX(0,O95*(1-Premissas!$C$45)-(SUM($Q$5:$Q$355)+Premissas!$C$26*Premissas!$C$60)),"")</f>
        <v>436539.769933664</v>
      </c>
      <c r="U95" s="22" t="n">
        <f aca="false">IF($A95&gt;=Premissas!$C$18,S95+T95,"")</f>
        <v>198665.942013561</v>
      </c>
      <c r="V95" s="22" t="n">
        <f aca="false">V94*(1+$P95)-R95</f>
        <v>473981.071679002</v>
      </c>
      <c r="W95" s="22" t="n">
        <f aca="false">($A95=Premissas!$C$16)*Premissas!$C$9</f>
        <v>0</v>
      </c>
      <c r="X95" s="22" t="n">
        <f aca="false">L95-M95-N95-W95</f>
        <v>1734.65932993401</v>
      </c>
      <c r="Y95" s="22" t="n">
        <f aca="false">Y94+X95</f>
        <v>-268801.827920103</v>
      </c>
      <c r="Z95" s="22" t="n">
        <f aca="false">IF($A95&gt;=Premissas!$C$18,O95*(1-Premissas!$C$45)-Premissas!$C$46*MAX(0,O95*(1-Premissas!$C$45)-(SUM($W$5:$W$355)+Premissas!$C$26*Premissas!$C$60)),"")</f>
        <v>441178.969933664</v>
      </c>
      <c r="AA95" s="22" t="n">
        <f aca="false">IF($A95&gt;=Premissas!$C$18,Y95+Z95,"")</f>
        <v>172377.142013561</v>
      </c>
      <c r="AB95" s="22" t="n">
        <f aca="false">AB94*(1+$P95)-X95</f>
        <v>532881.826337986</v>
      </c>
      <c r="AC95" s="22" t="n">
        <f aca="false">AND($A95&gt;=Premissas!$C$16,$A95&lt;EDATE(Premissas!$C$16,3))*Premissas!$C$10/3*(1+Premissas!$C$56)^$C95</f>
        <v>0</v>
      </c>
      <c r="AD95" s="22" t="n">
        <f aca="false">L95-M95-N95-AC95</f>
        <v>1734.65932993401</v>
      </c>
      <c r="AE95" s="22" t="n">
        <f aca="false">AE94+AD95</f>
        <v>-276422.291800128</v>
      </c>
      <c r="AF95" s="22" t="n">
        <f aca="false">IF($A95&gt;=Premissas!$C$18,O95*(1-Premissas!$C$45)-Premissas!$C$46*MAX(0,O95*(1-Premissas!$C$45)-(SUM($AC$5:$AC$355)+Premissas!$C$26*Premissas!$C$60)),"")</f>
        <v>442322.039515668</v>
      </c>
      <c r="AG95" s="22" t="n">
        <f aca="false">IF($A95&gt;=Premissas!$C$18,AE95+AF95,"")</f>
        <v>165899.74771554</v>
      </c>
      <c r="AH95" s="22" t="n">
        <f aca="false">AH94*(1+$P95)-AD95</f>
        <v>542270.561187879</v>
      </c>
      <c r="AI95" s="22" t="n">
        <f aca="false">($A95=Premissas!$C$16)*0.2*Premissas!$C$11+AND($A95&gt;Premissas!$C$16,$A95&lt;=EDATE(Premissas!$C$16,43))*0.8*Premissas!$C$11/43*(1+Premissas!$C$56)^$C95</f>
        <v>0</v>
      </c>
      <c r="AJ95" s="22" t="n">
        <f aca="false">L95-M95-N95-AI95</f>
        <v>1734.65932993401</v>
      </c>
      <c r="AK95" s="22" t="n">
        <f aca="false">AK94+AJ95</f>
        <v>-322286.77721819</v>
      </c>
      <c r="AL95" s="22" t="n">
        <f aca="false">IF($A95&gt;=Premissas!$C$18,O95*(1-Premissas!$C$45)-Premissas!$C$46*MAX(0,O95*(1-Premissas!$C$45)-(SUM($AI$5:$AI$355)+Premissas!$C$26*Premissas!$C$60)),"")</f>
        <v>449201.712328377</v>
      </c>
      <c r="AM95" s="22" t="n">
        <f aca="false">IF($A95&gt;=Premissas!$C$18,AK95+AL95,"")</f>
        <v>126914.935110188</v>
      </c>
      <c r="AN95" s="22" t="n">
        <f aca="false">AN94*(1+$P95)-AJ95</f>
        <v>551030.788321609</v>
      </c>
      <c r="AO95" s="22" t="n">
        <f aca="false">V95+S95</f>
        <v>236107.243758899</v>
      </c>
    </row>
    <row r="96" customFormat="false" ht="15" hidden="false" customHeight="false" outlineLevel="0" collapsed="false">
      <c r="A96" s="26" t="n">
        <f aca="false">DATE(YEAR(A95),MONTH(A95)+1,1)</f>
        <v>49065</v>
      </c>
      <c r="B96" s="22" t="str">
        <f aca="false">IF($A96&lt;Premissas!$C$18,"Obra",IF($A96&lt;Premissas!$C$20,"Entrega/mobília","Airbnb"))</f>
        <v>Airbnb</v>
      </c>
      <c r="C96" s="36" t="n">
        <f aca="false">(YEAR($A96)-YEAR(Premissas!$C$16))*12+MONTH($A96)-MONTH(Premissas!$C$16)</f>
        <v>91</v>
      </c>
      <c r="D96" s="33" t="n">
        <f aca="false">IF($A96&gt;=Premissas!$C$20,Premissas!$C$31*IF(((YEAR($A96)-YEAR(Premissas!$C$20))*12+MONTH($A96)-MONTH(Premissas!$C$20))&lt;Premissas!$C$33,Premissas!$C$34,1),0)</f>
        <v>0.62</v>
      </c>
      <c r="E96" s="22" t="n">
        <f aca="false">D96*Premissas!$C$30*Premissas!$C$32*(1+Premissas!$C$58)^$C96</f>
        <v>6260.69349554237</v>
      </c>
      <c r="F96" s="22" t="n">
        <f aca="false">E96*Premissas!$C$35</f>
        <v>1001.71095928678</v>
      </c>
      <c r="G96" s="22" t="n">
        <f aca="false">E96*Premissas!$C$36</f>
        <v>1252.13869910847</v>
      </c>
      <c r="H96" s="22" t="n">
        <f aca="false">IF($A96&gt;=Premissas!$C$18,Premissas!$C$37*(1+Premissas!$C$58)^$C96,0)</f>
        <v>807.83141877966</v>
      </c>
      <c r="I96" s="22" t="n">
        <f aca="false">IF($A96&gt;=Premissas!$C$20,Premissas!$C$38*(1+Premissas!$C$58)^$C96,0)</f>
        <v>376.987995430508</v>
      </c>
      <c r="J96" s="22" t="n">
        <f aca="false">IF($A96&gt;=Premissas!$C$20,Premissas!$C$39*(1+Premissas!$C$58)^$C96,0)</f>
        <v>201.957854694915</v>
      </c>
      <c r="K96" s="22" t="n">
        <f aca="false">IF($A96&gt;=Premissas!$C$20,MAX(0,E96-F96-G96-H96)*Premissas!$C$41,0)</f>
        <v>879.72841505105</v>
      </c>
      <c r="L96" s="22" t="n">
        <f aca="false">E96-F96-G96-H96-I96-J96-K96</f>
        <v>1740.33815319098</v>
      </c>
      <c r="M96" s="22" t="n">
        <f aca="false">($A96=Premissas!$C$18)*Premissas!$C$26*Premissas!$C$60</f>
        <v>0</v>
      </c>
      <c r="N96" s="22" t="n">
        <f aca="false">IF(AND($A96&gt;=Premissas!$C$18,$A96&lt;Premissas!$C$20),Premissas!$C$27/MAX(1,Premissas!$C$19),0)</f>
        <v>0</v>
      </c>
      <c r="O96" s="22" t="n">
        <f aca="false">IF($A96&gt;=Premissas!$C$18,Premissas!$C$60*(1+Premissas!$C$59)^((YEAR($A96)-YEAR(Premissas!$C$18))*12+MONTH($A96)-MONTH(Premissas!$C$18)),"")</f>
        <v>498354.738278442</v>
      </c>
      <c r="P96" s="31" t="n">
        <f aca="false">(1+IF(YEAR($A96)&lt;=2026,Premissas!$C$49,IF(YEAR($A96)=2027,Premissas!$C$50,IF(YEAR($A96)=2028,Premissas!$C$51,Premissas!$C$52)))*(1-Premissas!$C$53))^(1/12)-1</f>
        <v>0.00682149336596227</v>
      </c>
      <c r="Q96" s="22" t="n">
        <f aca="false">($A96=Premissas!$C$16)*Premissas!$C$13</f>
        <v>0</v>
      </c>
      <c r="R96" s="22" t="n">
        <f aca="false">L96-M96-N96-Q96</f>
        <v>1740.33815319098</v>
      </c>
      <c r="S96" s="22" t="n">
        <f aca="false">S95+R96</f>
        <v>-236133.489766912</v>
      </c>
      <c r="T96" s="22" t="n">
        <f aca="false">IF($A96&gt;=Premissas!$C$18,O96*(1-Premissas!$C$45)-Premissas!$C$46*MAX(0,O96*(1-Premissas!$C$45)-(SUM($Q$5:$Q$355)+Premissas!$C$26*Premissas!$C$60)),"")</f>
        <v>438155.444231221</v>
      </c>
      <c r="U96" s="22" t="n">
        <f aca="false">IF($A96&gt;=Premissas!$C$18,S96+T96,"")</f>
        <v>202021.954464309</v>
      </c>
      <c r="V96" s="22" t="n">
        <f aca="false">V95*(1+$P96)-R96</f>
        <v>475473.992261861</v>
      </c>
      <c r="W96" s="22" t="n">
        <f aca="false">($A96=Premissas!$C$16)*Premissas!$C$9</f>
        <v>0</v>
      </c>
      <c r="X96" s="22" t="n">
        <f aca="false">L96-M96-N96-W96</f>
        <v>1740.33815319098</v>
      </c>
      <c r="Y96" s="22" t="n">
        <f aca="false">Y95+X96</f>
        <v>-267061.489766912</v>
      </c>
      <c r="Z96" s="22" t="n">
        <f aca="false">IF($A96&gt;=Premissas!$C$18,O96*(1-Premissas!$C$45)-Premissas!$C$46*MAX(0,O96*(1-Premissas!$C$45)-(SUM($W$5:$W$355)+Premissas!$C$26*Premissas!$C$60)),"")</f>
        <v>442794.644231221</v>
      </c>
      <c r="AA96" s="22" t="n">
        <f aca="false">IF($A96&gt;=Premissas!$C$18,Y96+Z96,"")</f>
        <v>175733.154464309</v>
      </c>
      <c r="AB96" s="22" t="n">
        <f aca="false">AB95*(1+$P96)-X96</f>
        <v>534776.538028002</v>
      </c>
      <c r="AC96" s="22" t="n">
        <f aca="false">AND($A96&gt;=Premissas!$C$16,$A96&lt;EDATE(Premissas!$C$16,3))*Premissas!$C$10/3*(1+Premissas!$C$56)^$C96</f>
        <v>0</v>
      </c>
      <c r="AD96" s="22" t="n">
        <f aca="false">L96-M96-N96-AC96</f>
        <v>1740.33815319098</v>
      </c>
      <c r="AE96" s="22" t="n">
        <f aca="false">AE95+AD96</f>
        <v>-274681.953646937</v>
      </c>
      <c r="AF96" s="22" t="n">
        <f aca="false">IF($A96&gt;=Premissas!$C$18,O96*(1-Premissas!$C$45)-Premissas!$C$46*MAX(0,O96*(1-Premissas!$C$45)-(SUM($AC$5:$AC$355)+Premissas!$C$26*Premissas!$C$60)),"")</f>
        <v>443937.713813225</v>
      </c>
      <c r="AG96" s="22" t="n">
        <f aca="false">IF($A96&gt;=Premissas!$C$18,AE96+AF96,"")</f>
        <v>169255.760166288</v>
      </c>
      <c r="AH96" s="22" t="n">
        <f aca="false">AH95*(1+$P96)-AD96</f>
        <v>544229.318070388</v>
      </c>
      <c r="AI96" s="22" t="n">
        <f aca="false">($A96=Premissas!$C$16)*0.2*Premissas!$C$11+AND($A96&gt;Premissas!$C$16,$A96&lt;=EDATE(Premissas!$C$16,43))*0.8*Premissas!$C$11/43*(1+Premissas!$C$56)^$C96</f>
        <v>0</v>
      </c>
      <c r="AJ96" s="22" t="n">
        <f aca="false">L96-M96-N96-AI96</f>
        <v>1740.33815319098</v>
      </c>
      <c r="AK96" s="22" t="n">
        <f aca="false">AK95+AJ96</f>
        <v>-320546.439064999</v>
      </c>
      <c r="AL96" s="22" t="n">
        <f aca="false">IF($A96&gt;=Premissas!$C$18,O96*(1-Premissas!$C$45)-Premissas!$C$46*MAX(0,O96*(1-Premissas!$C$45)-(SUM($AI$5:$AI$355)+Premissas!$C$26*Premissas!$C$60)),"")</f>
        <v>450817.386625934</v>
      </c>
      <c r="AM96" s="22" t="n">
        <f aca="false">IF($A96&gt;=Premissas!$C$18,AK96+AL96,"")</f>
        <v>130270.947560936</v>
      </c>
      <c r="AN96" s="22" t="n">
        <f aca="false">AN95*(1+$P96)-AJ96</f>
        <v>553049.303035395</v>
      </c>
      <c r="AO96" s="22" t="n">
        <f aca="false">V96+S96</f>
        <v>239340.502494949</v>
      </c>
    </row>
    <row r="97" customFormat="false" ht="15" hidden="false" customHeight="false" outlineLevel="0" collapsed="false">
      <c r="A97" s="26" t="n">
        <f aca="false">DATE(YEAR(A96),MONTH(A96)+1,1)</f>
        <v>49096</v>
      </c>
      <c r="B97" s="22" t="str">
        <f aca="false">IF($A97&lt;Premissas!$C$18,"Obra",IF($A97&lt;Premissas!$C$20,"Entrega/mobília","Airbnb"))</f>
        <v>Airbnb</v>
      </c>
      <c r="C97" s="36" t="n">
        <f aca="false">(YEAR($A97)-YEAR(Premissas!$C$16))*12+MONTH($A97)-MONTH(Premissas!$C$16)</f>
        <v>92</v>
      </c>
      <c r="D97" s="33" t="n">
        <f aca="false">IF($A97&gt;=Premissas!$C$20,Premissas!$C$31*IF(((YEAR($A97)-YEAR(Premissas!$C$20))*12+MONTH($A97)-MONTH(Premissas!$C$20))&lt;Premissas!$C$33,Premissas!$C$34,1),0)</f>
        <v>0.62</v>
      </c>
      <c r="E97" s="22" t="n">
        <f aca="false">D97*Premissas!$C$30*Premissas!$C$32*(1+Premissas!$C$58)^$C97</f>
        <v>6281.18937690288</v>
      </c>
      <c r="F97" s="22" t="n">
        <f aca="false">E97*Premissas!$C$35</f>
        <v>1004.99030030446</v>
      </c>
      <c r="G97" s="22" t="n">
        <f aca="false">E97*Premissas!$C$36</f>
        <v>1256.23787538058</v>
      </c>
      <c r="H97" s="22" t="n">
        <f aca="false">IF($A97&gt;=Premissas!$C$18,Premissas!$C$37*(1+Premissas!$C$58)^$C97,0)</f>
        <v>810.47604863263</v>
      </c>
      <c r="I97" s="22" t="n">
        <f aca="false">IF($A97&gt;=Premissas!$C$20,Premissas!$C$38*(1+Premissas!$C$58)^$C97,0)</f>
        <v>378.222156028561</v>
      </c>
      <c r="J97" s="22" t="n">
        <f aca="false">IF($A97&gt;=Premissas!$C$20,Premissas!$C$39*(1+Premissas!$C$58)^$C97,0)</f>
        <v>202.619012158157</v>
      </c>
      <c r="K97" s="22" t="n">
        <f aca="false">IF($A97&gt;=Premissas!$C$20,MAX(0,E97-F97-G97-H97)*Premissas!$C$41,0)</f>
        <v>882.608416960934</v>
      </c>
      <c r="L97" s="22" t="n">
        <f aca="false">E97-F97-G97-H97-I97-J97-K97</f>
        <v>1746.03556743756</v>
      </c>
      <c r="M97" s="22" t="n">
        <f aca="false">($A97=Premissas!$C$18)*Premissas!$C$26*Premissas!$C$60</f>
        <v>0</v>
      </c>
      <c r="N97" s="22" t="n">
        <f aca="false">IF(AND($A97&gt;=Premissas!$C$18,$A97&lt;Premissas!$C$20),Premissas!$C$27/MAX(1,Premissas!$C$19),0)</f>
        <v>0</v>
      </c>
      <c r="O97" s="22" t="n">
        <f aca="false">IF($A97&gt;=Premissas!$C$18,Premissas!$C$60*(1+Premissas!$C$59)^((YEAR($A97)-YEAR(Premissas!$C$18))*12+MONTH($A97)-MONTH(Premissas!$C$18)),"")</f>
        <v>500385.097170356</v>
      </c>
      <c r="P97" s="31" t="n">
        <f aca="false">(1+IF(YEAR($A97)&lt;=2026,Premissas!$C$49,IF(YEAR($A97)=2027,Premissas!$C$50,IF(YEAR($A97)=2028,Premissas!$C$51,Premissas!$C$52)))*(1-Premissas!$C$53))^(1/12)-1</f>
        <v>0.00682149336596227</v>
      </c>
      <c r="Q97" s="22" t="n">
        <f aca="false">($A97=Premissas!$C$16)*Premissas!$C$13</f>
        <v>0</v>
      </c>
      <c r="R97" s="22" t="n">
        <f aca="false">L97-M97-N97-Q97</f>
        <v>1746.03556743756</v>
      </c>
      <c r="S97" s="22" t="n">
        <f aca="false">S96+R97</f>
        <v>-234387.454199474</v>
      </c>
      <c r="T97" s="22" t="n">
        <f aca="false">IF($A97&gt;=Premissas!$C$18,O97*(1-Premissas!$C$45)-Premissas!$C$46*MAX(0,O97*(1-Premissas!$C$45)-(SUM($Q$5:$Q$355)+Premissas!$C$26*Premissas!$C$60)),"")</f>
        <v>439777.700985861</v>
      </c>
      <c r="U97" s="22" t="n">
        <f aca="false">IF($A97&gt;=Premissas!$C$18,S97+T97,"")</f>
        <v>205390.246786386</v>
      </c>
      <c r="V97" s="22" t="n">
        <f aca="false">V96*(1+$P97)-R97</f>
        <v>476971.399378326</v>
      </c>
      <c r="W97" s="22" t="n">
        <f aca="false">($A97=Premissas!$C$16)*Premissas!$C$9</f>
        <v>0</v>
      </c>
      <c r="X97" s="22" t="n">
        <f aca="false">L97-M97-N97-W97</f>
        <v>1746.03556743756</v>
      </c>
      <c r="Y97" s="22" t="n">
        <f aca="false">Y96+X97</f>
        <v>-265315.454199474</v>
      </c>
      <c r="Z97" s="22" t="n">
        <f aca="false">IF($A97&gt;=Premissas!$C$18,O97*(1-Premissas!$C$45)-Premissas!$C$46*MAX(0,O97*(1-Premissas!$C$45)-(SUM($W$5:$W$355)+Premissas!$C$26*Premissas!$C$60)),"")</f>
        <v>444416.900985861</v>
      </c>
      <c r="AA97" s="22" t="n">
        <f aca="false">IF($A97&gt;=Premissas!$C$18,Y97+Z97,"")</f>
        <v>179101.446786386</v>
      </c>
      <c r="AB97" s="22" t="n">
        <f aca="false">AB96*(1+$P97)-X97</f>
        <v>536678.477066994</v>
      </c>
      <c r="AC97" s="22" t="n">
        <f aca="false">AND($A97&gt;=Premissas!$C$16,$A97&lt;EDATE(Premissas!$C$16,3))*Premissas!$C$10/3*(1+Premissas!$C$56)^$C97</f>
        <v>0</v>
      </c>
      <c r="AD97" s="22" t="n">
        <f aca="false">L97-M97-N97-AC97</f>
        <v>1746.03556743756</v>
      </c>
      <c r="AE97" s="22" t="n">
        <f aca="false">AE96+AD97</f>
        <v>-272935.918079499</v>
      </c>
      <c r="AF97" s="22" t="n">
        <f aca="false">IF($A97&gt;=Premissas!$C$18,O97*(1-Premissas!$C$45)-Premissas!$C$46*MAX(0,O97*(1-Premissas!$C$45)-(SUM($AC$5:$AC$355)+Premissas!$C$26*Premissas!$C$60)),"")</f>
        <v>445559.970567864</v>
      </c>
      <c r="AG97" s="22" t="n">
        <f aca="false">IF($A97&gt;=Premissas!$C$18,AE97+AF97,"")</f>
        <v>172624.052488365</v>
      </c>
      <c r="AH97" s="22" t="n">
        <f aca="false">AH96*(1+$P97)-AD97</f>
        <v>546195.73918573</v>
      </c>
      <c r="AI97" s="22" t="n">
        <f aca="false">($A97=Premissas!$C$16)*0.2*Premissas!$C$11+AND($A97&gt;Premissas!$C$16,$A97&lt;=EDATE(Premissas!$C$16,43))*0.8*Premissas!$C$11/43*(1+Premissas!$C$56)^$C97</f>
        <v>0</v>
      </c>
      <c r="AJ97" s="22" t="n">
        <f aca="false">L97-M97-N97-AI97</f>
        <v>1746.03556743756</v>
      </c>
      <c r="AK97" s="22" t="n">
        <f aca="false">AK96+AJ97</f>
        <v>-318800.403497561</v>
      </c>
      <c r="AL97" s="22" t="n">
        <f aca="false">IF($A97&gt;=Premissas!$C$18,O97*(1-Premissas!$C$45)-Premissas!$C$46*MAX(0,O97*(1-Premissas!$C$45)-(SUM($AI$5:$AI$355)+Premissas!$C$26*Premissas!$C$60)),"")</f>
        <v>452439.643380574</v>
      </c>
      <c r="AM97" s="22" t="n">
        <f aca="false">IF($A97&gt;=Premissas!$C$18,AK97+AL97,"")</f>
        <v>133639.239883013</v>
      </c>
      <c r="AN97" s="22" t="n">
        <f aca="false">AN96*(1+$P97)-AJ97</f>
        <v>555075.889619663</v>
      </c>
      <c r="AO97" s="22" t="n">
        <f aca="false">V97+S97</f>
        <v>242583.945178851</v>
      </c>
    </row>
    <row r="98" customFormat="false" ht="15" hidden="false" customHeight="false" outlineLevel="0" collapsed="false">
      <c r="A98" s="26" t="n">
        <f aca="false">DATE(YEAR(A97),MONTH(A97)+1,1)</f>
        <v>49126</v>
      </c>
      <c r="B98" s="22" t="str">
        <f aca="false">IF($A98&lt;Premissas!$C$18,"Obra",IF($A98&lt;Premissas!$C$20,"Entrega/mobília","Airbnb"))</f>
        <v>Airbnb</v>
      </c>
      <c r="C98" s="36" t="n">
        <f aca="false">(YEAR($A98)-YEAR(Premissas!$C$16))*12+MONTH($A98)-MONTH(Premissas!$C$16)</f>
        <v>93</v>
      </c>
      <c r="D98" s="33" t="n">
        <f aca="false">IF($A98&gt;=Premissas!$C$20,Premissas!$C$31*IF(((YEAR($A98)-YEAR(Premissas!$C$20))*12+MONTH($A98)-MONTH(Premissas!$C$20))&lt;Premissas!$C$33,Premissas!$C$34,1),0)</f>
        <v>0.62</v>
      </c>
      <c r="E98" s="22" t="n">
        <f aca="false">D98*Premissas!$C$30*Premissas!$C$32*(1+Premissas!$C$58)^$C98</f>
        <v>6301.75235644557</v>
      </c>
      <c r="F98" s="22" t="n">
        <f aca="false">E98*Premissas!$C$35</f>
        <v>1008.28037703129</v>
      </c>
      <c r="G98" s="22" t="n">
        <f aca="false">E98*Premissas!$C$36</f>
        <v>1260.35047128911</v>
      </c>
      <c r="H98" s="22" t="n">
        <f aca="false">IF($A98&gt;=Premissas!$C$18,Premissas!$C$37*(1+Premissas!$C$58)^$C98,0)</f>
        <v>813.129336315558</v>
      </c>
      <c r="I98" s="22" t="n">
        <f aca="false">IF($A98&gt;=Premissas!$C$20,Premissas!$C$38*(1+Premissas!$C$58)^$C98,0)</f>
        <v>379.46035694726</v>
      </c>
      <c r="J98" s="22" t="n">
        <f aca="false">IF($A98&gt;=Premissas!$C$20,Premissas!$C$39*(1+Premissas!$C$58)^$C98,0)</f>
        <v>203.282334078889</v>
      </c>
      <c r="K98" s="22" t="n">
        <f aca="false">IF($A98&gt;=Premissas!$C$20,MAX(0,E98-F98-G98-H98)*Premissas!$C$41,0)</f>
        <v>885.497847247642</v>
      </c>
      <c r="L98" s="22" t="n">
        <f aca="false">E98-F98-G98-H98-I98-J98-K98</f>
        <v>1751.75163353582</v>
      </c>
      <c r="M98" s="22" t="n">
        <f aca="false">($A98=Premissas!$C$18)*Premissas!$C$26*Premissas!$C$60</f>
        <v>0</v>
      </c>
      <c r="N98" s="22" t="n">
        <f aca="false">IF(AND($A98&gt;=Premissas!$C$18,$A98&lt;Premissas!$C$20),Premissas!$C$27/MAX(1,Premissas!$C$19),0)</f>
        <v>0</v>
      </c>
      <c r="O98" s="22" t="n">
        <f aca="false">IF($A98&gt;=Premissas!$C$18,Premissas!$C$60*(1+Premissas!$C$59)^((YEAR($A98)-YEAR(Premissas!$C$18))*12+MONTH($A98)-MONTH(Premissas!$C$18)),"")</f>
        <v>502423.727995721</v>
      </c>
      <c r="P98" s="31" t="n">
        <f aca="false">(1+IF(YEAR($A98)&lt;=2026,Premissas!$C$49,IF(YEAR($A98)=2027,Premissas!$C$50,IF(YEAR($A98)=2028,Premissas!$C$51,Premissas!$C$52)))*(1-Premissas!$C$53))^(1/12)-1</f>
        <v>0.00682149336596227</v>
      </c>
      <c r="Q98" s="22" t="n">
        <f aca="false">($A98=Premissas!$C$16)*Premissas!$C$13</f>
        <v>0</v>
      </c>
      <c r="R98" s="22" t="n">
        <f aca="false">L98-M98-N98-Q98</f>
        <v>1751.75163353582</v>
      </c>
      <c r="S98" s="22" t="n">
        <f aca="false">S97+R98</f>
        <v>-232635.702565939</v>
      </c>
      <c r="T98" s="22" t="n">
        <f aca="false">IF($A98&gt;=Premissas!$C$18,O98*(1-Premissas!$C$45)-Premissas!$C$46*MAX(0,O98*(1-Premissas!$C$45)-(SUM($Q$5:$Q$355)+Premissas!$C$26*Premissas!$C$60)),"")</f>
        <v>441406.567015327</v>
      </c>
      <c r="U98" s="22" t="n">
        <f aca="false">IF($A98&gt;=Premissas!$C$18,S98+T98,"")</f>
        <v>208770.864449389</v>
      </c>
      <c r="V98" s="22" t="n">
        <f aca="false">V97*(1+$P98)-R98</f>
        <v>478473.304981403</v>
      </c>
      <c r="W98" s="22" t="n">
        <f aca="false">($A98=Premissas!$C$16)*Premissas!$C$9</f>
        <v>0</v>
      </c>
      <c r="X98" s="22" t="n">
        <f aca="false">L98-M98-N98-W98</f>
        <v>1751.75163353582</v>
      </c>
      <c r="Y98" s="22" t="n">
        <f aca="false">Y97+X98</f>
        <v>-263563.702565938</v>
      </c>
      <c r="Z98" s="22" t="n">
        <f aca="false">IF($A98&gt;=Premissas!$C$18,O98*(1-Premissas!$C$45)-Premissas!$C$46*MAX(0,O98*(1-Premissas!$C$45)-(SUM($W$5:$W$355)+Premissas!$C$26*Premissas!$C$60)),"")</f>
        <v>446045.767015327</v>
      </c>
      <c r="AA98" s="22" t="n">
        <f aca="false">IF($A98&gt;=Premissas!$C$18,Y98+Z98,"")</f>
        <v>182482.064449389</v>
      </c>
      <c r="AB98" s="22" t="n">
        <f aca="false">AB97*(1+$P98)-X98</f>
        <v>538587.674104426</v>
      </c>
      <c r="AC98" s="22" t="n">
        <f aca="false">AND($A98&gt;=Premissas!$C$16,$A98&lt;EDATE(Premissas!$C$16,3))*Premissas!$C$10/3*(1+Premissas!$C$56)^$C98</f>
        <v>0</v>
      </c>
      <c r="AD98" s="22" t="n">
        <f aca="false">L98-M98-N98-AC98</f>
        <v>1751.75163353582</v>
      </c>
      <c r="AE98" s="22" t="n">
        <f aca="false">AE97+AD98</f>
        <v>-271184.166445963</v>
      </c>
      <c r="AF98" s="22" t="n">
        <f aca="false">IF($A98&gt;=Premissas!$C$18,O98*(1-Premissas!$C$45)-Premissas!$C$46*MAX(0,O98*(1-Premissas!$C$45)-(SUM($AC$5:$AC$355)+Premissas!$C$26*Premissas!$C$60)),"")</f>
        <v>447188.836597331</v>
      </c>
      <c r="AG98" s="22" t="n">
        <f aca="false">IF($A98&gt;=Premissas!$C$18,AE98+AF98,"")</f>
        <v>176004.670151368</v>
      </c>
      <c r="AH98" s="22" t="n">
        <f aca="false">AH97*(1+$P98)-AD98</f>
        <v>548169.858163566</v>
      </c>
      <c r="AI98" s="22" t="n">
        <f aca="false">($A98=Premissas!$C$16)*0.2*Premissas!$C$11+AND($A98&gt;Premissas!$C$16,$A98&lt;=EDATE(Premissas!$C$16,43))*0.8*Premissas!$C$11/43*(1+Premissas!$C$56)^$C98</f>
        <v>0</v>
      </c>
      <c r="AJ98" s="22" t="n">
        <f aca="false">L98-M98-N98-AI98</f>
        <v>1751.75163353582</v>
      </c>
      <c r="AK98" s="22" t="n">
        <f aca="false">AK97+AJ98</f>
        <v>-317048.651864025</v>
      </c>
      <c r="AL98" s="22" t="n">
        <f aca="false">IF($A98&gt;=Premissas!$C$18,O98*(1-Premissas!$C$45)-Premissas!$C$46*MAX(0,O98*(1-Premissas!$C$45)-(SUM($AI$5:$AI$355)+Premissas!$C$26*Premissas!$C$60)),"")</f>
        <v>454068.50941004</v>
      </c>
      <c r="AM98" s="22" t="n">
        <f aca="false">IF($A98&gt;=Premissas!$C$18,AK98+AL98,"")</f>
        <v>137019.857546015</v>
      </c>
      <c r="AN98" s="22" t="n">
        <f aca="false">AN97*(1+$P98)-AJ98</f>
        <v>557110.584484774</v>
      </c>
      <c r="AO98" s="22" t="n">
        <f aca="false">V98+S98</f>
        <v>245837.602415464</v>
      </c>
    </row>
    <row r="99" customFormat="false" ht="15" hidden="false" customHeight="false" outlineLevel="0" collapsed="false">
      <c r="A99" s="26" t="n">
        <f aca="false">DATE(YEAR(A98),MONTH(A98)+1,1)</f>
        <v>49157</v>
      </c>
      <c r="B99" s="22" t="str">
        <f aca="false">IF($A99&lt;Premissas!$C$18,"Obra",IF($A99&lt;Premissas!$C$20,"Entrega/mobília","Airbnb"))</f>
        <v>Airbnb</v>
      </c>
      <c r="C99" s="36" t="n">
        <f aca="false">(YEAR($A99)-YEAR(Premissas!$C$16))*12+MONTH($A99)-MONTH(Premissas!$C$16)</f>
        <v>94</v>
      </c>
      <c r="D99" s="33" t="n">
        <f aca="false">IF($A99&gt;=Premissas!$C$20,Premissas!$C$31*IF(((YEAR($A99)-YEAR(Premissas!$C$20))*12+MONTH($A99)-MONTH(Premissas!$C$20))&lt;Premissas!$C$33,Premissas!$C$34,1),0)</f>
        <v>0.62</v>
      </c>
      <c r="E99" s="22" t="n">
        <f aca="false">D99*Premissas!$C$30*Premissas!$C$32*(1+Premissas!$C$58)^$C99</f>
        <v>6322.38265383243</v>
      </c>
      <c r="F99" s="22" t="n">
        <f aca="false">E99*Premissas!$C$35</f>
        <v>1011.58122461319</v>
      </c>
      <c r="G99" s="22" t="n">
        <f aca="false">E99*Premissas!$C$36</f>
        <v>1264.47653076649</v>
      </c>
      <c r="H99" s="22" t="n">
        <f aca="false">IF($A99&gt;=Premissas!$C$18,Premissas!$C$37*(1+Premissas!$C$58)^$C99,0)</f>
        <v>815.791310171927</v>
      </c>
      <c r="I99" s="22" t="n">
        <f aca="false">IF($A99&gt;=Premissas!$C$20,Premissas!$C$38*(1+Premissas!$C$58)^$C99,0)</f>
        <v>380.702611413566</v>
      </c>
      <c r="J99" s="22" t="n">
        <f aca="false">IF($A99&gt;=Premissas!$C$20,Premissas!$C$39*(1+Premissas!$C$58)^$C99,0)</f>
        <v>203.947827542982</v>
      </c>
      <c r="K99" s="22" t="n">
        <f aca="false">IF($A99&gt;=Premissas!$C$20,MAX(0,E99-F99-G99-H99)*Premissas!$C$41,0)</f>
        <v>888.396736777228</v>
      </c>
      <c r="L99" s="22" t="n">
        <f aca="false">E99-F99-G99-H99-I99-J99-K99</f>
        <v>1757.48641254705</v>
      </c>
      <c r="M99" s="22" t="n">
        <f aca="false">($A99=Premissas!$C$18)*Premissas!$C$26*Premissas!$C$60</f>
        <v>0</v>
      </c>
      <c r="N99" s="22" t="n">
        <f aca="false">IF(AND($A99&gt;=Premissas!$C$18,$A99&lt;Premissas!$C$20),Premissas!$C$27/MAX(1,Premissas!$C$19),0)</f>
        <v>0</v>
      </c>
      <c r="O99" s="22" t="n">
        <f aca="false">IF($A99&gt;=Premissas!$C$18,Premissas!$C$60*(1+Premissas!$C$59)^((YEAR($A99)-YEAR(Premissas!$C$18))*12+MONTH($A99)-MONTH(Premissas!$C$18)),"")</f>
        <v>504470.664455418</v>
      </c>
      <c r="P99" s="31" t="n">
        <f aca="false">(1+IF(YEAR($A99)&lt;=2026,Premissas!$C$49,IF(YEAR($A99)=2027,Premissas!$C$50,IF(YEAR($A99)=2028,Premissas!$C$51,Premissas!$C$52)))*(1-Premissas!$C$53))^(1/12)-1</f>
        <v>0.00682149336596227</v>
      </c>
      <c r="Q99" s="22" t="n">
        <f aca="false">($A99=Premissas!$C$16)*Premissas!$C$13</f>
        <v>0</v>
      </c>
      <c r="R99" s="22" t="n">
        <f aca="false">L99-M99-N99-Q99</f>
        <v>1757.48641254705</v>
      </c>
      <c r="S99" s="22" t="n">
        <f aca="false">S98+R99</f>
        <v>-230878.216153392</v>
      </c>
      <c r="T99" s="22" t="n">
        <f aca="false">IF($A99&gt;=Premissas!$C$18,O99*(1-Premissas!$C$45)-Premissas!$C$46*MAX(0,O99*(1-Premissas!$C$45)-(SUM($Q$5:$Q$355)+Premissas!$C$26*Premissas!$C$60)),"")</f>
        <v>443042.069246625</v>
      </c>
      <c r="U99" s="22" t="n">
        <f aca="false">IF($A99&gt;=Premissas!$C$18,S99+T99,"")</f>
        <v>212163.853093233</v>
      </c>
      <c r="V99" s="22" t="n">
        <f aca="false">V98*(1+$P99)-R99</f>
        <v>479979.721044576</v>
      </c>
      <c r="W99" s="22" t="n">
        <f aca="false">($A99=Premissas!$C$16)*Premissas!$C$9</f>
        <v>0</v>
      </c>
      <c r="X99" s="22" t="n">
        <f aca="false">L99-M99-N99-W99</f>
        <v>1757.48641254705</v>
      </c>
      <c r="Y99" s="22" t="n">
        <f aca="false">Y98+X99</f>
        <v>-261806.216153391</v>
      </c>
      <c r="Z99" s="22" t="n">
        <f aca="false">IF($A99&gt;=Premissas!$C$18,O99*(1-Premissas!$C$45)-Premissas!$C$46*MAX(0,O99*(1-Premissas!$C$45)-(SUM($W$5:$W$355)+Premissas!$C$26*Premissas!$C$60)),"")</f>
        <v>447681.269246625</v>
      </c>
      <c r="AA99" s="22" t="n">
        <f aca="false">IF($A99&gt;=Premissas!$C$18,Y99+Z99,"")</f>
        <v>185875.053093233</v>
      </c>
      <c r="AB99" s="22" t="n">
        <f aca="false">AB98*(1+$P99)-X99</f>
        <v>540504.159937771</v>
      </c>
      <c r="AC99" s="22" t="n">
        <f aca="false">AND($A99&gt;=Premissas!$C$16,$A99&lt;EDATE(Premissas!$C$16,3))*Premissas!$C$10/3*(1+Premissas!$C$56)^$C99</f>
        <v>0</v>
      </c>
      <c r="AD99" s="22" t="n">
        <f aca="false">L99-M99-N99-AC99</f>
        <v>1757.48641254705</v>
      </c>
      <c r="AE99" s="22" t="n">
        <f aca="false">AE98+AD99</f>
        <v>-269426.680033416</v>
      </c>
      <c r="AF99" s="22" t="n">
        <f aca="false">IF($A99&gt;=Premissas!$C$18,O99*(1-Premissas!$C$45)-Premissas!$C$46*MAX(0,O99*(1-Premissas!$C$45)-(SUM($AC$5:$AC$355)+Premissas!$C$26*Premissas!$C$60)),"")</f>
        <v>448824.338828629</v>
      </c>
      <c r="AG99" s="22" t="n">
        <f aca="false">IF($A99&gt;=Premissas!$C$18,AE99+AF99,"")</f>
        <v>179397.658795212</v>
      </c>
      <c r="AH99" s="22" t="n">
        <f aca="false">AH98*(1+$P99)-AD99</f>
        <v>550151.708801902</v>
      </c>
      <c r="AI99" s="22" t="n">
        <f aca="false">($A99=Premissas!$C$16)*0.2*Premissas!$C$11+AND($A99&gt;Premissas!$C$16,$A99&lt;=EDATE(Premissas!$C$16,43))*0.8*Premissas!$C$11/43*(1+Premissas!$C$56)^$C99</f>
        <v>0</v>
      </c>
      <c r="AJ99" s="22" t="n">
        <f aca="false">L99-M99-N99-AI99</f>
        <v>1757.48641254705</v>
      </c>
      <c r="AK99" s="22" t="n">
        <f aca="false">AK98+AJ99</f>
        <v>-315291.165451478</v>
      </c>
      <c r="AL99" s="22" t="n">
        <f aca="false">IF($A99&gt;=Premissas!$C$18,O99*(1-Premissas!$C$45)-Premissas!$C$46*MAX(0,O99*(1-Premissas!$C$45)-(SUM($AI$5:$AI$355)+Premissas!$C$26*Premissas!$C$60)),"")</f>
        <v>455704.011641338</v>
      </c>
      <c r="AM99" s="22" t="n">
        <f aca="false">IF($A99&gt;=Premissas!$C$18,AK99+AL99,"")</f>
        <v>140412.84618986</v>
      </c>
      <c r="AN99" s="22" t="n">
        <f aca="false">AN98*(1+$P99)-AJ99</f>
        <v>559153.424228397</v>
      </c>
      <c r="AO99" s="22" t="n">
        <f aca="false">V99+S99</f>
        <v>249101.504891185</v>
      </c>
    </row>
    <row r="100" customFormat="false" ht="15" hidden="false" customHeight="false" outlineLevel="0" collapsed="false">
      <c r="A100" s="26" t="n">
        <f aca="false">DATE(YEAR(A99),MONTH(A99)+1,1)</f>
        <v>49188</v>
      </c>
      <c r="B100" s="22" t="str">
        <f aca="false">IF($A100&lt;Premissas!$C$18,"Obra",IF($A100&lt;Premissas!$C$20,"Entrega/mobília","Airbnb"))</f>
        <v>Airbnb</v>
      </c>
      <c r="C100" s="36" t="n">
        <f aca="false">(YEAR($A100)-YEAR(Premissas!$C$16))*12+MONTH($A100)-MONTH(Premissas!$C$16)</f>
        <v>95</v>
      </c>
      <c r="D100" s="33" t="n">
        <f aca="false">IF($A100&gt;=Premissas!$C$20,Premissas!$C$31*IF(((YEAR($A100)-YEAR(Premissas!$C$20))*12+MONTH($A100)-MONTH(Premissas!$C$20))&lt;Premissas!$C$33,Premissas!$C$34,1),0)</f>
        <v>0.62</v>
      </c>
      <c r="E100" s="22" t="n">
        <f aca="false">D100*Premissas!$C$30*Premissas!$C$32*(1+Premissas!$C$58)^$C100</f>
        <v>6343.08048944457</v>
      </c>
      <c r="F100" s="22" t="n">
        <f aca="false">E100*Premissas!$C$35</f>
        <v>1014.89287831113</v>
      </c>
      <c r="G100" s="22" t="n">
        <f aca="false">E100*Premissas!$C$36</f>
        <v>1268.61609788891</v>
      </c>
      <c r="H100" s="22" t="n">
        <f aca="false">IF($A100&gt;=Premissas!$C$18,Premissas!$C$37*(1+Premissas!$C$58)^$C100,0)</f>
        <v>818.461998638009</v>
      </c>
      <c r="I100" s="22" t="n">
        <f aca="false">IF($A100&gt;=Premissas!$C$20,Premissas!$C$38*(1+Premissas!$C$58)^$C100,0)</f>
        <v>381.948932697737</v>
      </c>
      <c r="J100" s="22" t="n">
        <f aca="false">IF($A100&gt;=Premissas!$C$20,Premissas!$C$39*(1+Premissas!$C$58)^$C100,0)</f>
        <v>204.615499659502</v>
      </c>
      <c r="K100" s="22" t="n">
        <f aca="false">IF($A100&gt;=Premissas!$C$20,MAX(0,E100-F100-G100-H100)*Premissas!$C$41,0)</f>
        <v>891.305116516792</v>
      </c>
      <c r="L100" s="22" t="n">
        <f aca="false">E100-F100-G100-H100-I100-J100-K100</f>
        <v>1763.23996573248</v>
      </c>
      <c r="M100" s="22" t="n">
        <f aca="false">($A100=Premissas!$C$18)*Premissas!$C$26*Premissas!$C$60</f>
        <v>0</v>
      </c>
      <c r="N100" s="22" t="n">
        <f aca="false">IF(AND($A100&gt;=Premissas!$C$18,$A100&lt;Premissas!$C$20),Premissas!$C$27/MAX(1,Premissas!$C$19),0)</f>
        <v>0</v>
      </c>
      <c r="O100" s="22" t="n">
        <f aca="false">IF($A100&gt;=Premissas!$C$18,Premissas!$C$60*(1+Premissas!$C$59)^((YEAR($A100)-YEAR(Premissas!$C$18))*12+MONTH($A100)-MONTH(Premissas!$C$18)),"")</f>
        <v>506525.940387628</v>
      </c>
      <c r="P100" s="31" t="n">
        <f aca="false">(1+IF(YEAR($A100)&lt;=2026,Premissas!$C$49,IF(YEAR($A100)=2027,Premissas!$C$50,IF(YEAR($A100)=2028,Premissas!$C$51,Premissas!$C$52)))*(1-Premissas!$C$53))^(1/12)-1</f>
        <v>0.00682149336596227</v>
      </c>
      <c r="Q100" s="22" t="n">
        <f aca="false">($A100=Premissas!$C$16)*Premissas!$C$13</f>
        <v>0</v>
      </c>
      <c r="R100" s="22" t="n">
        <f aca="false">L100-M100-N100-Q100</f>
        <v>1763.23996573248</v>
      </c>
      <c r="S100" s="22" t="n">
        <f aca="false">S99+R100</f>
        <v>-229114.976187659</v>
      </c>
      <c r="T100" s="22" t="n">
        <f aca="false">IF($A100&gt;=Premissas!$C$18,O100*(1-Premissas!$C$45)-Premissas!$C$46*MAX(0,O100*(1-Premissas!$C$45)-(SUM($Q$5:$Q$355)+Premissas!$C$26*Premissas!$C$60)),"")</f>
        <v>444684.234716461</v>
      </c>
      <c r="U100" s="22" t="n">
        <f aca="false">IF($A100&gt;=Premissas!$C$18,S100+T100,"")</f>
        <v>215569.258528802</v>
      </c>
      <c r="V100" s="22" t="n">
        <f aca="false">V99*(1+$P100)-R100</f>
        <v>481490.659561746</v>
      </c>
      <c r="W100" s="22" t="n">
        <f aca="false">($A100=Premissas!$C$16)*Premissas!$C$9</f>
        <v>0</v>
      </c>
      <c r="X100" s="22" t="n">
        <f aca="false">L100-M100-N100-W100</f>
        <v>1763.23996573248</v>
      </c>
      <c r="Y100" s="22" t="n">
        <f aca="false">Y99+X100</f>
        <v>-260042.976187659</v>
      </c>
      <c r="Z100" s="22" t="n">
        <f aca="false">IF($A100&gt;=Premissas!$C$18,O100*(1-Premissas!$C$45)-Premissas!$C$46*MAX(0,O100*(1-Premissas!$C$45)-(SUM($W$5:$W$355)+Premissas!$C$26*Premissas!$C$60)),"")</f>
        <v>449323.434716461</v>
      </c>
      <c r="AA100" s="22" t="n">
        <f aca="false">IF($A100&gt;=Premissas!$C$18,Y100+Z100,"")</f>
        <v>189280.458528802</v>
      </c>
      <c r="AB100" s="22" t="n">
        <f aca="false">AB99*(1+$P100)-X100</f>
        <v>542427.965513329</v>
      </c>
      <c r="AC100" s="22" t="n">
        <f aca="false">AND($A100&gt;=Premissas!$C$16,$A100&lt;EDATE(Premissas!$C$16,3))*Premissas!$C$10/3*(1+Premissas!$C$56)^$C100</f>
        <v>0</v>
      </c>
      <c r="AD100" s="22" t="n">
        <f aca="false">L100-M100-N100-AC100</f>
        <v>1763.23996573248</v>
      </c>
      <c r="AE100" s="22" t="n">
        <f aca="false">AE99+AD100</f>
        <v>-267663.440067684</v>
      </c>
      <c r="AF100" s="22" t="n">
        <f aca="false">IF($A100&gt;=Premissas!$C$18,O100*(1-Premissas!$C$45)-Premissas!$C$46*MAX(0,O100*(1-Premissas!$C$45)-(SUM($AC$5:$AC$355)+Premissas!$C$26*Premissas!$C$60)),"")</f>
        <v>450466.504298465</v>
      </c>
      <c r="AG100" s="22" t="n">
        <f aca="false">IF($A100&gt;=Premissas!$C$18,AE100+AF100,"")</f>
        <v>182803.064230781</v>
      </c>
      <c r="AH100" s="22" t="n">
        <f aca="false">AH99*(1+$P100)-AD100</f>
        <v>552141.325068035</v>
      </c>
      <c r="AI100" s="22" t="n">
        <f aca="false">($A100=Premissas!$C$16)*0.2*Premissas!$C$11+AND($A100&gt;Premissas!$C$16,$A100&lt;=EDATE(Premissas!$C$16,43))*0.8*Premissas!$C$11/43*(1+Premissas!$C$56)^$C100</f>
        <v>0</v>
      </c>
      <c r="AJ100" s="22" t="n">
        <f aca="false">L100-M100-N100-AI100</f>
        <v>1763.23996573248</v>
      </c>
      <c r="AK100" s="22" t="n">
        <f aca="false">AK99+AJ100</f>
        <v>-313527.925485746</v>
      </c>
      <c r="AL100" s="22" t="n">
        <f aca="false">IF($A100&gt;=Premissas!$C$18,O100*(1-Premissas!$C$45)-Premissas!$C$46*MAX(0,O100*(1-Premissas!$C$45)-(SUM($AI$5:$AI$355)+Premissas!$C$26*Premissas!$C$60)),"")</f>
        <v>457346.177111174</v>
      </c>
      <c r="AM100" s="22" t="n">
        <f aca="false">IF($A100&gt;=Premissas!$C$18,AK100+AL100,"")</f>
        <v>143818.251625429</v>
      </c>
      <c r="AN100" s="22" t="n">
        <f aca="false">AN99*(1+$P100)-AJ100</f>
        <v>561204.445636594</v>
      </c>
      <c r="AO100" s="22" t="n">
        <f aca="false">V100+S100</f>
        <v>252375.683374087</v>
      </c>
    </row>
    <row r="101" customFormat="false" ht="15" hidden="false" customHeight="false" outlineLevel="0" collapsed="false">
      <c r="A101" s="26" t="n">
        <f aca="false">DATE(YEAR(A100),MONTH(A100)+1,1)</f>
        <v>49218</v>
      </c>
      <c r="B101" s="22" t="str">
        <f aca="false">IF($A101&lt;Premissas!$C$18,"Obra",IF($A101&lt;Premissas!$C$20,"Entrega/mobília","Airbnb"))</f>
        <v>Airbnb</v>
      </c>
      <c r="C101" s="36" t="n">
        <f aca="false">(YEAR($A101)-YEAR(Premissas!$C$16))*12+MONTH($A101)-MONTH(Premissas!$C$16)</f>
        <v>96</v>
      </c>
      <c r="D101" s="33" t="n">
        <f aca="false">IF($A101&gt;=Premissas!$C$20,Premissas!$C$31*IF(((YEAR($A101)-YEAR(Premissas!$C$20))*12+MONTH($A101)-MONTH(Premissas!$C$20))&lt;Premissas!$C$33,Premissas!$C$34,1),0)</f>
        <v>0.62</v>
      </c>
      <c r="E101" s="22" t="n">
        <f aca="false">D101*Premissas!$C$30*Premissas!$C$32*(1+Premissas!$C$58)^$C101</f>
        <v>6363.84608438455</v>
      </c>
      <c r="F101" s="22" t="n">
        <f aca="false">E101*Premissas!$C$35</f>
        <v>1018.21537350153</v>
      </c>
      <c r="G101" s="22" t="n">
        <f aca="false">E101*Premissas!$C$36</f>
        <v>1272.76921687691</v>
      </c>
      <c r="H101" s="22" t="n">
        <f aca="false">IF($A101&gt;=Premissas!$C$18,Premissas!$C$37*(1+Premissas!$C$58)^$C101,0)</f>
        <v>821.141430243168</v>
      </c>
      <c r="I101" s="22" t="n">
        <f aca="false">IF($A101&gt;=Premissas!$C$20,Premissas!$C$38*(1+Premissas!$C$58)^$C101,0)</f>
        <v>383.199334113478</v>
      </c>
      <c r="J101" s="22" t="n">
        <f aca="false">IF($A101&gt;=Premissas!$C$20,Premissas!$C$39*(1+Premissas!$C$58)^$C101,0)</f>
        <v>205.285357560792</v>
      </c>
      <c r="K101" s="22" t="n">
        <f aca="false">IF($A101&gt;=Premissas!$C$20,MAX(0,E101-F101-G101-H101)*Premissas!$C$41,0)</f>
        <v>894.22301753481</v>
      </c>
      <c r="L101" s="22" t="n">
        <f aca="false">E101-F101-G101-H101-I101-J101-K101</f>
        <v>1769.01235455387</v>
      </c>
      <c r="M101" s="22" t="n">
        <f aca="false">($A101=Premissas!$C$18)*Premissas!$C$26*Premissas!$C$60</f>
        <v>0</v>
      </c>
      <c r="N101" s="22" t="n">
        <f aca="false">IF(AND($A101&gt;=Premissas!$C$18,$A101&lt;Premissas!$C$20),Premissas!$C$27/MAX(1,Premissas!$C$19),0)</f>
        <v>0</v>
      </c>
      <c r="O101" s="22" t="n">
        <f aca="false">IF($A101&gt;=Premissas!$C$18,Premissas!$C$60*(1+Premissas!$C$59)^((YEAR($A101)-YEAR(Premissas!$C$18))*12+MONTH($A101)-MONTH(Premissas!$C$18)),"")</f>
        <v>508589.589768396</v>
      </c>
      <c r="P101" s="31" t="n">
        <f aca="false">(1+IF(YEAR($A101)&lt;=2026,Premissas!$C$49,IF(YEAR($A101)=2027,Premissas!$C$50,IF(YEAR($A101)=2028,Premissas!$C$51,Premissas!$C$52)))*(1-Premissas!$C$53))^(1/12)-1</f>
        <v>0.00682149336596227</v>
      </c>
      <c r="Q101" s="22" t="n">
        <f aca="false">($A101=Premissas!$C$16)*Premissas!$C$13</f>
        <v>0</v>
      </c>
      <c r="R101" s="22" t="n">
        <f aca="false">L101-M101-N101-Q101</f>
        <v>1769.01235455387</v>
      </c>
      <c r="S101" s="22" t="n">
        <f aca="false">S100+R101</f>
        <v>-227345.963833105</v>
      </c>
      <c r="T101" s="22" t="n">
        <f aca="false">IF($A101&gt;=Premissas!$C$18,O101*(1-Premissas!$C$45)-Premissas!$C$46*MAX(0,O101*(1-Premissas!$C$45)-(SUM($Q$5:$Q$355)+Premissas!$C$26*Premissas!$C$60)),"")</f>
        <v>446333.090571695</v>
      </c>
      <c r="U101" s="22" t="n">
        <f aca="false">IF($A101&gt;=Premissas!$C$18,S101+T101,"")</f>
        <v>218987.12673859</v>
      </c>
      <c r="V101" s="22" t="n">
        <f aca="false">V100*(1+$P101)-R101</f>
        <v>483006.132547165</v>
      </c>
      <c r="W101" s="22" t="n">
        <f aca="false">($A101=Premissas!$C$16)*Premissas!$C$9</f>
        <v>0</v>
      </c>
      <c r="X101" s="22" t="n">
        <f aca="false">L101-M101-N101-W101</f>
        <v>1769.01235455387</v>
      </c>
      <c r="Y101" s="22" t="n">
        <f aca="false">Y100+X101</f>
        <v>-258273.963833105</v>
      </c>
      <c r="Z101" s="22" t="n">
        <f aca="false">IF($A101&gt;=Premissas!$C$18,O101*(1-Premissas!$C$45)-Premissas!$C$46*MAX(0,O101*(1-Premissas!$C$45)-(SUM($W$5:$W$355)+Premissas!$C$26*Premissas!$C$60)),"")</f>
        <v>450972.290571695</v>
      </c>
      <c r="AA101" s="22" t="n">
        <f aca="false">IF($A101&gt;=Premissas!$C$18,Y101+Z101,"")</f>
        <v>192698.32673859</v>
      </c>
      <c r="AB101" s="22" t="n">
        <f aca="false">AB100*(1+$P101)-X101</f>
        <v>544359.121927037</v>
      </c>
      <c r="AC101" s="22" t="n">
        <f aca="false">AND($A101&gt;=Premissas!$C$16,$A101&lt;EDATE(Premissas!$C$16,3))*Premissas!$C$10/3*(1+Premissas!$C$56)^$C101</f>
        <v>0</v>
      </c>
      <c r="AD101" s="22" t="n">
        <f aca="false">L101-M101-N101-AC101</f>
        <v>1769.01235455387</v>
      </c>
      <c r="AE101" s="22" t="n">
        <f aca="false">AE100+AD101</f>
        <v>-265894.42771313</v>
      </c>
      <c r="AF101" s="22" t="n">
        <f aca="false">IF($A101&gt;=Premissas!$C$18,O101*(1-Premissas!$C$45)-Premissas!$C$46*MAX(0,O101*(1-Premissas!$C$45)-(SUM($AC$5:$AC$355)+Premissas!$C$26*Premissas!$C$60)),"")</f>
        <v>452115.360153699</v>
      </c>
      <c r="AG101" s="22" t="n">
        <f aca="false">IF($A101&gt;=Premissas!$C$18,AE101+AF101,"")</f>
        <v>186220.932440569</v>
      </c>
      <c r="AH101" s="22" t="n">
        <f aca="false">AH100*(1+$P101)-AD101</f>
        <v>554138.741099506</v>
      </c>
      <c r="AI101" s="22" t="n">
        <f aca="false">($A101=Premissas!$C$16)*0.2*Premissas!$C$11+AND($A101&gt;Premissas!$C$16,$A101&lt;=EDATE(Premissas!$C$16,43))*0.8*Premissas!$C$11/43*(1+Premissas!$C$56)^$C101</f>
        <v>0</v>
      </c>
      <c r="AJ101" s="22" t="n">
        <f aca="false">L101-M101-N101-AI101</f>
        <v>1769.01235455387</v>
      </c>
      <c r="AK101" s="22" t="n">
        <f aca="false">AK100+AJ101</f>
        <v>-311758.913131192</v>
      </c>
      <c r="AL101" s="22" t="n">
        <f aca="false">IF($A101&gt;=Premissas!$C$18,O101*(1-Premissas!$C$45)-Premissas!$C$46*MAX(0,O101*(1-Premissas!$C$45)-(SUM($AI$5:$AI$355)+Premissas!$C$26*Premissas!$C$60)),"")</f>
        <v>458995.032966408</v>
      </c>
      <c r="AM101" s="22" t="n">
        <f aca="false">IF($A101&gt;=Premissas!$C$18,AK101+AL101,"")</f>
        <v>147236.119835216</v>
      </c>
      <c r="AN101" s="22" t="n">
        <f aca="false">AN100*(1+$P101)-AJ101</f>
        <v>563263.685684898</v>
      </c>
      <c r="AO101" s="22" t="n">
        <f aca="false">V101+S101</f>
        <v>255660.16871406</v>
      </c>
    </row>
    <row r="102" customFormat="false" ht="15" hidden="false" customHeight="false" outlineLevel="0" collapsed="false">
      <c r="A102" s="26" t="n">
        <f aca="false">DATE(YEAR(A101),MONTH(A101)+1,1)</f>
        <v>49249</v>
      </c>
      <c r="B102" s="22" t="str">
        <f aca="false">IF($A102&lt;Premissas!$C$18,"Obra",IF($A102&lt;Premissas!$C$20,"Entrega/mobília","Airbnb"))</f>
        <v>Airbnb</v>
      </c>
      <c r="C102" s="36" t="n">
        <f aca="false">(YEAR($A102)-YEAR(Premissas!$C$16))*12+MONTH($A102)-MONTH(Premissas!$C$16)</f>
        <v>97</v>
      </c>
      <c r="D102" s="33" t="n">
        <f aca="false">IF($A102&gt;=Premissas!$C$20,Premissas!$C$31*IF(((YEAR($A102)-YEAR(Premissas!$C$20))*12+MONTH($A102)-MONTH(Premissas!$C$20))&lt;Premissas!$C$33,Premissas!$C$34,1),0)</f>
        <v>0.62</v>
      </c>
      <c r="E102" s="22" t="n">
        <f aca="false">D102*Premissas!$C$30*Premissas!$C$32*(1+Premissas!$C$58)^$C102</f>
        <v>6384.67966047879</v>
      </c>
      <c r="F102" s="22" t="n">
        <f aca="false">E102*Premissas!$C$35</f>
        <v>1021.54874567661</v>
      </c>
      <c r="G102" s="22" t="n">
        <f aca="false">E102*Premissas!$C$36</f>
        <v>1276.93593209576</v>
      </c>
      <c r="H102" s="22" t="n">
        <f aca="false">IF($A102&gt;=Premissas!$C$18,Premissas!$C$37*(1+Premissas!$C$58)^$C102,0)</f>
        <v>823.829633610167</v>
      </c>
      <c r="I102" s="22" t="n">
        <f aca="false">IF($A102&gt;=Premissas!$C$20,Premissas!$C$38*(1+Premissas!$C$58)^$C102,0)</f>
        <v>384.453829018078</v>
      </c>
      <c r="J102" s="22" t="n">
        <f aca="false">IF($A102&gt;=Premissas!$C$20,Premissas!$C$39*(1+Premissas!$C$58)^$C102,0)</f>
        <v>205.957408402542</v>
      </c>
      <c r="K102" s="22" t="n">
        <f aca="false">IF($A102&gt;=Premissas!$C$20,MAX(0,E102-F102-G102-H102)*Premissas!$C$41,0)</f>
        <v>897.150471001472</v>
      </c>
      <c r="L102" s="22" t="n">
        <f aca="false">E102-F102-G102-H102-I102-J102-K102</f>
        <v>1774.80364067417</v>
      </c>
      <c r="M102" s="22" t="n">
        <f aca="false">($A102=Premissas!$C$18)*Premissas!$C$26*Premissas!$C$60</f>
        <v>0</v>
      </c>
      <c r="N102" s="22" t="n">
        <f aca="false">IF(AND($A102&gt;=Premissas!$C$18,$A102&lt;Premissas!$C$20),Premissas!$C$27/MAX(1,Premissas!$C$19),0)</f>
        <v>0</v>
      </c>
      <c r="O102" s="22" t="n">
        <f aca="false">IF($A102&gt;=Premissas!$C$18,Premissas!$C$60*(1+Premissas!$C$59)^((YEAR($A102)-YEAR(Premissas!$C$18))*12+MONTH($A102)-MONTH(Premissas!$C$18)),"")</f>
        <v>510661.646712188</v>
      </c>
      <c r="P102" s="31" t="n">
        <f aca="false">(1+IF(YEAR($A102)&lt;=2026,Premissas!$C$49,IF(YEAR($A102)=2027,Premissas!$C$50,IF(YEAR($A102)=2028,Premissas!$C$51,Premissas!$C$52)))*(1-Premissas!$C$53))^(1/12)-1</f>
        <v>0.00682149336596227</v>
      </c>
      <c r="Q102" s="22" t="n">
        <f aca="false">($A102=Premissas!$C$16)*Premissas!$C$13</f>
        <v>0</v>
      </c>
      <c r="R102" s="22" t="n">
        <f aca="false">L102-M102-N102-Q102</f>
        <v>1774.80364067417</v>
      </c>
      <c r="S102" s="22" t="n">
        <f aca="false">S101+R102</f>
        <v>-225571.160192431</v>
      </c>
      <c r="T102" s="22" t="n">
        <f aca="false">IF($A102&gt;=Premissas!$C$18,O102*(1-Premissas!$C$45)-Premissas!$C$46*MAX(0,O102*(1-Premissas!$C$45)-(SUM($Q$5:$Q$355)+Premissas!$C$26*Premissas!$C$60)),"")</f>
        <v>447988.664069784</v>
      </c>
      <c r="U102" s="22" t="n">
        <f aca="false">IF($A102&gt;=Premissas!$C$18,S102+T102,"")</f>
        <v>222417.503877353</v>
      </c>
      <c r="V102" s="22" t="n">
        <f aca="false">V101*(1+$P102)-R102</f>
        <v>484526.152035381</v>
      </c>
      <c r="W102" s="22" t="n">
        <f aca="false">($A102=Premissas!$C$16)*Premissas!$C$9</f>
        <v>0</v>
      </c>
      <c r="X102" s="22" t="n">
        <f aca="false">L102-M102-N102-W102</f>
        <v>1774.80364067417</v>
      </c>
      <c r="Y102" s="22" t="n">
        <f aca="false">Y101+X102</f>
        <v>-256499.160192431</v>
      </c>
      <c r="Z102" s="22" t="n">
        <f aca="false">IF($A102&gt;=Premissas!$C$18,O102*(1-Premissas!$C$45)-Premissas!$C$46*MAX(0,O102*(1-Premissas!$C$45)-(SUM($W$5:$W$355)+Premissas!$C$26*Premissas!$C$60)),"")</f>
        <v>452627.864069784</v>
      </c>
      <c r="AA102" s="22" t="n">
        <f aca="false">IF($A102&gt;=Premissas!$C$18,Y102+Z102,"")</f>
        <v>196128.703877353</v>
      </c>
      <c r="AB102" s="22" t="n">
        <f aca="false">AB101*(1+$P102)-X102</f>
        <v>546297.660425289</v>
      </c>
      <c r="AC102" s="22" t="n">
        <f aca="false">AND($A102&gt;=Premissas!$C$16,$A102&lt;EDATE(Premissas!$C$16,3))*Premissas!$C$10/3*(1+Premissas!$C$56)^$C102</f>
        <v>0</v>
      </c>
      <c r="AD102" s="22" t="n">
        <f aca="false">L102-M102-N102-AC102</f>
        <v>1774.80364067417</v>
      </c>
      <c r="AE102" s="22" t="n">
        <f aca="false">AE101+AD102</f>
        <v>-264119.624072456</v>
      </c>
      <c r="AF102" s="22" t="n">
        <f aca="false">IF($A102&gt;=Premissas!$C$18,O102*(1-Premissas!$C$45)-Premissas!$C$46*MAX(0,O102*(1-Premissas!$C$45)-(SUM($AC$5:$AC$355)+Premissas!$C$26*Premissas!$C$60)),"")</f>
        <v>453770.933651788</v>
      </c>
      <c r="AG102" s="22" t="n">
        <f aca="false">IF($A102&gt;=Premissas!$C$18,AE102+AF102,"")</f>
        <v>189651.309579332</v>
      </c>
      <c r="AH102" s="22" t="n">
        <f aca="false">AH101*(1+$P102)-AD102</f>
        <v>556143.991205065</v>
      </c>
      <c r="AI102" s="22" t="n">
        <f aca="false">($A102=Premissas!$C$16)*0.2*Premissas!$C$11+AND($A102&gt;Premissas!$C$16,$A102&lt;=EDATE(Premissas!$C$16,43))*0.8*Premissas!$C$11/43*(1+Premissas!$C$56)^$C102</f>
        <v>0</v>
      </c>
      <c r="AJ102" s="22" t="n">
        <f aca="false">L102-M102-N102-AI102</f>
        <v>1774.80364067417</v>
      </c>
      <c r="AK102" s="22" t="n">
        <f aca="false">AK101+AJ102</f>
        <v>-309984.109490518</v>
      </c>
      <c r="AL102" s="22" t="n">
        <f aca="false">IF($A102&gt;=Premissas!$C$18,O102*(1-Premissas!$C$45)-Premissas!$C$46*MAX(0,O102*(1-Premissas!$C$45)-(SUM($AI$5:$AI$355)+Premissas!$C$26*Premissas!$C$60)),"")</f>
        <v>460650.606464497</v>
      </c>
      <c r="AM102" s="22" t="n">
        <f aca="false">IF($A102&gt;=Premissas!$C$18,AK102+AL102,"")</f>
        <v>150666.49697398</v>
      </c>
      <c r="AN102" s="22" t="n">
        <f aca="false">AN101*(1+$P102)-AJ102</f>
        <v>565331.181539411</v>
      </c>
      <c r="AO102" s="22" t="n">
        <f aca="false">V102+S102</f>
        <v>258954.991842949</v>
      </c>
    </row>
    <row r="103" customFormat="false" ht="15" hidden="false" customHeight="false" outlineLevel="0" collapsed="false">
      <c r="A103" s="26" t="n">
        <f aca="false">DATE(YEAR(A102),MONTH(A102)+1,1)</f>
        <v>49279</v>
      </c>
      <c r="B103" s="22" t="str">
        <f aca="false">IF($A103&lt;Premissas!$C$18,"Obra",IF($A103&lt;Premissas!$C$20,"Entrega/mobília","Airbnb"))</f>
        <v>Airbnb</v>
      </c>
      <c r="C103" s="36" t="n">
        <f aca="false">(YEAR($A103)-YEAR(Premissas!$C$16))*12+MONTH($A103)-MONTH(Premissas!$C$16)</f>
        <v>98</v>
      </c>
      <c r="D103" s="33" t="n">
        <f aca="false">IF($A103&gt;=Premissas!$C$20,Premissas!$C$31*IF(((YEAR($A103)-YEAR(Premissas!$C$20))*12+MONTH($A103)-MONTH(Premissas!$C$20))&lt;Premissas!$C$33,Premissas!$C$34,1),0)</f>
        <v>0.62</v>
      </c>
      <c r="E103" s="22" t="n">
        <f aca="false">D103*Premissas!$C$30*Premissas!$C$32*(1+Premissas!$C$58)^$C103</f>
        <v>6405.5814402799</v>
      </c>
      <c r="F103" s="22" t="n">
        <f aca="false">E103*Premissas!$C$35</f>
        <v>1024.89303044478</v>
      </c>
      <c r="G103" s="22" t="n">
        <f aca="false">E103*Premissas!$C$36</f>
        <v>1281.11628805598</v>
      </c>
      <c r="H103" s="22" t="n">
        <f aca="false">IF($A103&gt;=Premissas!$C$18,Premissas!$C$37*(1+Premissas!$C$58)^$C103,0)</f>
        <v>826.526637455471</v>
      </c>
      <c r="I103" s="22" t="n">
        <f aca="false">IF($A103&gt;=Premissas!$C$20,Premissas!$C$38*(1+Premissas!$C$58)^$C103,0)</f>
        <v>385.712430812553</v>
      </c>
      <c r="J103" s="22" t="n">
        <f aca="false">IF($A103&gt;=Premissas!$C$20,Premissas!$C$39*(1+Premissas!$C$58)^$C103,0)</f>
        <v>206.631659363868</v>
      </c>
      <c r="K103" s="22" t="n">
        <f aca="false">IF($A103&gt;=Premissas!$C$20,MAX(0,E103-F103-G103-H103)*Premissas!$C$41,0)</f>
        <v>900.087508189008</v>
      </c>
      <c r="L103" s="22" t="n">
        <f aca="false">E103-F103-G103-H103-I103-J103-K103</f>
        <v>1780.61388595824</v>
      </c>
      <c r="M103" s="22" t="n">
        <f aca="false">($A103=Premissas!$C$18)*Premissas!$C$26*Premissas!$C$60</f>
        <v>0</v>
      </c>
      <c r="N103" s="22" t="n">
        <f aca="false">IF(AND($A103&gt;=Premissas!$C$18,$A103&lt;Premissas!$C$20),Premissas!$C$27/MAX(1,Premissas!$C$19),0)</f>
        <v>0</v>
      </c>
      <c r="O103" s="22" t="n">
        <f aca="false">IF($A103&gt;=Premissas!$C$18,Premissas!$C$60*(1+Premissas!$C$59)^((YEAR($A103)-YEAR(Premissas!$C$18))*12+MONTH($A103)-MONTH(Premissas!$C$18)),"")</f>
        <v>512742.145472455</v>
      </c>
      <c r="P103" s="31" t="n">
        <f aca="false">(1+IF(YEAR($A103)&lt;=2026,Premissas!$C$49,IF(YEAR($A103)=2027,Premissas!$C$50,IF(YEAR($A103)=2028,Premissas!$C$51,Premissas!$C$52)))*(1-Premissas!$C$53))^(1/12)-1</f>
        <v>0.00682149336596227</v>
      </c>
      <c r="Q103" s="22" t="n">
        <f aca="false">($A103=Premissas!$C$16)*Premissas!$C$13</f>
        <v>0</v>
      </c>
      <c r="R103" s="22" t="n">
        <f aca="false">L103-M103-N103-Q103</f>
        <v>1780.61388595824</v>
      </c>
      <c r="S103" s="22" t="n">
        <f aca="false">S102+R103</f>
        <v>-223790.546306473</v>
      </c>
      <c r="T103" s="22" t="n">
        <f aca="false">IF($A103&gt;=Premissas!$C$18,O103*(1-Premissas!$C$45)-Premissas!$C$46*MAX(0,O103*(1-Premissas!$C$45)-(SUM($Q$5:$Q$355)+Premissas!$C$26*Premissas!$C$60)),"")</f>
        <v>449650.982579238</v>
      </c>
      <c r="U103" s="22" t="n">
        <f aca="false">IF($A103&gt;=Premissas!$C$18,S103+T103,"")</f>
        <v>225860.436272765</v>
      </c>
      <c r="V103" s="22" t="n">
        <f aca="false">V102*(1+$P103)-R103</f>
        <v>486050.730081167</v>
      </c>
      <c r="W103" s="22" t="n">
        <f aca="false">($A103=Premissas!$C$16)*Premissas!$C$9</f>
        <v>0</v>
      </c>
      <c r="X103" s="22" t="n">
        <f aca="false">L103-M103-N103-W103</f>
        <v>1780.61388595824</v>
      </c>
      <c r="Y103" s="22" t="n">
        <f aca="false">Y102+X103</f>
        <v>-254718.546306473</v>
      </c>
      <c r="Z103" s="22" t="n">
        <f aca="false">IF($A103&gt;=Premissas!$C$18,O103*(1-Premissas!$C$45)-Premissas!$C$46*MAX(0,O103*(1-Premissas!$C$45)-(SUM($W$5:$W$355)+Premissas!$C$26*Premissas!$C$60)),"")</f>
        <v>454290.182579238</v>
      </c>
      <c r="AA103" s="22" t="n">
        <f aca="false">IF($A103&gt;=Premissas!$C$18,Y103+Z103,"")</f>
        <v>199571.636272765</v>
      </c>
      <c r="AB103" s="22" t="n">
        <f aca="false">AB102*(1+$P103)-X103</f>
        <v>548243.612405763</v>
      </c>
      <c r="AC103" s="22" t="n">
        <f aca="false">AND($A103&gt;=Premissas!$C$16,$A103&lt;EDATE(Premissas!$C$16,3))*Premissas!$C$10/3*(1+Premissas!$C$56)^$C103</f>
        <v>0</v>
      </c>
      <c r="AD103" s="22" t="n">
        <f aca="false">L103-M103-N103-AC103</f>
        <v>1780.61388595824</v>
      </c>
      <c r="AE103" s="22" t="n">
        <f aca="false">AE102+AD103</f>
        <v>-262339.010186498</v>
      </c>
      <c r="AF103" s="22" t="n">
        <f aca="false">IF($A103&gt;=Premissas!$C$18,O103*(1-Premissas!$C$45)-Premissas!$C$46*MAX(0,O103*(1-Premissas!$C$45)-(SUM($AC$5:$AC$355)+Premissas!$C$26*Premissas!$C$60)),"")</f>
        <v>455433.252161241</v>
      </c>
      <c r="AG103" s="22" t="n">
        <f aca="false">IF($A103&gt;=Premissas!$C$18,AE103+AF103,"")</f>
        <v>193094.241974744</v>
      </c>
      <c r="AH103" s="22" t="n">
        <f aca="false">AH102*(1+$P103)-AD103</f>
        <v>558157.109865632</v>
      </c>
      <c r="AI103" s="22" t="n">
        <f aca="false">($A103=Premissas!$C$16)*0.2*Premissas!$C$11+AND($A103&gt;Premissas!$C$16,$A103&lt;=EDATE(Premissas!$C$16,43))*0.8*Premissas!$C$11/43*(1+Premissas!$C$56)^$C103</f>
        <v>0</v>
      </c>
      <c r="AJ103" s="22" t="n">
        <f aca="false">L103-M103-N103-AI103</f>
        <v>1780.61388595824</v>
      </c>
      <c r="AK103" s="22" t="n">
        <f aca="false">AK102+AJ103</f>
        <v>-308203.495604559</v>
      </c>
      <c r="AL103" s="22" t="n">
        <f aca="false">IF($A103&gt;=Premissas!$C$18,O103*(1-Premissas!$C$45)-Premissas!$C$46*MAX(0,O103*(1-Premissas!$C$45)-(SUM($AI$5:$AI$355)+Premissas!$C$26*Premissas!$C$60)),"")</f>
        <v>462312.924973951</v>
      </c>
      <c r="AM103" s="22" t="n">
        <f aca="false">IF($A103&gt;=Premissas!$C$18,AK103+AL103,"")</f>
        <v>154109.429369391</v>
      </c>
      <c r="AN103" s="22" t="n">
        <f aca="false">AN102*(1+$P103)-AJ103</f>
        <v>567406.970557896</v>
      </c>
      <c r="AO103" s="22" t="n">
        <f aca="false">V103+S103</f>
        <v>262260.183774694</v>
      </c>
    </row>
    <row r="104" customFormat="false" ht="15" hidden="false" customHeight="false" outlineLevel="0" collapsed="false">
      <c r="A104" s="26" t="n">
        <f aca="false">DATE(YEAR(A103),MONTH(A103)+1,1)</f>
        <v>49310</v>
      </c>
      <c r="B104" s="22" t="str">
        <f aca="false">IF($A104&lt;Premissas!$C$18,"Obra",IF($A104&lt;Premissas!$C$20,"Entrega/mobília","Airbnb"))</f>
        <v>Airbnb</v>
      </c>
      <c r="C104" s="36" t="n">
        <f aca="false">(YEAR($A104)-YEAR(Premissas!$C$16))*12+MONTH($A104)-MONTH(Premissas!$C$16)</f>
        <v>99</v>
      </c>
      <c r="D104" s="33" t="n">
        <f aca="false">IF($A104&gt;=Premissas!$C$20,Premissas!$C$31*IF(((YEAR($A104)-YEAR(Premissas!$C$20))*12+MONTH($A104)-MONTH(Premissas!$C$20))&lt;Premissas!$C$33,Premissas!$C$34,1),0)</f>
        <v>0.62</v>
      </c>
      <c r="E104" s="22" t="n">
        <f aca="false">D104*Premissas!$C$30*Premissas!$C$32*(1+Premissas!$C$58)^$C104</f>
        <v>6426.55164706906</v>
      </c>
      <c r="F104" s="22" t="n">
        <f aca="false">E104*Premissas!$C$35</f>
        <v>1028.24826353105</v>
      </c>
      <c r="G104" s="22" t="n">
        <f aca="false">E104*Premissas!$C$36</f>
        <v>1285.31032941381</v>
      </c>
      <c r="H104" s="22" t="n">
        <f aca="false">IF($A104&gt;=Premissas!$C$18,Premissas!$C$37*(1+Premissas!$C$58)^$C104,0)</f>
        <v>829.232470589556</v>
      </c>
      <c r="I104" s="22" t="n">
        <f aca="false">IF($A104&gt;=Premissas!$C$20,Premissas!$C$38*(1+Premissas!$C$58)^$C104,0)</f>
        <v>386.975152941793</v>
      </c>
      <c r="J104" s="22" t="n">
        <f aca="false">IF($A104&gt;=Premissas!$C$20,Premissas!$C$39*(1+Premissas!$C$58)^$C104,0)</f>
        <v>207.308117647389</v>
      </c>
      <c r="K104" s="22" t="n">
        <f aca="false">IF($A104&gt;=Premissas!$C$20,MAX(0,E104-F104-G104-H104)*Premissas!$C$41,0)</f>
        <v>903.034160472027</v>
      </c>
      <c r="L104" s="22" t="n">
        <f aca="false">E104-F104-G104-H104-I104-J104-K104</f>
        <v>1786.44315247343</v>
      </c>
      <c r="M104" s="22" t="n">
        <f aca="false">($A104=Premissas!$C$18)*Premissas!$C$26*Premissas!$C$60</f>
        <v>0</v>
      </c>
      <c r="N104" s="22" t="n">
        <f aca="false">IF(AND($A104&gt;=Premissas!$C$18,$A104&lt;Premissas!$C$20),Premissas!$C$27/MAX(1,Premissas!$C$19),0)</f>
        <v>0</v>
      </c>
      <c r="O104" s="22" t="n">
        <f aca="false">IF($A104&gt;=Premissas!$C$18,Premissas!$C$60*(1+Premissas!$C$59)^((YEAR($A104)-YEAR(Premissas!$C$18))*12+MONTH($A104)-MONTH(Premissas!$C$18)),"")</f>
        <v>514831.120442203</v>
      </c>
      <c r="P104" s="31" t="n">
        <f aca="false">(1+IF(YEAR($A104)&lt;=2026,Premissas!$C$49,IF(YEAR($A104)=2027,Premissas!$C$50,IF(YEAR($A104)=2028,Premissas!$C$51,Premissas!$C$52)))*(1-Premissas!$C$53))^(1/12)-1</f>
        <v>0.00682149336596227</v>
      </c>
      <c r="Q104" s="22" t="n">
        <f aca="false">($A104=Premissas!$C$16)*Premissas!$C$13</f>
        <v>0</v>
      </c>
      <c r="R104" s="22" t="n">
        <f aca="false">L104-M104-N104-Q104</f>
        <v>1786.44315247343</v>
      </c>
      <c r="S104" s="22" t="n">
        <f aca="false">S103+R104</f>
        <v>-222004.103153999</v>
      </c>
      <c r="T104" s="22" t="n">
        <f aca="false">IF($A104&gt;=Premissas!$C$18,O104*(1-Premissas!$C$45)-Premissas!$C$46*MAX(0,O104*(1-Premissas!$C$45)-(SUM($Q$5:$Q$355)+Premissas!$C$26*Premissas!$C$60)),"")</f>
        <v>451320.073580067</v>
      </c>
      <c r="U104" s="22" t="n">
        <f aca="false">IF($A104&gt;=Premissas!$C$18,S104+T104,"")</f>
        <v>229315.970426067</v>
      </c>
      <c r="V104" s="22" t="n">
        <f aca="false">V103*(1+$P104)-R104</f>
        <v>487579.878759463</v>
      </c>
      <c r="W104" s="22" t="n">
        <f aca="false">($A104=Premissas!$C$16)*Premissas!$C$9</f>
        <v>0</v>
      </c>
      <c r="X104" s="22" t="n">
        <f aca="false">L104-M104-N104-W104</f>
        <v>1786.44315247343</v>
      </c>
      <c r="Y104" s="22" t="n">
        <f aca="false">Y103+X104</f>
        <v>-252932.103153999</v>
      </c>
      <c r="Z104" s="22" t="n">
        <f aca="false">IF($A104&gt;=Premissas!$C$18,O104*(1-Premissas!$C$45)-Premissas!$C$46*MAX(0,O104*(1-Premissas!$C$45)-(SUM($W$5:$W$355)+Premissas!$C$26*Premissas!$C$60)),"")</f>
        <v>455959.273580067</v>
      </c>
      <c r="AA104" s="22" t="n">
        <f aca="false">IF($A104&gt;=Premissas!$C$18,Y104+Z104,"")</f>
        <v>203027.170426067</v>
      </c>
      <c r="AB104" s="22" t="n">
        <f aca="false">AB103*(1+$P104)-X104</f>
        <v>550197.009418246</v>
      </c>
      <c r="AC104" s="22" t="n">
        <f aca="false">AND($A104&gt;=Premissas!$C$16,$A104&lt;EDATE(Premissas!$C$16,3))*Premissas!$C$10/3*(1+Premissas!$C$56)^$C104</f>
        <v>0</v>
      </c>
      <c r="AD104" s="22" t="n">
        <f aca="false">L104-M104-N104-AC104</f>
        <v>1786.44315247343</v>
      </c>
      <c r="AE104" s="22" t="n">
        <f aca="false">AE103+AD104</f>
        <v>-260552.567034024</v>
      </c>
      <c r="AF104" s="22" t="n">
        <f aca="false">IF($A104&gt;=Premissas!$C$18,O104*(1-Premissas!$C$45)-Premissas!$C$46*MAX(0,O104*(1-Premissas!$C$45)-(SUM($AC$5:$AC$355)+Premissas!$C$26*Premissas!$C$60)),"")</f>
        <v>457102.34316207</v>
      </c>
      <c r="AG104" s="22" t="n">
        <f aca="false">IF($A104&gt;=Premissas!$C$18,AE104+AF104,"")</f>
        <v>196549.776128046</v>
      </c>
      <c r="AH104" s="22" t="n">
        <f aca="false">AH103*(1+$P104)-AD104</f>
        <v>560178.131735272</v>
      </c>
      <c r="AI104" s="22" t="n">
        <f aca="false">($A104=Premissas!$C$16)*0.2*Premissas!$C$11+AND($A104&gt;Premissas!$C$16,$A104&lt;=EDATE(Premissas!$C$16,43))*0.8*Premissas!$C$11/43*(1+Premissas!$C$56)^$C104</f>
        <v>0</v>
      </c>
      <c r="AJ104" s="22" t="n">
        <f aca="false">L104-M104-N104-AI104</f>
        <v>1786.44315247343</v>
      </c>
      <c r="AK104" s="22" t="n">
        <f aca="false">AK103+AJ104</f>
        <v>-306417.052452086</v>
      </c>
      <c r="AL104" s="22" t="n">
        <f aca="false">IF($A104&gt;=Premissas!$C$18,O104*(1-Premissas!$C$45)-Premissas!$C$46*MAX(0,O104*(1-Premissas!$C$45)-(SUM($AI$5:$AI$355)+Premissas!$C$26*Premissas!$C$60)),"")</f>
        <v>463982.01597478</v>
      </c>
      <c r="AM104" s="22" t="n">
        <f aca="false">IF($A104&gt;=Premissas!$C$18,AK104+AL104,"")</f>
        <v>157564.963522694</v>
      </c>
      <c r="AN104" s="22" t="n">
        <f aca="false">AN103*(1+$P104)-AJ104</f>
        <v>569491.090290884</v>
      </c>
      <c r="AO104" s="22" t="n">
        <f aca="false">V104+S104</f>
        <v>265575.775605464</v>
      </c>
    </row>
    <row r="105" customFormat="false" ht="15" hidden="false" customHeight="false" outlineLevel="0" collapsed="false">
      <c r="A105" s="26" t="n">
        <f aca="false">DATE(YEAR(A104),MONTH(A104)+1,1)</f>
        <v>49341</v>
      </c>
      <c r="B105" s="22" t="str">
        <f aca="false">IF($A105&lt;Premissas!$C$18,"Obra",IF($A105&lt;Premissas!$C$20,"Entrega/mobília","Airbnb"))</f>
        <v>Airbnb</v>
      </c>
      <c r="C105" s="36" t="n">
        <f aca="false">(YEAR($A105)-YEAR(Premissas!$C$16))*12+MONTH($A105)-MONTH(Premissas!$C$16)</f>
        <v>100</v>
      </c>
      <c r="D105" s="33" t="n">
        <f aca="false">IF($A105&gt;=Premissas!$C$20,Premissas!$C$31*IF(((YEAR($A105)-YEAR(Premissas!$C$20))*12+MONTH($A105)-MONTH(Premissas!$C$20))&lt;Premissas!$C$33,Premissas!$C$34,1),0)</f>
        <v>0.62</v>
      </c>
      <c r="E105" s="22" t="n">
        <f aca="false">D105*Premissas!$C$30*Premissas!$C$32*(1+Premissas!$C$58)^$C105</f>
        <v>6447.59050485842</v>
      </c>
      <c r="F105" s="22" t="n">
        <f aca="false">E105*Premissas!$C$35</f>
        <v>1031.61448077735</v>
      </c>
      <c r="G105" s="22" t="n">
        <f aca="false">E105*Premissas!$C$36</f>
        <v>1289.51810097169</v>
      </c>
      <c r="H105" s="22" t="n">
        <f aca="false">IF($A105&gt;=Premissas!$C$18,Premissas!$C$37*(1+Premissas!$C$58)^$C105,0)</f>
        <v>831.947161917216</v>
      </c>
      <c r="I105" s="22" t="n">
        <f aca="false">IF($A105&gt;=Premissas!$C$20,Premissas!$C$38*(1+Premissas!$C$58)^$C105,0)</f>
        <v>388.242008894701</v>
      </c>
      <c r="J105" s="22" t="n">
        <f aca="false">IF($A105&gt;=Premissas!$C$20,Premissas!$C$39*(1+Premissas!$C$58)^$C105,0)</f>
        <v>207.986790479304</v>
      </c>
      <c r="K105" s="22" t="n">
        <f aca="false">IF($A105&gt;=Premissas!$C$20,MAX(0,E105-F105-G105-H105)*Premissas!$C$41,0)</f>
        <v>905.990459327848</v>
      </c>
      <c r="L105" s="22" t="n">
        <f aca="false">E105-F105-G105-H105-I105-J105-K105</f>
        <v>1792.29150249032</v>
      </c>
      <c r="M105" s="22" t="n">
        <f aca="false">($A105=Premissas!$C$18)*Premissas!$C$26*Premissas!$C$60</f>
        <v>0</v>
      </c>
      <c r="N105" s="22" t="n">
        <f aca="false">IF(AND($A105&gt;=Premissas!$C$18,$A105&lt;Premissas!$C$20),Premissas!$C$27/MAX(1,Premissas!$C$19),0)</f>
        <v>0</v>
      </c>
      <c r="O105" s="22" t="n">
        <f aca="false">IF($A105&gt;=Premissas!$C$18,Premissas!$C$60*(1+Premissas!$C$59)^((YEAR($A105)-YEAR(Premissas!$C$18))*12+MONTH($A105)-MONTH(Premissas!$C$18)),"")</f>
        <v>516928.606154559</v>
      </c>
      <c r="P105" s="31" t="n">
        <f aca="false">(1+IF(YEAR($A105)&lt;=2026,Premissas!$C$49,IF(YEAR($A105)=2027,Premissas!$C$50,IF(YEAR($A105)=2028,Premissas!$C$51,Premissas!$C$52)))*(1-Premissas!$C$53))^(1/12)-1</f>
        <v>0.00682149336596227</v>
      </c>
      <c r="Q105" s="22" t="n">
        <f aca="false">($A105=Premissas!$C$16)*Premissas!$C$13</f>
        <v>0</v>
      </c>
      <c r="R105" s="22" t="n">
        <f aca="false">L105-M105-N105-Q105</f>
        <v>1792.29150249032</v>
      </c>
      <c r="S105" s="22" t="n">
        <f aca="false">S104+R105</f>
        <v>-220211.811651509</v>
      </c>
      <c r="T105" s="22" t="n">
        <f aca="false">IF($A105&gt;=Premissas!$C$18,O105*(1-Premissas!$C$45)-Premissas!$C$46*MAX(0,O105*(1-Premissas!$C$45)-(SUM($Q$5:$Q$355)+Premissas!$C$26*Premissas!$C$60)),"")</f>
        <v>452995.964664239</v>
      </c>
      <c r="U105" s="22" t="n">
        <f aca="false">IF($A105&gt;=Premissas!$C$18,S105+T105,"")</f>
        <v>232784.15301273</v>
      </c>
      <c r="V105" s="22" t="n">
        <f aca="false">V104*(1+$P105)-R105</f>
        <v>489113.610165307</v>
      </c>
      <c r="W105" s="22" t="n">
        <f aca="false">($A105=Premissas!$C$16)*Premissas!$C$9</f>
        <v>0</v>
      </c>
      <c r="X105" s="22" t="n">
        <f aca="false">L105-M105-N105-W105</f>
        <v>1792.29150249032</v>
      </c>
      <c r="Y105" s="22" t="n">
        <f aca="false">Y104+X105</f>
        <v>-251139.811651509</v>
      </c>
      <c r="Z105" s="22" t="n">
        <f aca="false">IF($A105&gt;=Premissas!$C$18,O105*(1-Premissas!$C$45)-Premissas!$C$46*MAX(0,O105*(1-Premissas!$C$45)-(SUM($W$5:$W$355)+Premissas!$C$26*Premissas!$C$60)),"")</f>
        <v>457635.164664239</v>
      </c>
      <c r="AA105" s="22" t="n">
        <f aca="false">IF($A105&gt;=Premissas!$C$18,Y105+Z105,"")</f>
        <v>206495.35301273</v>
      </c>
      <c r="AB105" s="22" t="n">
        <f aca="false">AB104*(1+$P105)-X105</f>
        <v>552157.883165475</v>
      </c>
      <c r="AC105" s="22" t="n">
        <f aca="false">AND($A105&gt;=Premissas!$C$16,$A105&lt;EDATE(Premissas!$C$16,3))*Premissas!$C$10/3*(1+Premissas!$C$56)^$C105</f>
        <v>0</v>
      </c>
      <c r="AD105" s="22" t="n">
        <f aca="false">L105-M105-N105-AC105</f>
        <v>1792.29150249032</v>
      </c>
      <c r="AE105" s="22" t="n">
        <f aca="false">AE104+AD105</f>
        <v>-258760.275531534</v>
      </c>
      <c r="AF105" s="22" t="n">
        <f aca="false">IF($A105&gt;=Premissas!$C$18,O105*(1-Premissas!$C$45)-Premissas!$C$46*MAX(0,O105*(1-Premissas!$C$45)-(SUM($AC$5:$AC$355)+Premissas!$C$26*Premissas!$C$60)),"")</f>
        <v>458778.234246243</v>
      </c>
      <c r="AG105" s="22" t="n">
        <f aca="false">IF($A105&gt;=Premissas!$C$18,AE105+AF105,"")</f>
        <v>200017.958714709</v>
      </c>
      <c r="AH105" s="22" t="n">
        <f aca="false">AH104*(1+$P105)-AD105</f>
        <v>562207.091642171</v>
      </c>
      <c r="AI105" s="22" t="n">
        <f aca="false">($A105=Premissas!$C$16)*0.2*Premissas!$C$11+AND($A105&gt;Premissas!$C$16,$A105&lt;=EDATE(Premissas!$C$16,43))*0.8*Premissas!$C$11/43*(1+Premissas!$C$56)^$C105</f>
        <v>0</v>
      </c>
      <c r="AJ105" s="22" t="n">
        <f aca="false">L105-M105-N105-AI105</f>
        <v>1792.29150249032</v>
      </c>
      <c r="AK105" s="22" t="n">
        <f aca="false">AK104+AJ105</f>
        <v>-304624.760949596</v>
      </c>
      <c r="AL105" s="22" t="n">
        <f aca="false">IF($A105&gt;=Premissas!$C$18,O105*(1-Premissas!$C$45)-Premissas!$C$46*MAX(0,O105*(1-Premissas!$C$45)-(SUM($AI$5:$AI$355)+Premissas!$C$26*Premissas!$C$60)),"")</f>
        <v>465657.907058952</v>
      </c>
      <c r="AM105" s="22" t="n">
        <f aca="false">IF($A105&gt;=Premissas!$C$18,AK105+AL105,"")</f>
        <v>161033.146109356</v>
      </c>
      <c r="AN105" s="22" t="n">
        <f aca="false">AN104*(1+$P105)-AJ105</f>
        <v>571583.578482787</v>
      </c>
      <c r="AO105" s="22" t="n">
        <f aca="false">V105+S105</f>
        <v>268901.798513798</v>
      </c>
    </row>
    <row r="106" customFormat="false" ht="15" hidden="false" customHeight="false" outlineLevel="0" collapsed="false">
      <c r="A106" s="26" t="n">
        <f aca="false">DATE(YEAR(A105),MONTH(A105)+1,1)</f>
        <v>49369</v>
      </c>
      <c r="B106" s="22" t="str">
        <f aca="false">IF($A106&lt;Premissas!$C$18,"Obra",IF($A106&lt;Premissas!$C$20,"Entrega/mobília","Airbnb"))</f>
        <v>Airbnb</v>
      </c>
      <c r="C106" s="36" t="n">
        <f aca="false">(YEAR($A106)-YEAR(Premissas!$C$16))*12+MONTH($A106)-MONTH(Premissas!$C$16)</f>
        <v>101</v>
      </c>
      <c r="D106" s="33" t="n">
        <f aca="false">IF($A106&gt;=Premissas!$C$20,Premissas!$C$31*IF(((YEAR($A106)-YEAR(Premissas!$C$20))*12+MONTH($A106)-MONTH(Premissas!$C$20))&lt;Premissas!$C$33,Premissas!$C$34,1),0)</f>
        <v>0.62</v>
      </c>
      <c r="E106" s="22" t="n">
        <f aca="false">D106*Premissas!$C$30*Premissas!$C$32*(1+Premissas!$C$58)^$C106</f>
        <v>6468.69823839351</v>
      </c>
      <c r="F106" s="22" t="n">
        <f aca="false">E106*Premissas!$C$35</f>
        <v>1034.99171814296</v>
      </c>
      <c r="G106" s="22" t="n">
        <f aca="false">E106*Premissas!$C$36</f>
        <v>1293.7396476787</v>
      </c>
      <c r="H106" s="22" t="n">
        <f aca="false">IF($A106&gt;=Premissas!$C$18,Premissas!$C$37*(1+Premissas!$C$58)^$C106,0)</f>
        <v>834.670740437872</v>
      </c>
      <c r="I106" s="22" t="n">
        <f aca="false">IF($A106&gt;=Premissas!$C$20,Premissas!$C$38*(1+Premissas!$C$58)^$C106,0)</f>
        <v>389.51301220434</v>
      </c>
      <c r="J106" s="22" t="n">
        <f aca="false">IF($A106&gt;=Premissas!$C$20,Premissas!$C$39*(1+Premissas!$C$58)^$C106,0)</f>
        <v>208.667685109468</v>
      </c>
      <c r="K106" s="22" t="n">
        <f aca="false">IF($A106&gt;=Premissas!$C$20,MAX(0,E106-F106-G106-H106)*Premissas!$C$41,0)</f>
        <v>908.956436336843</v>
      </c>
      <c r="L106" s="22" t="n">
        <f aca="false">E106-F106-G106-H106-I106-J106-K106</f>
        <v>1798.15899848332</v>
      </c>
      <c r="M106" s="22" t="n">
        <f aca="false">($A106=Premissas!$C$18)*Premissas!$C$26*Premissas!$C$60</f>
        <v>0</v>
      </c>
      <c r="N106" s="22" t="n">
        <f aca="false">IF(AND($A106&gt;=Premissas!$C$18,$A106&lt;Premissas!$C$20),Premissas!$C$27/MAX(1,Premissas!$C$19),0)</f>
        <v>0</v>
      </c>
      <c r="O106" s="22" t="n">
        <f aca="false">IF($A106&gt;=Premissas!$C$18,Premissas!$C$60*(1+Premissas!$C$59)^((YEAR($A106)-YEAR(Premissas!$C$18))*12+MONTH($A106)-MONTH(Premissas!$C$18)),"")</f>
        <v>519034.637283342</v>
      </c>
      <c r="P106" s="31" t="n">
        <f aca="false">(1+IF(YEAR($A106)&lt;=2026,Premissas!$C$49,IF(YEAR($A106)=2027,Premissas!$C$50,IF(YEAR($A106)=2028,Premissas!$C$51,Premissas!$C$52)))*(1-Premissas!$C$53))^(1/12)-1</f>
        <v>0.00682149336596227</v>
      </c>
      <c r="Q106" s="22" t="n">
        <f aca="false">($A106=Premissas!$C$16)*Premissas!$C$13</f>
        <v>0</v>
      </c>
      <c r="R106" s="22" t="n">
        <f aca="false">L106-M106-N106-Q106</f>
        <v>1798.15899848332</v>
      </c>
      <c r="S106" s="22" t="n">
        <f aca="false">S105+R106</f>
        <v>-218413.652653026</v>
      </c>
      <c r="T106" s="22" t="n">
        <f aca="false">IF($A106&gt;=Premissas!$C$18,O106*(1-Premissas!$C$45)-Premissas!$C$46*MAX(0,O106*(1-Premissas!$C$45)-(SUM($Q$5:$Q$355)+Premissas!$C$26*Premissas!$C$60)),"")</f>
        <v>454678.683536136</v>
      </c>
      <c r="U106" s="22" t="n">
        <f aca="false">IF($A106&gt;=Premissas!$C$18,S106+T106,"")</f>
        <v>236265.03088311</v>
      </c>
      <c r="V106" s="22" t="n">
        <f aca="false">V105*(1+$P106)-R106</f>
        <v>490651.936413769</v>
      </c>
      <c r="W106" s="22" t="n">
        <f aca="false">($A106=Premissas!$C$16)*Premissas!$C$9</f>
        <v>0</v>
      </c>
      <c r="X106" s="22" t="n">
        <f aca="false">L106-M106-N106-W106</f>
        <v>1798.15899848332</v>
      </c>
      <c r="Y106" s="22" t="n">
        <f aca="false">Y105+X106</f>
        <v>-249341.652653026</v>
      </c>
      <c r="Z106" s="22" t="n">
        <f aca="false">IF($A106&gt;=Premissas!$C$18,O106*(1-Premissas!$C$45)-Premissas!$C$46*MAX(0,O106*(1-Premissas!$C$45)-(SUM($W$5:$W$355)+Premissas!$C$26*Premissas!$C$60)),"")</f>
        <v>459317.883536136</v>
      </c>
      <c r="AA106" s="22" t="n">
        <f aca="false">IF($A106&gt;=Premissas!$C$18,Y106+Z106,"")</f>
        <v>209976.23088311</v>
      </c>
      <c r="AB106" s="22" t="n">
        <f aca="false">AB105*(1+$P106)-X106</f>
        <v>554126.265503969</v>
      </c>
      <c r="AC106" s="22" t="n">
        <f aca="false">AND($A106&gt;=Premissas!$C$16,$A106&lt;EDATE(Premissas!$C$16,3))*Premissas!$C$10/3*(1+Premissas!$C$56)^$C106</f>
        <v>0</v>
      </c>
      <c r="AD106" s="22" t="n">
        <f aca="false">L106-M106-N106-AC106</f>
        <v>1798.15899848332</v>
      </c>
      <c r="AE106" s="22" t="n">
        <f aca="false">AE105+AD106</f>
        <v>-256962.11653305</v>
      </c>
      <c r="AF106" s="22" t="n">
        <f aca="false">IF($A106&gt;=Premissas!$C$18,O106*(1-Premissas!$C$45)-Premissas!$C$46*MAX(0,O106*(1-Premissas!$C$45)-(SUM($AC$5:$AC$355)+Premissas!$C$26*Premissas!$C$60)),"")</f>
        <v>460460.95311814</v>
      </c>
      <c r="AG106" s="22" t="n">
        <f aca="false">IF($A106&gt;=Premissas!$C$18,AE106+AF106,"")</f>
        <v>203498.836585089</v>
      </c>
      <c r="AH106" s="22" t="n">
        <f aca="false">AH105*(1+$P106)-AD106</f>
        <v>564244.024589621</v>
      </c>
      <c r="AI106" s="22" t="n">
        <f aca="false">($A106=Premissas!$C$16)*0.2*Premissas!$C$11+AND($A106&gt;Premissas!$C$16,$A106&lt;=EDATE(Premissas!$C$16,43))*0.8*Premissas!$C$11/43*(1+Premissas!$C$56)^$C106</f>
        <v>0</v>
      </c>
      <c r="AJ106" s="22" t="n">
        <f aca="false">L106-M106-N106-AI106</f>
        <v>1798.15899848332</v>
      </c>
      <c r="AK106" s="22" t="n">
        <f aca="false">AK105+AJ106</f>
        <v>-302826.601951112</v>
      </c>
      <c r="AL106" s="22" t="n">
        <f aca="false">IF($A106&gt;=Premissas!$C$18,O106*(1-Premissas!$C$45)-Premissas!$C$46*MAX(0,O106*(1-Premissas!$C$45)-(SUM($AI$5:$AI$355)+Premissas!$C$26*Premissas!$C$60)),"")</f>
        <v>467340.625930849</v>
      </c>
      <c r="AM106" s="22" t="n">
        <f aca="false">IF($A106&gt;=Premissas!$C$18,AK106+AL106,"")</f>
        <v>164514.023979737</v>
      </c>
      <c r="AN106" s="22" t="n">
        <f aca="false">AN105*(1+$P106)-AJ106</f>
        <v>573684.473073017</v>
      </c>
      <c r="AO106" s="22" t="n">
        <f aca="false">V106+S106</f>
        <v>272238.283760743</v>
      </c>
    </row>
    <row r="107" customFormat="false" ht="15" hidden="false" customHeight="false" outlineLevel="0" collapsed="false">
      <c r="A107" s="26" t="n">
        <f aca="false">DATE(YEAR(A106),MONTH(A106)+1,1)</f>
        <v>49400</v>
      </c>
      <c r="B107" s="22" t="str">
        <f aca="false">IF($A107&lt;Premissas!$C$18,"Obra",IF($A107&lt;Premissas!$C$20,"Entrega/mobília","Airbnb"))</f>
        <v>Airbnb</v>
      </c>
      <c r="C107" s="36" t="n">
        <f aca="false">(YEAR($A107)-YEAR(Premissas!$C$16))*12+MONTH($A107)-MONTH(Premissas!$C$16)</f>
        <v>102</v>
      </c>
      <c r="D107" s="33" t="n">
        <f aca="false">IF($A107&gt;=Premissas!$C$20,Premissas!$C$31*IF(((YEAR($A107)-YEAR(Premissas!$C$20))*12+MONTH($A107)-MONTH(Premissas!$C$20))&lt;Premissas!$C$33,Premissas!$C$34,1),0)</f>
        <v>0.62</v>
      </c>
      <c r="E107" s="22" t="n">
        <f aca="false">D107*Premissas!$C$30*Premissas!$C$32*(1+Premissas!$C$58)^$C107</f>
        <v>6489.87507315558</v>
      </c>
      <c r="F107" s="22" t="n">
        <f aca="false">E107*Premissas!$C$35</f>
        <v>1038.38001170489</v>
      </c>
      <c r="G107" s="22" t="n">
        <f aca="false">E107*Premissas!$C$36</f>
        <v>1297.97501463112</v>
      </c>
      <c r="H107" s="22" t="n">
        <f aca="false">IF($A107&gt;=Premissas!$C$18,Premissas!$C$37*(1+Premissas!$C$58)^$C107,0)</f>
        <v>837.403235245881</v>
      </c>
      <c r="I107" s="22" t="n">
        <f aca="false">IF($A107&gt;=Premissas!$C$20,Premissas!$C$38*(1+Premissas!$C$58)^$C107,0)</f>
        <v>390.788176448078</v>
      </c>
      <c r="J107" s="22" t="n">
        <f aca="false">IF($A107&gt;=Premissas!$C$20,Premissas!$C$39*(1+Premissas!$C$58)^$C107,0)</f>
        <v>209.35080881147</v>
      </c>
      <c r="K107" s="22" t="n">
        <f aca="false">IF($A107&gt;=Premissas!$C$20,MAX(0,E107-F107-G107-H107)*Premissas!$C$41,0)</f>
        <v>911.932123182764</v>
      </c>
      <c r="L107" s="22" t="n">
        <f aca="false">E107-F107-G107-H107-I107-J107-K107</f>
        <v>1804.04570313138</v>
      </c>
      <c r="M107" s="22" t="n">
        <f aca="false">($A107=Premissas!$C$18)*Premissas!$C$26*Premissas!$C$60</f>
        <v>0</v>
      </c>
      <c r="N107" s="22" t="n">
        <f aca="false">IF(AND($A107&gt;=Premissas!$C$18,$A107&lt;Premissas!$C$20),Premissas!$C$27/MAX(1,Premissas!$C$19),0)</f>
        <v>0</v>
      </c>
      <c r="O107" s="22" t="n">
        <f aca="false">IF($A107&gt;=Premissas!$C$18,Premissas!$C$60*(1+Premissas!$C$59)^((YEAR($A107)-YEAR(Premissas!$C$18))*12+MONTH($A107)-MONTH(Premissas!$C$18)),"")</f>
        <v>521149.248643635</v>
      </c>
      <c r="P107" s="31" t="n">
        <f aca="false">(1+IF(YEAR($A107)&lt;=2026,Premissas!$C$49,IF(YEAR($A107)=2027,Premissas!$C$50,IF(YEAR($A107)=2028,Premissas!$C$51,Premissas!$C$52)))*(1-Premissas!$C$53))^(1/12)-1</f>
        <v>0.00682149336596227</v>
      </c>
      <c r="Q107" s="22" t="n">
        <f aca="false">($A107=Premissas!$C$16)*Premissas!$C$13</f>
        <v>0</v>
      </c>
      <c r="R107" s="22" t="n">
        <f aca="false">L107-M107-N107-Q107</f>
        <v>1804.04570313138</v>
      </c>
      <c r="S107" s="22" t="n">
        <f aca="false">S106+R107</f>
        <v>-216609.606949894</v>
      </c>
      <c r="T107" s="22" t="n">
        <f aca="false">IF($A107&gt;=Premissas!$C$18,O107*(1-Premissas!$C$45)-Premissas!$C$46*MAX(0,O107*(1-Premissas!$C$45)-(SUM($Q$5:$Q$355)+Premissas!$C$26*Premissas!$C$60)),"")</f>
        <v>456368.25801301</v>
      </c>
      <c r="U107" s="22" t="n">
        <f aca="false">IF($A107&gt;=Premissas!$C$18,S107+T107,"")</f>
        <v>239758.651063116</v>
      </c>
      <c r="V107" s="22" t="n">
        <f aca="false">V106*(1+$P107)-R107</f>
        <v>492194.86963988</v>
      </c>
      <c r="W107" s="22" t="n">
        <f aca="false">($A107=Premissas!$C$16)*Premissas!$C$9</f>
        <v>0</v>
      </c>
      <c r="X107" s="22" t="n">
        <f aca="false">L107-M107-N107-W107</f>
        <v>1804.04570313138</v>
      </c>
      <c r="Y107" s="22" t="n">
        <f aca="false">Y106+X107</f>
        <v>-247537.606949894</v>
      </c>
      <c r="Z107" s="22" t="n">
        <f aca="false">IF($A107&gt;=Premissas!$C$18,O107*(1-Premissas!$C$45)-Premissas!$C$46*MAX(0,O107*(1-Premissas!$C$45)-(SUM($W$5:$W$355)+Premissas!$C$26*Premissas!$C$60)),"")</f>
        <v>461007.45801301</v>
      </c>
      <c r="AA107" s="22" t="n">
        <f aca="false">IF($A107&gt;=Premissas!$C$18,Y107+Z107,"")</f>
        <v>213469.851063116</v>
      </c>
      <c r="AB107" s="22" t="n">
        <f aca="false">AB106*(1+$P107)-X107</f>
        <v>556102.188444878</v>
      </c>
      <c r="AC107" s="22" t="n">
        <f aca="false">AND($A107&gt;=Premissas!$C$16,$A107&lt;EDATE(Premissas!$C$16,3))*Premissas!$C$10/3*(1+Premissas!$C$56)^$C107</f>
        <v>0</v>
      </c>
      <c r="AD107" s="22" t="n">
        <f aca="false">L107-M107-N107-AC107</f>
        <v>1804.04570313138</v>
      </c>
      <c r="AE107" s="22" t="n">
        <f aca="false">AE106+AD107</f>
        <v>-255158.070829919</v>
      </c>
      <c r="AF107" s="22" t="n">
        <f aca="false">IF($A107&gt;=Premissas!$C$18,O107*(1-Premissas!$C$45)-Premissas!$C$46*MAX(0,O107*(1-Premissas!$C$45)-(SUM($AC$5:$AC$355)+Premissas!$C$26*Premissas!$C$60)),"")</f>
        <v>462150.527595014</v>
      </c>
      <c r="AG107" s="22" t="n">
        <f aca="false">IF($A107&gt;=Premissas!$C$18,AE107+AF107,"")</f>
        <v>206992.456765095</v>
      </c>
      <c r="AH107" s="22" t="n">
        <f aca="false">AH106*(1+$P107)-AD107</f>
        <v>566288.965757012</v>
      </c>
      <c r="AI107" s="22" t="n">
        <f aca="false">($A107=Premissas!$C$16)*0.2*Premissas!$C$11+AND($A107&gt;Premissas!$C$16,$A107&lt;=EDATE(Premissas!$C$16,43))*0.8*Premissas!$C$11/43*(1+Premissas!$C$56)^$C107</f>
        <v>0</v>
      </c>
      <c r="AJ107" s="22" t="n">
        <f aca="false">L107-M107-N107-AI107</f>
        <v>1804.04570313138</v>
      </c>
      <c r="AK107" s="22" t="n">
        <f aca="false">AK106+AJ107</f>
        <v>-301022.556247981</v>
      </c>
      <c r="AL107" s="22" t="n">
        <f aca="false">IF($A107&gt;=Premissas!$C$18,O107*(1-Premissas!$C$45)-Premissas!$C$46*MAX(0,O107*(1-Premissas!$C$45)-(SUM($AI$5:$AI$355)+Premissas!$C$26*Premissas!$C$60)),"")</f>
        <v>469030.200407723</v>
      </c>
      <c r="AM107" s="22" t="n">
        <f aca="false">IF($A107&gt;=Premissas!$C$18,AK107+AL107,"")</f>
        <v>168007.644159743</v>
      </c>
      <c r="AN107" s="22" t="n">
        <f aca="false">AN106*(1+$P107)-AJ107</f>
        <v>575793.812197109</v>
      </c>
      <c r="AO107" s="22" t="n">
        <f aca="false">V107+S107</f>
        <v>275585.262689986</v>
      </c>
    </row>
    <row r="108" customFormat="false" ht="15" hidden="false" customHeight="false" outlineLevel="0" collapsed="false">
      <c r="A108" s="26" t="n">
        <f aca="false">DATE(YEAR(A107),MONTH(A107)+1,1)</f>
        <v>49430</v>
      </c>
      <c r="B108" s="22" t="str">
        <f aca="false">IF($A108&lt;Premissas!$C$18,"Obra",IF($A108&lt;Premissas!$C$20,"Entrega/mobília","Airbnb"))</f>
        <v>Airbnb</v>
      </c>
      <c r="C108" s="36" t="n">
        <f aca="false">(YEAR($A108)-YEAR(Premissas!$C$16))*12+MONTH($A108)-MONTH(Premissas!$C$16)</f>
        <v>103</v>
      </c>
      <c r="D108" s="33" t="n">
        <f aca="false">IF($A108&gt;=Premissas!$C$20,Premissas!$C$31*IF(((YEAR($A108)-YEAR(Premissas!$C$20))*12+MONTH($A108)-MONTH(Premissas!$C$20))&lt;Premissas!$C$33,Premissas!$C$34,1),0)</f>
        <v>0.62</v>
      </c>
      <c r="E108" s="22" t="n">
        <f aca="false">D108*Premissas!$C$30*Premissas!$C$32*(1+Premissas!$C$58)^$C108</f>
        <v>6511.12123536407</v>
      </c>
      <c r="F108" s="22" t="n">
        <f aca="false">E108*Premissas!$C$35</f>
        <v>1041.77939765825</v>
      </c>
      <c r="G108" s="22" t="n">
        <f aca="false">E108*Premissas!$C$36</f>
        <v>1302.22424707281</v>
      </c>
      <c r="H108" s="22" t="n">
        <f aca="false">IF($A108&gt;=Premissas!$C$18,Premissas!$C$37*(1+Premissas!$C$58)^$C108,0)</f>
        <v>840.144675530847</v>
      </c>
      <c r="I108" s="22" t="n">
        <f aca="false">IF($A108&gt;=Premissas!$C$20,Premissas!$C$38*(1+Premissas!$C$58)^$C108,0)</f>
        <v>392.067515247729</v>
      </c>
      <c r="J108" s="22" t="n">
        <f aca="false">IF($A108&gt;=Premissas!$C$20,Premissas!$C$39*(1+Premissas!$C$58)^$C108,0)</f>
        <v>210.036168882712</v>
      </c>
      <c r="K108" s="22" t="n">
        <f aca="false">IF($A108&gt;=Premissas!$C$20,MAX(0,E108-F108-G108-H108)*Premissas!$C$41,0)</f>
        <v>914.917551653093</v>
      </c>
      <c r="L108" s="22" t="n">
        <f aca="false">E108-F108-G108-H108-I108-J108-K108</f>
        <v>1809.95167931862</v>
      </c>
      <c r="M108" s="22" t="n">
        <f aca="false">($A108=Premissas!$C$18)*Premissas!$C$26*Premissas!$C$60</f>
        <v>0</v>
      </c>
      <c r="N108" s="22" t="n">
        <f aca="false">IF(AND($A108&gt;=Premissas!$C$18,$A108&lt;Premissas!$C$20),Premissas!$C$27/MAX(1,Premissas!$C$19),0)</f>
        <v>0</v>
      </c>
      <c r="O108" s="22" t="n">
        <f aca="false">IF($A108&gt;=Premissas!$C$18,Premissas!$C$60*(1+Premissas!$C$59)^((YEAR($A108)-YEAR(Premissas!$C$18))*12+MONTH($A108)-MONTH(Premissas!$C$18)),"")</f>
        <v>523272.475192364</v>
      </c>
      <c r="P108" s="31" t="n">
        <f aca="false">(1+IF(YEAR($A108)&lt;=2026,Premissas!$C$49,IF(YEAR($A108)=2027,Premissas!$C$50,IF(YEAR($A108)=2028,Premissas!$C$51,Premissas!$C$52)))*(1-Premissas!$C$53))^(1/12)-1</f>
        <v>0.00682149336596227</v>
      </c>
      <c r="Q108" s="22" t="n">
        <f aca="false">($A108=Premissas!$C$16)*Premissas!$C$13</f>
        <v>0</v>
      </c>
      <c r="R108" s="22" t="n">
        <f aca="false">L108-M108-N108-Q108</f>
        <v>1809.95167931862</v>
      </c>
      <c r="S108" s="22" t="n">
        <f aca="false">S107+R108</f>
        <v>-214799.655270576</v>
      </c>
      <c r="T108" s="22" t="n">
        <f aca="false">IF($A108&gt;=Premissas!$C$18,O108*(1-Premissas!$C$45)-Premissas!$C$46*MAX(0,O108*(1-Premissas!$C$45)-(SUM($Q$5:$Q$355)+Premissas!$C$26*Premissas!$C$60)),"")</f>
        <v>458064.716025445</v>
      </c>
      <c r="U108" s="22" t="n">
        <f aca="false">IF($A108&gt;=Premissas!$C$18,S108+T108,"")</f>
        <v>243265.06075487</v>
      </c>
      <c r="V108" s="22" t="n">
        <f aca="false">V107*(1+$P108)-R108</f>
        <v>493742.421998571</v>
      </c>
      <c r="W108" s="22" t="n">
        <f aca="false">($A108=Premissas!$C$16)*Premissas!$C$9</f>
        <v>0</v>
      </c>
      <c r="X108" s="22" t="n">
        <f aca="false">L108-M108-N108-W108</f>
        <v>1809.95167931862</v>
      </c>
      <c r="Y108" s="22" t="n">
        <f aca="false">Y107+X108</f>
        <v>-245727.655270576</v>
      </c>
      <c r="Z108" s="22" t="n">
        <f aca="false">IF($A108&gt;=Premissas!$C$18,O108*(1-Premissas!$C$45)-Premissas!$C$46*MAX(0,O108*(1-Premissas!$C$45)-(SUM($W$5:$W$355)+Premissas!$C$26*Premissas!$C$60)),"")</f>
        <v>462703.916025445</v>
      </c>
      <c r="AA108" s="22" t="n">
        <f aca="false">IF($A108&gt;=Premissas!$C$18,Y108+Z108,"")</f>
        <v>216976.26075487</v>
      </c>
      <c r="AB108" s="22" t="n">
        <f aca="false">AB107*(1+$P108)-X108</f>
        <v>558085.684154833</v>
      </c>
      <c r="AC108" s="22" t="n">
        <f aca="false">AND($A108&gt;=Premissas!$C$16,$A108&lt;EDATE(Premissas!$C$16,3))*Premissas!$C$10/3*(1+Premissas!$C$56)^$C108</f>
        <v>0</v>
      </c>
      <c r="AD108" s="22" t="n">
        <f aca="false">L108-M108-N108-AC108</f>
        <v>1809.95167931862</v>
      </c>
      <c r="AE108" s="22" t="n">
        <f aca="false">AE107+AD108</f>
        <v>-253348.1191506</v>
      </c>
      <c r="AF108" s="22" t="n">
        <f aca="false">IF($A108&gt;=Premissas!$C$18,O108*(1-Premissas!$C$45)-Premissas!$C$46*MAX(0,O108*(1-Premissas!$C$45)-(SUM($AC$5:$AC$355)+Premissas!$C$26*Premissas!$C$60)),"")</f>
        <v>463846.985607449</v>
      </c>
      <c r="AG108" s="22" t="n">
        <f aca="false">IF($A108&gt;=Premissas!$C$18,AE108+AF108,"")</f>
        <v>210498.866456849</v>
      </c>
      <c r="AH108" s="22" t="n">
        <f aca="false">AH107*(1+$P108)-AD108</f>
        <v>568341.950500822</v>
      </c>
      <c r="AI108" s="22" t="n">
        <f aca="false">($A108=Premissas!$C$16)*0.2*Premissas!$C$11+AND($A108&gt;Premissas!$C$16,$A108&lt;=EDATE(Premissas!$C$16,43))*0.8*Premissas!$C$11/43*(1+Premissas!$C$56)^$C108</f>
        <v>0</v>
      </c>
      <c r="AJ108" s="22" t="n">
        <f aca="false">L108-M108-N108-AI108</f>
        <v>1809.95167931862</v>
      </c>
      <c r="AK108" s="22" t="n">
        <f aca="false">AK107+AJ108</f>
        <v>-299212.604568662</v>
      </c>
      <c r="AL108" s="22" t="n">
        <f aca="false">IF($A108&gt;=Premissas!$C$18,O108*(1-Premissas!$C$45)-Premissas!$C$46*MAX(0,O108*(1-Premissas!$C$45)-(SUM($AI$5:$AI$355)+Premissas!$C$26*Premissas!$C$60)),"")</f>
        <v>470726.658420158</v>
      </c>
      <c r="AM108" s="22" t="n">
        <f aca="false">IF($A108&gt;=Premissas!$C$18,AK108+AL108,"")</f>
        <v>171514.053851496</v>
      </c>
      <c r="AN108" s="22" t="n">
        <f aca="false">AN107*(1+$P108)-AJ108</f>
        <v>577911.634187855</v>
      </c>
      <c r="AO108" s="22" t="n">
        <f aca="false">V108+S108</f>
        <v>278942.766727995</v>
      </c>
    </row>
    <row r="109" customFormat="false" ht="15" hidden="false" customHeight="false" outlineLevel="0" collapsed="false">
      <c r="A109" s="26" t="n">
        <f aca="false">DATE(YEAR(A108),MONTH(A108)+1,1)</f>
        <v>49461</v>
      </c>
      <c r="B109" s="22" t="str">
        <f aca="false">IF($A109&lt;Premissas!$C$18,"Obra",IF($A109&lt;Premissas!$C$20,"Entrega/mobília","Airbnb"))</f>
        <v>Airbnb</v>
      </c>
      <c r="C109" s="36" t="n">
        <f aca="false">(YEAR($A109)-YEAR(Premissas!$C$16))*12+MONTH($A109)-MONTH(Premissas!$C$16)</f>
        <v>104</v>
      </c>
      <c r="D109" s="33" t="n">
        <f aca="false">IF($A109&gt;=Premissas!$C$20,Premissas!$C$31*IF(((YEAR($A109)-YEAR(Premissas!$C$20))*12+MONTH($A109)-MONTH(Premissas!$C$20))&lt;Premissas!$C$33,Premissas!$C$34,1),0)</f>
        <v>0.62</v>
      </c>
      <c r="E109" s="22" t="n">
        <f aca="false">D109*Premissas!$C$30*Premissas!$C$32*(1+Premissas!$C$58)^$C109</f>
        <v>6532.436951979</v>
      </c>
      <c r="F109" s="22" t="n">
        <f aca="false">E109*Premissas!$C$35</f>
        <v>1045.18991231664</v>
      </c>
      <c r="G109" s="22" t="n">
        <f aca="false">E109*Premissas!$C$36</f>
        <v>1306.4873903958</v>
      </c>
      <c r="H109" s="22" t="n">
        <f aca="false">IF($A109&gt;=Premissas!$C$18,Premissas!$C$37*(1+Premissas!$C$58)^$C109,0)</f>
        <v>842.895090577935</v>
      </c>
      <c r="I109" s="22" t="n">
        <f aca="false">IF($A109&gt;=Premissas!$C$20,Premissas!$C$38*(1+Premissas!$C$58)^$C109,0)</f>
        <v>393.351042269703</v>
      </c>
      <c r="J109" s="22" t="n">
        <f aca="false">IF($A109&gt;=Premissas!$C$20,Premissas!$C$39*(1+Premissas!$C$58)^$C109,0)</f>
        <v>210.723772644484</v>
      </c>
      <c r="K109" s="22" t="n">
        <f aca="false">IF($A109&gt;=Premissas!$C$20,MAX(0,E109-F109-G109-H109)*Premissas!$C$41,0)</f>
        <v>917.912753639372</v>
      </c>
      <c r="L109" s="22" t="n">
        <f aca="false">E109-F109-G109-H109-I109-J109-K109</f>
        <v>1815.87699013507</v>
      </c>
      <c r="M109" s="22" t="n">
        <f aca="false">($A109=Premissas!$C$18)*Premissas!$C$26*Premissas!$C$60</f>
        <v>0</v>
      </c>
      <c r="N109" s="22" t="n">
        <f aca="false">IF(AND($A109&gt;=Premissas!$C$18,$A109&lt;Premissas!$C$20),Premissas!$C$27/MAX(1,Premissas!$C$19),0)</f>
        <v>0</v>
      </c>
      <c r="O109" s="22" t="n">
        <f aca="false">IF($A109&gt;=Premissas!$C$18,Premissas!$C$60*(1+Premissas!$C$59)^((YEAR($A109)-YEAR(Premissas!$C$18))*12+MONTH($A109)-MONTH(Premissas!$C$18)),"")</f>
        <v>525404.352028874</v>
      </c>
      <c r="P109" s="31" t="n">
        <f aca="false">(1+IF(YEAR($A109)&lt;=2026,Premissas!$C$49,IF(YEAR($A109)=2027,Premissas!$C$50,IF(YEAR($A109)=2028,Premissas!$C$51,Premissas!$C$52)))*(1-Premissas!$C$53))^(1/12)-1</f>
        <v>0.00682149336596227</v>
      </c>
      <c r="Q109" s="22" t="n">
        <f aca="false">($A109=Premissas!$C$16)*Premissas!$C$13</f>
        <v>0</v>
      </c>
      <c r="R109" s="22" t="n">
        <f aca="false">L109-M109-N109-Q109</f>
        <v>1815.87699013507</v>
      </c>
      <c r="S109" s="22" t="n">
        <f aca="false">S108+R109</f>
        <v>-212983.778280441</v>
      </c>
      <c r="T109" s="22" t="n">
        <f aca="false">IF($A109&gt;=Premissas!$C$18,O109*(1-Premissas!$C$45)-Premissas!$C$46*MAX(0,O109*(1-Premissas!$C$45)-(SUM($Q$5:$Q$355)+Premissas!$C$26*Premissas!$C$60)),"")</f>
        <v>459768.085617817</v>
      </c>
      <c r="U109" s="22" t="n">
        <f aca="false">IF($A109&gt;=Premissas!$C$18,S109+T109,"")</f>
        <v>246784.307337376</v>
      </c>
      <c r="V109" s="22" t="n">
        <f aca="false">V108*(1+$P109)-R109</f>
        <v>495294.605664593</v>
      </c>
      <c r="W109" s="22" t="n">
        <f aca="false">($A109=Premissas!$C$16)*Premissas!$C$9</f>
        <v>0</v>
      </c>
      <c r="X109" s="22" t="n">
        <f aca="false">L109-M109-N109-W109</f>
        <v>1815.87699013507</v>
      </c>
      <c r="Y109" s="22" t="n">
        <f aca="false">Y108+X109</f>
        <v>-243911.778280441</v>
      </c>
      <c r="Z109" s="22" t="n">
        <f aca="false">IF($A109&gt;=Premissas!$C$18,O109*(1-Premissas!$C$45)-Premissas!$C$46*MAX(0,O109*(1-Premissas!$C$45)-(SUM($W$5:$W$355)+Premissas!$C$26*Premissas!$C$60)),"")</f>
        <v>464407.285617817</v>
      </c>
      <c r="AA109" s="22" t="n">
        <f aca="false">IF($A109&gt;=Premissas!$C$18,Y109+Z109,"")</f>
        <v>220495.507337376</v>
      </c>
      <c r="AB109" s="22" t="n">
        <f aca="false">AB108*(1+$P109)-X109</f>
        <v>560076.784956799</v>
      </c>
      <c r="AC109" s="22" t="n">
        <f aca="false">AND($A109&gt;=Premissas!$C$16,$A109&lt;EDATE(Premissas!$C$16,3))*Premissas!$C$10/3*(1+Premissas!$C$56)^$C109</f>
        <v>0</v>
      </c>
      <c r="AD109" s="22" t="n">
        <f aca="false">L109-M109-N109-AC109</f>
        <v>1815.87699013507</v>
      </c>
      <c r="AE109" s="22" t="n">
        <f aca="false">AE108+AD109</f>
        <v>-251532.242160465</v>
      </c>
      <c r="AF109" s="22" t="n">
        <f aca="false">IF($A109&gt;=Premissas!$C$18,O109*(1-Premissas!$C$45)-Premissas!$C$46*MAX(0,O109*(1-Premissas!$C$45)-(SUM($AC$5:$AC$355)+Premissas!$C$26*Premissas!$C$60)),"")</f>
        <v>465550.35519982</v>
      </c>
      <c r="AG109" s="22" t="n">
        <f aca="false">IF($A109&gt;=Premissas!$C$18,AE109+AF109,"")</f>
        <v>214018.113039355</v>
      </c>
      <c r="AH109" s="22" t="n">
        <f aca="false">AH108*(1+$P109)-AD109</f>
        <v>570403.014355627</v>
      </c>
      <c r="AI109" s="22" t="n">
        <f aca="false">($A109=Premissas!$C$16)*0.2*Premissas!$C$11+AND($A109&gt;Premissas!$C$16,$A109&lt;=EDATE(Premissas!$C$16,43))*0.8*Premissas!$C$11/43*(1+Premissas!$C$56)^$C109</f>
        <v>0</v>
      </c>
      <c r="AJ109" s="22" t="n">
        <f aca="false">L109-M109-N109-AI109</f>
        <v>1815.87699013507</v>
      </c>
      <c r="AK109" s="22" t="n">
        <f aca="false">AK108+AJ109</f>
        <v>-297396.727578527</v>
      </c>
      <c r="AL109" s="22" t="n">
        <f aca="false">IF($A109&gt;=Premissas!$C$18,O109*(1-Premissas!$C$45)-Premissas!$C$46*MAX(0,O109*(1-Premissas!$C$45)-(SUM($AI$5:$AI$355)+Premissas!$C$26*Premissas!$C$60)),"")</f>
        <v>472430.02801253</v>
      </c>
      <c r="AM109" s="22" t="n">
        <f aca="false">IF($A109&gt;=Premissas!$C$18,AK109+AL109,"")</f>
        <v>175033.300434002</v>
      </c>
      <c r="AN109" s="22" t="n">
        <f aca="false">AN108*(1+$P109)-AJ109</f>
        <v>580037.977576445</v>
      </c>
      <c r="AO109" s="22" t="n">
        <f aca="false">V109+S109</f>
        <v>282310.827384152</v>
      </c>
    </row>
    <row r="110" customFormat="false" ht="15" hidden="false" customHeight="false" outlineLevel="0" collapsed="false">
      <c r="A110" s="26" t="n">
        <f aca="false">DATE(YEAR(A109),MONTH(A109)+1,1)</f>
        <v>49491</v>
      </c>
      <c r="B110" s="22" t="str">
        <f aca="false">IF($A110&lt;Premissas!$C$18,"Obra",IF($A110&lt;Premissas!$C$20,"Entrega/mobília","Airbnb"))</f>
        <v>Airbnb</v>
      </c>
      <c r="C110" s="36" t="n">
        <f aca="false">(YEAR($A110)-YEAR(Premissas!$C$16))*12+MONTH($A110)-MONTH(Premissas!$C$16)</f>
        <v>105</v>
      </c>
      <c r="D110" s="33" t="n">
        <f aca="false">IF($A110&gt;=Premissas!$C$20,Premissas!$C$31*IF(((YEAR($A110)-YEAR(Premissas!$C$20))*12+MONTH($A110)-MONTH(Premissas!$C$20))&lt;Premissas!$C$33,Premissas!$C$34,1),0)</f>
        <v>0.62</v>
      </c>
      <c r="E110" s="22" t="n">
        <f aca="false">D110*Premissas!$C$30*Premissas!$C$32*(1+Premissas!$C$58)^$C110</f>
        <v>6553.8224507034</v>
      </c>
      <c r="F110" s="22" t="n">
        <f aca="false">E110*Premissas!$C$35</f>
        <v>1048.61159211254</v>
      </c>
      <c r="G110" s="22" t="n">
        <f aca="false">E110*Premissas!$C$36</f>
        <v>1310.76449014068</v>
      </c>
      <c r="H110" s="22" t="n">
        <f aca="false">IF($A110&gt;=Premissas!$C$18,Premissas!$C$37*(1+Premissas!$C$58)^$C110,0)</f>
        <v>845.65450976818</v>
      </c>
      <c r="I110" s="22" t="n">
        <f aca="false">IF($A110&gt;=Premissas!$C$20,Premissas!$C$38*(1+Premissas!$C$58)^$C110,0)</f>
        <v>394.638771225151</v>
      </c>
      <c r="J110" s="22" t="n">
        <f aca="false">IF($A110&gt;=Premissas!$C$20,Premissas!$C$39*(1+Premissas!$C$58)^$C110,0)</f>
        <v>211.413627442045</v>
      </c>
      <c r="K110" s="22" t="n">
        <f aca="false">IF($A110&gt;=Premissas!$C$20,MAX(0,E110-F110-G110-H110)*Premissas!$C$41,0)</f>
        <v>920.917761137549</v>
      </c>
      <c r="L110" s="22" t="n">
        <f aca="false">E110-F110-G110-H110-I110-J110-K110</f>
        <v>1821.82169887725</v>
      </c>
      <c r="M110" s="22" t="n">
        <f aca="false">($A110=Premissas!$C$18)*Premissas!$C$26*Premissas!$C$60</f>
        <v>0</v>
      </c>
      <c r="N110" s="22" t="n">
        <f aca="false">IF(AND($A110&gt;=Premissas!$C$18,$A110&lt;Premissas!$C$20),Premissas!$C$27/MAX(1,Premissas!$C$19),0)</f>
        <v>0</v>
      </c>
      <c r="O110" s="22" t="n">
        <f aca="false">IF($A110&gt;=Premissas!$C$18,Premissas!$C$60*(1+Premissas!$C$59)^((YEAR($A110)-YEAR(Premissas!$C$18))*12+MONTH($A110)-MONTH(Premissas!$C$18)),"")</f>
        <v>527544.914395507</v>
      </c>
      <c r="P110" s="31" t="n">
        <f aca="false">(1+IF(YEAR($A110)&lt;=2026,Premissas!$C$49,IF(YEAR($A110)=2027,Premissas!$C$50,IF(YEAR($A110)=2028,Premissas!$C$51,Premissas!$C$52)))*(1-Premissas!$C$53))^(1/12)-1</f>
        <v>0.00682149336596227</v>
      </c>
      <c r="Q110" s="22" t="n">
        <f aca="false">($A110=Premissas!$C$16)*Premissas!$C$13</f>
        <v>0</v>
      </c>
      <c r="R110" s="22" t="n">
        <f aca="false">L110-M110-N110-Q110</f>
        <v>1821.82169887725</v>
      </c>
      <c r="S110" s="22" t="n">
        <f aca="false">S109+R110</f>
        <v>-211161.956581563</v>
      </c>
      <c r="T110" s="22" t="n">
        <f aca="false">IF($A110&gt;=Premissas!$C$18,O110*(1-Premissas!$C$45)-Premissas!$C$46*MAX(0,O110*(1-Premissas!$C$45)-(SUM($Q$5:$Q$355)+Premissas!$C$26*Premissas!$C$60)),"")</f>
        <v>461478.394948757</v>
      </c>
      <c r="U110" s="22" t="n">
        <f aca="false">IF($A110&gt;=Premissas!$C$18,S110+T110,"")</f>
        <v>250316.438367193</v>
      </c>
      <c r="V110" s="22" t="n">
        <f aca="false">V109*(1+$P110)-R110</f>
        <v>496851.432832454</v>
      </c>
      <c r="W110" s="22" t="n">
        <f aca="false">($A110=Premissas!$C$16)*Premissas!$C$9</f>
        <v>0</v>
      </c>
      <c r="X110" s="22" t="n">
        <f aca="false">L110-M110-N110-W110</f>
        <v>1821.82169887725</v>
      </c>
      <c r="Y110" s="22" t="n">
        <f aca="false">Y109+X110</f>
        <v>-242089.956581563</v>
      </c>
      <c r="Z110" s="22" t="n">
        <f aca="false">IF($A110&gt;=Premissas!$C$18,O110*(1-Premissas!$C$45)-Premissas!$C$46*MAX(0,O110*(1-Premissas!$C$45)-(SUM($W$5:$W$355)+Premissas!$C$26*Premissas!$C$60)),"")</f>
        <v>466117.594948757</v>
      </c>
      <c r="AA110" s="22" t="n">
        <f aca="false">IF($A110&gt;=Premissas!$C$18,Y110+Z110,"")</f>
        <v>224027.638367193</v>
      </c>
      <c r="AB110" s="22" t="n">
        <f aca="false">AB109*(1+$P110)-X110</f>
        <v>562075.523330934</v>
      </c>
      <c r="AC110" s="22" t="n">
        <f aca="false">AND($A110&gt;=Premissas!$C$16,$A110&lt;EDATE(Premissas!$C$16,3))*Premissas!$C$10/3*(1+Premissas!$C$56)^$C110</f>
        <v>0</v>
      </c>
      <c r="AD110" s="22" t="n">
        <f aca="false">L110-M110-N110-AC110</f>
        <v>1821.82169887725</v>
      </c>
      <c r="AE110" s="22" t="n">
        <f aca="false">AE109+AD110</f>
        <v>-249710.420461588</v>
      </c>
      <c r="AF110" s="22" t="n">
        <f aca="false">IF($A110&gt;=Premissas!$C$18,O110*(1-Premissas!$C$45)-Premissas!$C$46*MAX(0,O110*(1-Premissas!$C$45)-(SUM($AC$5:$AC$355)+Premissas!$C$26*Premissas!$C$60)),"")</f>
        <v>467260.66453076</v>
      </c>
      <c r="AG110" s="22" t="n">
        <f aca="false">IF($A110&gt;=Premissas!$C$18,AE110+AF110,"")</f>
        <v>217550.244069172</v>
      </c>
      <c r="AH110" s="22" t="n">
        <f aca="false">AH109*(1+$P110)-AD110</f>
        <v>572472.193035101</v>
      </c>
      <c r="AI110" s="22" t="n">
        <f aca="false">($A110=Premissas!$C$16)*0.2*Premissas!$C$11+AND($A110&gt;Premissas!$C$16,$A110&lt;=EDATE(Premissas!$C$16,43))*0.8*Premissas!$C$11/43*(1+Premissas!$C$56)^$C110</f>
        <v>0</v>
      </c>
      <c r="AJ110" s="22" t="n">
        <f aca="false">L110-M110-N110-AI110</f>
        <v>1821.82169887725</v>
      </c>
      <c r="AK110" s="22" t="n">
        <f aca="false">AK109+AJ110</f>
        <v>-295574.90587965</v>
      </c>
      <c r="AL110" s="22" t="n">
        <f aca="false">IF($A110&gt;=Premissas!$C$18,O110*(1-Premissas!$C$45)-Premissas!$C$46*MAX(0,O110*(1-Premissas!$C$45)-(SUM($AI$5:$AI$355)+Premissas!$C$26*Premissas!$C$60)),"")</f>
        <v>474140.33734347</v>
      </c>
      <c r="AM110" s="22" t="n">
        <f aca="false">IF($A110&gt;=Premissas!$C$18,AK110+AL110,"")</f>
        <v>178565.43146382</v>
      </c>
      <c r="AN110" s="22" t="n">
        <f aca="false">AN109*(1+$P110)-AJ110</f>
        <v>582172.881093611</v>
      </c>
      <c r="AO110" s="22" t="n">
        <f aca="false">V110+S110</f>
        <v>285689.47625089</v>
      </c>
    </row>
    <row r="111" customFormat="false" ht="15" hidden="false" customHeight="false" outlineLevel="0" collapsed="false">
      <c r="A111" s="26" t="n">
        <f aca="false">DATE(YEAR(A110),MONTH(A110)+1,1)</f>
        <v>49522</v>
      </c>
      <c r="B111" s="22" t="str">
        <f aca="false">IF($A111&lt;Premissas!$C$18,"Obra",IF($A111&lt;Premissas!$C$20,"Entrega/mobília","Airbnb"))</f>
        <v>Airbnb</v>
      </c>
      <c r="C111" s="36" t="n">
        <f aca="false">(YEAR($A111)-YEAR(Premissas!$C$16))*12+MONTH($A111)-MONTH(Premissas!$C$16)</f>
        <v>106</v>
      </c>
      <c r="D111" s="33" t="n">
        <f aca="false">IF($A111&gt;=Premissas!$C$20,Premissas!$C$31*IF(((YEAR($A111)-YEAR(Premissas!$C$20))*12+MONTH($A111)-MONTH(Premissas!$C$20))&lt;Premissas!$C$33,Premissas!$C$34,1),0)</f>
        <v>0.62</v>
      </c>
      <c r="E111" s="22" t="n">
        <f aca="false">D111*Premissas!$C$30*Premissas!$C$32*(1+Premissas!$C$58)^$C111</f>
        <v>6575.27795998574</v>
      </c>
      <c r="F111" s="22" t="n">
        <f aca="false">E111*Premissas!$C$35</f>
        <v>1052.04447359772</v>
      </c>
      <c r="G111" s="22" t="n">
        <f aca="false">E111*Premissas!$C$36</f>
        <v>1315.05559199715</v>
      </c>
      <c r="H111" s="22" t="n">
        <f aca="false">IF($A111&gt;=Premissas!$C$18,Premissas!$C$37*(1+Premissas!$C$58)^$C111,0)</f>
        <v>848.422962578805</v>
      </c>
      <c r="I111" s="22" t="n">
        <f aca="false">IF($A111&gt;=Premissas!$C$20,Premissas!$C$38*(1+Premissas!$C$58)^$C111,0)</f>
        <v>395.930715870109</v>
      </c>
      <c r="J111" s="22" t="n">
        <f aca="false">IF($A111&gt;=Premissas!$C$20,Premissas!$C$39*(1+Premissas!$C$58)^$C111,0)</f>
        <v>212.105740644701</v>
      </c>
      <c r="K111" s="22" t="n">
        <f aca="false">IF($A111&gt;=Premissas!$C$20,MAX(0,E111-F111-G111-H111)*Premissas!$C$41,0)</f>
        <v>923.932606248318</v>
      </c>
      <c r="L111" s="22" t="n">
        <f aca="false">E111-F111-G111-H111-I111-J111-K111</f>
        <v>1827.78586904894</v>
      </c>
      <c r="M111" s="22" t="n">
        <f aca="false">($A111=Premissas!$C$18)*Premissas!$C$26*Premissas!$C$60</f>
        <v>0</v>
      </c>
      <c r="N111" s="22" t="n">
        <f aca="false">IF(AND($A111&gt;=Premissas!$C$18,$A111&lt;Premissas!$C$20),Premissas!$C$27/MAX(1,Premissas!$C$19),0)</f>
        <v>0</v>
      </c>
      <c r="O111" s="22" t="n">
        <f aca="false">IF($A111&gt;=Premissas!$C$18,Premissas!$C$60*(1+Premissas!$C$59)^((YEAR($A111)-YEAR(Premissas!$C$18))*12+MONTH($A111)-MONTH(Premissas!$C$18)),"")</f>
        <v>529694.197678189</v>
      </c>
      <c r="P111" s="31" t="n">
        <f aca="false">(1+IF(YEAR($A111)&lt;=2026,Premissas!$C$49,IF(YEAR($A111)=2027,Premissas!$C$50,IF(YEAR($A111)=2028,Premissas!$C$51,Premissas!$C$52)))*(1-Premissas!$C$53))^(1/12)-1</f>
        <v>0.00682149336596227</v>
      </c>
      <c r="Q111" s="22" t="n">
        <f aca="false">($A111=Premissas!$C$16)*Premissas!$C$13</f>
        <v>0</v>
      </c>
      <c r="R111" s="22" t="n">
        <f aca="false">L111-M111-N111-Q111</f>
        <v>1827.78586904894</v>
      </c>
      <c r="S111" s="22" t="n">
        <f aca="false">S110+R111</f>
        <v>-209334.170712515</v>
      </c>
      <c r="T111" s="22" t="n">
        <f aca="false">IF($A111&gt;=Premissas!$C$18,O111*(1-Premissas!$C$45)-Premissas!$C$46*MAX(0,O111*(1-Premissas!$C$45)-(SUM($Q$5:$Q$355)+Premissas!$C$26*Premissas!$C$60)),"")</f>
        <v>463195.672291619</v>
      </c>
      <c r="U111" s="22" t="n">
        <f aca="false">IF($A111&gt;=Premissas!$C$18,S111+T111,"")</f>
        <v>253861.501579104</v>
      </c>
      <c r="V111" s="22" t="n">
        <f aca="false">V110*(1+$P111)-R111</f>
        <v>498412.91571634</v>
      </c>
      <c r="W111" s="22" t="n">
        <f aca="false">($A111=Premissas!$C$16)*Premissas!$C$9</f>
        <v>0</v>
      </c>
      <c r="X111" s="22" t="n">
        <f aca="false">L111-M111-N111-W111</f>
        <v>1827.78586904894</v>
      </c>
      <c r="Y111" s="22" t="n">
        <f aca="false">Y110+X111</f>
        <v>-240262.170712514</v>
      </c>
      <c r="Z111" s="22" t="n">
        <f aca="false">IF($A111&gt;=Premissas!$C$18,O111*(1-Premissas!$C$45)-Premissas!$C$46*MAX(0,O111*(1-Premissas!$C$45)-(SUM($W$5:$W$355)+Premissas!$C$26*Premissas!$C$60)),"")</f>
        <v>467834.872291619</v>
      </c>
      <c r="AA111" s="22" t="n">
        <f aca="false">IF($A111&gt;=Premissas!$C$18,Y111+Z111,"")</f>
        <v>227572.701579105</v>
      </c>
      <c r="AB111" s="22" t="n">
        <f aca="false">AB110*(1+$P111)-X111</f>
        <v>564081.931915457</v>
      </c>
      <c r="AC111" s="22" t="n">
        <f aca="false">AND($A111&gt;=Premissas!$C$16,$A111&lt;EDATE(Premissas!$C$16,3))*Premissas!$C$10/3*(1+Premissas!$C$56)^$C111</f>
        <v>0</v>
      </c>
      <c r="AD111" s="22" t="n">
        <f aca="false">L111-M111-N111-AC111</f>
        <v>1827.78586904894</v>
      </c>
      <c r="AE111" s="22" t="n">
        <f aca="false">AE110+AD111</f>
        <v>-247882.634592539</v>
      </c>
      <c r="AF111" s="22" t="n">
        <f aca="false">IF($A111&gt;=Premissas!$C$18,O111*(1-Premissas!$C$45)-Premissas!$C$46*MAX(0,O111*(1-Premissas!$C$45)-(SUM($AC$5:$AC$355)+Premissas!$C$26*Premissas!$C$60)),"")</f>
        <v>468977.941873623</v>
      </c>
      <c r="AG111" s="22" t="n">
        <f aca="false">IF($A111&gt;=Premissas!$C$18,AE111+AF111,"")</f>
        <v>221095.307281084</v>
      </c>
      <c r="AH111" s="22" t="n">
        <f aca="false">AH110*(1+$P111)-AD111</f>
        <v>574549.522433039</v>
      </c>
      <c r="AI111" s="22" t="n">
        <f aca="false">($A111=Premissas!$C$16)*0.2*Premissas!$C$11+AND($A111&gt;Premissas!$C$16,$A111&lt;=EDATE(Premissas!$C$16,43))*0.8*Premissas!$C$11/43*(1+Premissas!$C$56)^$C111</f>
        <v>0</v>
      </c>
      <c r="AJ111" s="22" t="n">
        <f aca="false">L111-M111-N111-AI111</f>
        <v>1827.78586904894</v>
      </c>
      <c r="AK111" s="22" t="n">
        <f aca="false">AK110+AJ111</f>
        <v>-293747.120010601</v>
      </c>
      <c r="AL111" s="22" t="n">
        <f aca="false">IF($A111&gt;=Premissas!$C$18,O111*(1-Premissas!$C$45)-Premissas!$C$46*MAX(0,O111*(1-Premissas!$C$45)-(SUM($AI$5:$AI$355)+Premissas!$C$26*Premissas!$C$60)),"")</f>
        <v>475857.614686332</v>
      </c>
      <c r="AM111" s="22" t="n">
        <f aca="false">IF($A111&gt;=Premissas!$C$18,AK111+AL111,"")</f>
        <v>182110.494675731</v>
      </c>
      <c r="AN111" s="22" t="n">
        <f aca="false">AN110*(1+$P111)-AJ111</f>
        <v>584316.383670786</v>
      </c>
      <c r="AO111" s="22" t="n">
        <f aca="false">V111+S111</f>
        <v>289078.745003826</v>
      </c>
    </row>
    <row r="112" customFormat="false" ht="15" hidden="false" customHeight="false" outlineLevel="0" collapsed="false">
      <c r="A112" s="26" t="n">
        <f aca="false">DATE(YEAR(A111),MONTH(A111)+1,1)</f>
        <v>49553</v>
      </c>
      <c r="B112" s="22" t="str">
        <f aca="false">IF($A112&lt;Premissas!$C$18,"Obra",IF($A112&lt;Premissas!$C$20,"Entrega/mobília","Airbnb"))</f>
        <v>Airbnb</v>
      </c>
      <c r="C112" s="36" t="n">
        <f aca="false">(YEAR($A112)-YEAR(Premissas!$C$16))*12+MONTH($A112)-MONTH(Premissas!$C$16)</f>
        <v>107</v>
      </c>
      <c r="D112" s="33" t="n">
        <f aca="false">IF($A112&gt;=Premissas!$C$20,Premissas!$C$31*IF(((YEAR($A112)-YEAR(Premissas!$C$20))*12+MONTH($A112)-MONTH(Premissas!$C$20))&lt;Premissas!$C$33,Premissas!$C$34,1),0)</f>
        <v>0.62</v>
      </c>
      <c r="E112" s="22" t="n">
        <f aca="false">D112*Premissas!$C$30*Premissas!$C$32*(1+Premissas!$C$58)^$C112</f>
        <v>6596.80370902236</v>
      </c>
      <c r="F112" s="22" t="n">
        <f aca="false">E112*Premissas!$C$35</f>
        <v>1055.48859344358</v>
      </c>
      <c r="G112" s="22" t="n">
        <f aca="false">E112*Premissas!$C$36</f>
        <v>1319.36074180447</v>
      </c>
      <c r="H112" s="22" t="n">
        <f aca="false">IF($A112&gt;=Premissas!$C$18,Premissas!$C$37*(1+Premissas!$C$58)^$C112,0)</f>
        <v>851.20047858353</v>
      </c>
      <c r="I112" s="22" t="n">
        <f aca="false">IF($A112&gt;=Premissas!$C$20,Premissas!$C$38*(1+Premissas!$C$58)^$C112,0)</f>
        <v>397.226890005647</v>
      </c>
      <c r="J112" s="22" t="n">
        <f aca="false">IF($A112&gt;=Premissas!$C$20,Premissas!$C$39*(1+Premissas!$C$58)^$C112,0)</f>
        <v>212.800119645882</v>
      </c>
      <c r="K112" s="22" t="n">
        <f aca="false">IF($A112&gt;=Premissas!$C$20,MAX(0,E112-F112-G112-H112)*Premissas!$C$41,0)</f>
        <v>926.957321177464</v>
      </c>
      <c r="L112" s="22" t="n">
        <f aca="false">E112-F112-G112-H112-I112-J112-K112</f>
        <v>1833.76956436178</v>
      </c>
      <c r="M112" s="22" t="n">
        <f aca="false">($A112=Premissas!$C$18)*Premissas!$C$26*Premissas!$C$60</f>
        <v>0</v>
      </c>
      <c r="N112" s="22" t="n">
        <f aca="false">IF(AND($A112&gt;=Premissas!$C$18,$A112&lt;Premissas!$C$20),Premissas!$C$27/MAX(1,Premissas!$C$19),0)</f>
        <v>0</v>
      </c>
      <c r="O112" s="22" t="n">
        <f aca="false">IF($A112&gt;=Premissas!$C$18,Premissas!$C$60*(1+Premissas!$C$59)^((YEAR($A112)-YEAR(Premissas!$C$18))*12+MONTH($A112)-MONTH(Premissas!$C$18)),"")</f>
        <v>531852.23740701</v>
      </c>
      <c r="P112" s="31" t="n">
        <f aca="false">(1+IF(YEAR($A112)&lt;=2026,Premissas!$C$49,IF(YEAR($A112)=2027,Premissas!$C$50,IF(YEAR($A112)=2028,Premissas!$C$51,Premissas!$C$52)))*(1-Premissas!$C$53))^(1/12)-1</f>
        <v>0.00682149336596227</v>
      </c>
      <c r="Q112" s="22" t="n">
        <f aca="false">($A112=Premissas!$C$16)*Premissas!$C$13</f>
        <v>0</v>
      </c>
      <c r="R112" s="22" t="n">
        <f aca="false">L112-M112-N112-Q112</f>
        <v>1833.76956436178</v>
      </c>
      <c r="S112" s="22" t="n">
        <f aca="false">S111+R112</f>
        <v>-207500.401148153</v>
      </c>
      <c r="T112" s="22" t="n">
        <f aca="false">IF($A112&gt;=Premissas!$C$18,O112*(1-Premissas!$C$45)-Premissas!$C$46*MAX(0,O112*(1-Premissas!$C$45)-(SUM($Q$5:$Q$355)+Premissas!$C$26*Premissas!$C$60)),"")</f>
        <v>464919.946034947</v>
      </c>
      <c r="U112" s="22" t="n">
        <f aca="false">IF($A112&gt;=Premissas!$C$18,S112+T112,"")</f>
        <v>257419.544886794</v>
      </c>
      <c r="V112" s="22" t="n">
        <f aca="false">V111*(1+$P112)-R112</f>
        <v>499979.066550047</v>
      </c>
      <c r="W112" s="22" t="n">
        <f aca="false">($A112=Premissas!$C$16)*Premissas!$C$9</f>
        <v>0</v>
      </c>
      <c r="X112" s="22" t="n">
        <f aca="false">L112-M112-N112-W112</f>
        <v>1833.76956436178</v>
      </c>
      <c r="Y112" s="22" t="n">
        <f aca="false">Y111+X112</f>
        <v>-238428.401148153</v>
      </c>
      <c r="Z112" s="22" t="n">
        <f aca="false">IF($A112&gt;=Premissas!$C$18,O112*(1-Premissas!$C$45)-Premissas!$C$46*MAX(0,O112*(1-Premissas!$C$45)-(SUM($W$5:$W$355)+Premissas!$C$26*Premissas!$C$60)),"")</f>
        <v>469559.146034947</v>
      </c>
      <c r="AA112" s="22" t="n">
        <f aca="false">IF($A112&gt;=Premissas!$C$18,Y112+Z112,"")</f>
        <v>231130.744886795</v>
      </c>
      <c r="AB112" s="22" t="n">
        <f aca="false">AB111*(1+$P112)-X112</f>
        <v>566096.043507515</v>
      </c>
      <c r="AC112" s="22" t="n">
        <f aca="false">AND($A112&gt;=Premissas!$C$16,$A112&lt;EDATE(Premissas!$C$16,3))*Premissas!$C$10/3*(1+Premissas!$C$56)^$C112</f>
        <v>0</v>
      </c>
      <c r="AD112" s="22" t="n">
        <f aca="false">L112-M112-N112-AC112</f>
        <v>1833.76956436178</v>
      </c>
      <c r="AE112" s="22" t="n">
        <f aca="false">AE111+AD112</f>
        <v>-246048.865028177</v>
      </c>
      <c r="AF112" s="22" t="n">
        <f aca="false">IF($A112&gt;=Premissas!$C$18,O112*(1-Premissas!$C$45)-Premissas!$C$46*MAX(0,O112*(1-Premissas!$C$45)-(SUM($AC$5:$AC$355)+Premissas!$C$26*Premissas!$C$60)),"")</f>
        <v>470702.215616951</v>
      </c>
      <c r="AG112" s="22" t="n">
        <f aca="false">IF($A112&gt;=Premissas!$C$18,AE112+AF112,"")</f>
        <v>224653.350588773</v>
      </c>
      <c r="AH112" s="22" t="n">
        <f aca="false">AH111*(1+$P112)-AD112</f>
        <v>576635.038624371</v>
      </c>
      <c r="AI112" s="22" t="n">
        <f aca="false">($A112=Premissas!$C$16)*0.2*Premissas!$C$11+AND($A112&gt;Premissas!$C$16,$A112&lt;=EDATE(Premissas!$C$16,43))*0.8*Premissas!$C$11/43*(1+Premissas!$C$56)^$C112</f>
        <v>0</v>
      </c>
      <c r="AJ112" s="22" t="n">
        <f aca="false">L112-M112-N112-AI112</f>
        <v>1833.76956436178</v>
      </c>
      <c r="AK112" s="22" t="n">
        <f aca="false">AK111+AJ112</f>
        <v>-291913.350446239</v>
      </c>
      <c r="AL112" s="22" t="n">
        <f aca="false">IF($A112&gt;=Premissas!$C$18,O112*(1-Premissas!$C$45)-Premissas!$C$46*MAX(0,O112*(1-Premissas!$C$45)-(SUM($AI$5:$AI$355)+Premissas!$C$26*Premissas!$C$60)),"")</f>
        <v>477581.88842966</v>
      </c>
      <c r="AM112" s="22" t="n">
        <f aca="false">IF($A112&gt;=Premissas!$C$18,AK112+AL112,"")</f>
        <v>185668.537983421</v>
      </c>
      <c r="AN112" s="22" t="n">
        <f aca="false">AN111*(1+$P112)-AJ112</f>
        <v>586468.524441257</v>
      </c>
      <c r="AO112" s="22" t="n">
        <f aca="false">V112+S112</f>
        <v>292478.665401895</v>
      </c>
    </row>
    <row r="113" customFormat="false" ht="15" hidden="false" customHeight="false" outlineLevel="0" collapsed="false">
      <c r="A113" s="26" t="n">
        <f aca="false">DATE(YEAR(A112),MONTH(A112)+1,1)</f>
        <v>49583</v>
      </c>
      <c r="B113" s="22" t="str">
        <f aca="false">IF($A113&lt;Premissas!$C$18,"Obra",IF($A113&lt;Premissas!$C$20,"Entrega/mobília","Airbnb"))</f>
        <v>Airbnb</v>
      </c>
      <c r="C113" s="36" t="n">
        <f aca="false">(YEAR($A113)-YEAR(Premissas!$C$16))*12+MONTH($A113)-MONTH(Premissas!$C$16)</f>
        <v>108</v>
      </c>
      <c r="D113" s="33" t="n">
        <f aca="false">IF($A113&gt;=Premissas!$C$20,Premissas!$C$31*IF(((YEAR($A113)-YEAR(Premissas!$C$20))*12+MONTH($A113)-MONTH(Premissas!$C$20))&lt;Premissas!$C$33,Premissas!$C$34,1),0)</f>
        <v>0.62</v>
      </c>
      <c r="E113" s="22" t="n">
        <f aca="false">D113*Premissas!$C$30*Premissas!$C$32*(1+Premissas!$C$58)^$C113</f>
        <v>6618.39992775994</v>
      </c>
      <c r="F113" s="22" t="n">
        <f aca="false">E113*Premissas!$C$35</f>
        <v>1058.94398844159</v>
      </c>
      <c r="G113" s="22" t="n">
        <f aca="false">E113*Premissas!$C$36</f>
        <v>1323.67998555199</v>
      </c>
      <c r="H113" s="22" t="n">
        <f aca="false">IF($A113&gt;=Premissas!$C$18,Premissas!$C$37*(1+Premissas!$C$58)^$C113,0)</f>
        <v>853.987087452895</v>
      </c>
      <c r="I113" s="22" t="n">
        <f aca="false">IF($A113&gt;=Premissas!$C$20,Premissas!$C$38*(1+Premissas!$C$58)^$C113,0)</f>
        <v>398.527307478018</v>
      </c>
      <c r="J113" s="22" t="n">
        <f aca="false">IF($A113&gt;=Premissas!$C$20,Premissas!$C$39*(1+Premissas!$C$58)^$C113,0)</f>
        <v>213.496771863224</v>
      </c>
      <c r="K113" s="22" t="n">
        <f aca="false">IF($A113&gt;=Premissas!$C$20,MAX(0,E113-F113-G113-H113)*Premissas!$C$41,0)</f>
        <v>929.991938236203</v>
      </c>
      <c r="L113" s="22" t="n">
        <f aca="false">E113-F113-G113-H113-I113-J113-K113</f>
        <v>1839.77284873602</v>
      </c>
      <c r="M113" s="22" t="n">
        <f aca="false">($A113=Premissas!$C$18)*Premissas!$C$26*Premissas!$C$60</f>
        <v>0</v>
      </c>
      <c r="N113" s="22" t="n">
        <f aca="false">IF(AND($A113&gt;=Premissas!$C$18,$A113&lt;Premissas!$C$20),Premissas!$C$27/MAX(1,Premissas!$C$19),0)</f>
        <v>0</v>
      </c>
      <c r="O113" s="22" t="n">
        <f aca="false">IF($A113&gt;=Premissas!$C$18,Premissas!$C$60*(1+Premissas!$C$59)^((YEAR($A113)-YEAR(Premissas!$C$18))*12+MONTH($A113)-MONTH(Premissas!$C$18)),"")</f>
        <v>534019.069256817</v>
      </c>
      <c r="P113" s="31" t="n">
        <f aca="false">(1+IF(YEAR($A113)&lt;=2026,Premissas!$C$49,IF(YEAR($A113)=2027,Premissas!$C$50,IF(YEAR($A113)=2028,Premissas!$C$51,Premissas!$C$52)))*(1-Premissas!$C$53))^(1/12)-1</f>
        <v>0.00682149336596227</v>
      </c>
      <c r="Q113" s="22" t="n">
        <f aca="false">($A113=Premissas!$C$16)*Premissas!$C$13</f>
        <v>0</v>
      </c>
      <c r="R113" s="22" t="n">
        <f aca="false">L113-M113-N113-Q113</f>
        <v>1839.77284873602</v>
      </c>
      <c r="S113" s="22" t="n">
        <f aca="false">S112+R113</f>
        <v>-205660.628299417</v>
      </c>
      <c r="T113" s="22" t="n">
        <f aca="false">IF($A113&gt;=Premissas!$C$18,O113*(1-Premissas!$C$45)-Premissas!$C$46*MAX(0,O113*(1-Premissas!$C$45)-(SUM($Q$5:$Q$355)+Premissas!$C$26*Premissas!$C$60)),"")</f>
        <v>466651.244682943</v>
      </c>
      <c r="U113" s="22" t="n">
        <f aca="false">IF($A113&gt;=Premissas!$C$18,S113+T113,"")</f>
        <v>260990.616383526</v>
      </c>
      <c r="V113" s="22" t="n">
        <f aca="false">V112*(1+$P113)-R113</f>
        <v>501549.897586902</v>
      </c>
      <c r="W113" s="22" t="n">
        <f aca="false">($A113=Premissas!$C$16)*Premissas!$C$9</f>
        <v>0</v>
      </c>
      <c r="X113" s="22" t="n">
        <f aca="false">L113-M113-N113-W113</f>
        <v>1839.77284873602</v>
      </c>
      <c r="Y113" s="22" t="n">
        <f aca="false">Y112+X113</f>
        <v>-236588.628299417</v>
      </c>
      <c r="Z113" s="22" t="n">
        <f aca="false">IF($A113&gt;=Premissas!$C$18,O113*(1-Premissas!$C$45)-Premissas!$C$46*MAX(0,O113*(1-Premissas!$C$45)-(SUM($W$5:$W$355)+Premissas!$C$26*Premissas!$C$60)),"")</f>
        <v>471290.444682943</v>
      </c>
      <c r="AA113" s="22" t="n">
        <f aca="false">IF($A113&gt;=Premissas!$C$18,Y113+Z113,"")</f>
        <v>234701.816383526</v>
      </c>
      <c r="AB113" s="22" t="n">
        <f aca="false">AB112*(1+$P113)-X113</f>
        <v>568117.891064063</v>
      </c>
      <c r="AC113" s="22" t="n">
        <f aca="false">AND($A113&gt;=Premissas!$C$16,$A113&lt;EDATE(Premissas!$C$16,3))*Premissas!$C$10/3*(1+Premissas!$C$56)^$C113</f>
        <v>0</v>
      </c>
      <c r="AD113" s="22" t="n">
        <f aca="false">L113-M113-N113-AC113</f>
        <v>1839.77284873602</v>
      </c>
      <c r="AE113" s="22" t="n">
        <f aca="false">AE112+AD113</f>
        <v>-244209.092179441</v>
      </c>
      <c r="AF113" s="22" t="n">
        <f aca="false">IF($A113&gt;=Premissas!$C$18,O113*(1-Premissas!$C$45)-Premissas!$C$46*MAX(0,O113*(1-Premissas!$C$45)-(SUM($AC$5:$AC$355)+Premissas!$C$26*Premissas!$C$60)),"")</f>
        <v>472433.514264946</v>
      </c>
      <c r="AG113" s="22" t="n">
        <f aca="false">IF($A113&gt;=Premissas!$C$18,AE113+AF113,"")</f>
        <v>228224.422085505</v>
      </c>
      <c r="AH113" s="22" t="n">
        <f aca="false">AH112*(1+$P113)-AD113</f>
        <v>578728.777866192</v>
      </c>
      <c r="AI113" s="22" t="n">
        <f aca="false">($A113=Premissas!$C$16)*0.2*Premissas!$C$11+AND($A113&gt;Premissas!$C$16,$A113&lt;=EDATE(Premissas!$C$16,43))*0.8*Premissas!$C$11/43*(1+Premissas!$C$56)^$C113</f>
        <v>0</v>
      </c>
      <c r="AJ113" s="22" t="n">
        <f aca="false">L113-M113-N113-AI113</f>
        <v>1839.77284873602</v>
      </c>
      <c r="AK113" s="22" t="n">
        <f aca="false">AK112+AJ113</f>
        <v>-290073.577597503</v>
      </c>
      <c r="AL113" s="22" t="n">
        <f aca="false">IF($A113&gt;=Premissas!$C$18,O113*(1-Premissas!$C$45)-Premissas!$C$46*MAX(0,O113*(1-Premissas!$C$45)-(SUM($AI$5:$AI$355)+Premissas!$C$26*Premissas!$C$60)),"")</f>
        <v>479313.187077656</v>
      </c>
      <c r="AM113" s="22" t="n">
        <f aca="false">IF($A113&gt;=Premissas!$C$18,AK113+AL113,"")</f>
        <v>189239.609480152</v>
      </c>
      <c r="AN113" s="22" t="n">
        <f aca="false">AN112*(1+$P113)-AJ113</f>
        <v>588629.342741343</v>
      </c>
      <c r="AO113" s="22" t="n">
        <f aca="false">V113+S113</f>
        <v>295889.269287486</v>
      </c>
    </row>
    <row r="114" customFormat="false" ht="15" hidden="false" customHeight="false" outlineLevel="0" collapsed="false">
      <c r="A114" s="26" t="n">
        <f aca="false">DATE(YEAR(A113),MONTH(A113)+1,1)</f>
        <v>49614</v>
      </c>
      <c r="B114" s="22" t="str">
        <f aca="false">IF($A114&lt;Premissas!$C$18,"Obra",IF($A114&lt;Premissas!$C$20,"Entrega/mobília","Airbnb"))</f>
        <v>Airbnb</v>
      </c>
      <c r="C114" s="36" t="n">
        <f aca="false">(YEAR($A114)-YEAR(Premissas!$C$16))*12+MONTH($A114)-MONTH(Premissas!$C$16)</f>
        <v>109</v>
      </c>
      <c r="D114" s="33" t="n">
        <f aca="false">IF($A114&gt;=Premissas!$C$20,Premissas!$C$31*IF(((YEAR($A114)-YEAR(Premissas!$C$20))*12+MONTH($A114)-MONTH(Premissas!$C$20))&lt;Premissas!$C$33,Premissas!$C$34,1),0)</f>
        <v>0.62</v>
      </c>
      <c r="E114" s="22" t="n">
        <f aca="false">D114*Premissas!$C$30*Premissas!$C$32*(1+Premissas!$C$58)^$C114</f>
        <v>6640.06684689795</v>
      </c>
      <c r="F114" s="22" t="n">
        <f aca="false">E114*Premissas!$C$35</f>
        <v>1062.41069550367</v>
      </c>
      <c r="G114" s="22" t="n">
        <f aca="false">E114*Premissas!$C$36</f>
        <v>1328.01336937959</v>
      </c>
      <c r="H114" s="22" t="n">
        <f aca="false">IF($A114&gt;=Premissas!$C$18,Premissas!$C$37*(1+Premissas!$C$58)^$C114,0)</f>
        <v>856.782818954574</v>
      </c>
      <c r="I114" s="22" t="n">
        <f aca="false">IF($A114&gt;=Premissas!$C$20,Premissas!$C$38*(1+Premissas!$C$58)^$C114,0)</f>
        <v>399.831982178801</v>
      </c>
      <c r="J114" s="22" t="n">
        <f aca="false">IF($A114&gt;=Premissas!$C$20,Premissas!$C$39*(1+Premissas!$C$58)^$C114,0)</f>
        <v>214.195704738644</v>
      </c>
      <c r="K114" s="22" t="n">
        <f aca="false">IF($A114&gt;=Premissas!$C$20,MAX(0,E114-F114-G114-H114)*Premissas!$C$41,0)</f>
        <v>933.036489841531</v>
      </c>
      <c r="L114" s="22" t="n">
        <f aca="false">E114-F114-G114-H114-I114-J114-K114</f>
        <v>1845.79578630114</v>
      </c>
      <c r="M114" s="22" t="n">
        <f aca="false">($A114=Premissas!$C$18)*Premissas!$C$26*Premissas!$C$60</f>
        <v>0</v>
      </c>
      <c r="N114" s="22" t="n">
        <f aca="false">IF(AND($A114&gt;=Premissas!$C$18,$A114&lt;Premissas!$C$20),Premissas!$C$27/MAX(1,Premissas!$C$19),0)</f>
        <v>0</v>
      </c>
      <c r="O114" s="22" t="n">
        <f aca="false">IF($A114&gt;=Premissas!$C$18,Premissas!$C$60*(1+Premissas!$C$59)^((YEAR($A114)-YEAR(Premissas!$C$18))*12+MONTH($A114)-MONTH(Premissas!$C$18)),"")</f>
        <v>536194.729047798</v>
      </c>
      <c r="P114" s="31" t="n">
        <f aca="false">(1+IF(YEAR($A114)&lt;=2026,Premissas!$C$49,IF(YEAR($A114)=2027,Premissas!$C$50,IF(YEAR($A114)=2028,Premissas!$C$51,Premissas!$C$52)))*(1-Premissas!$C$53))^(1/12)-1</f>
        <v>0.00682149336596227</v>
      </c>
      <c r="Q114" s="22" t="n">
        <f aca="false">($A114=Premissas!$C$16)*Premissas!$C$13</f>
        <v>0</v>
      </c>
      <c r="R114" s="22" t="n">
        <f aca="false">L114-M114-N114-Q114</f>
        <v>1845.79578630114</v>
      </c>
      <c r="S114" s="22" t="n">
        <f aca="false">S113+R114</f>
        <v>-203814.832513116</v>
      </c>
      <c r="T114" s="22" t="n">
        <f aca="false">IF($A114&gt;=Premissas!$C$18,O114*(1-Premissas!$C$45)-Premissas!$C$46*MAX(0,O114*(1-Premissas!$C$45)-(SUM($Q$5:$Q$355)+Premissas!$C$26*Premissas!$C$60)),"")</f>
        <v>468389.596855936</v>
      </c>
      <c r="U114" s="22" t="n">
        <f aca="false">IF($A114&gt;=Premissas!$C$18,S114+T114,"")</f>
        <v>264574.764342821</v>
      </c>
      <c r="V114" s="22" t="n">
        <f aca="false">V113*(1+$P114)-R114</f>
        <v>503125.421099689</v>
      </c>
      <c r="W114" s="22" t="n">
        <f aca="false">($A114=Premissas!$C$16)*Premissas!$C$9</f>
        <v>0</v>
      </c>
      <c r="X114" s="22" t="n">
        <f aca="false">L114-M114-N114-W114</f>
        <v>1845.79578630114</v>
      </c>
      <c r="Y114" s="22" t="n">
        <f aca="false">Y113+X114</f>
        <v>-234742.832513115</v>
      </c>
      <c r="Z114" s="22" t="n">
        <f aca="false">IF($A114&gt;=Premissas!$C$18,O114*(1-Premissas!$C$45)-Premissas!$C$46*MAX(0,O114*(1-Premissas!$C$45)-(SUM($W$5:$W$355)+Premissas!$C$26*Premissas!$C$60)),"")</f>
        <v>473028.796855936</v>
      </c>
      <c r="AA114" s="22" t="n">
        <f aca="false">IF($A114&gt;=Premissas!$C$18,Y114+Z114,"")</f>
        <v>238285.964342821</v>
      </c>
      <c r="AB114" s="22" t="n">
        <f aca="false">AB113*(1+$P114)-X114</f>
        <v>570147.50770274</v>
      </c>
      <c r="AC114" s="22" t="n">
        <f aca="false">AND($A114&gt;=Premissas!$C$16,$A114&lt;EDATE(Premissas!$C$16,3))*Premissas!$C$10/3*(1+Premissas!$C$56)^$C114</f>
        <v>0</v>
      </c>
      <c r="AD114" s="22" t="n">
        <f aca="false">L114-M114-N114-AC114</f>
        <v>1845.79578630114</v>
      </c>
      <c r="AE114" s="22" t="n">
        <f aca="false">AE113+AD114</f>
        <v>-242363.29639314</v>
      </c>
      <c r="AF114" s="22" t="n">
        <f aca="false">IF($A114&gt;=Premissas!$C$18,O114*(1-Premissas!$C$45)-Premissas!$C$46*MAX(0,O114*(1-Premissas!$C$45)-(SUM($AC$5:$AC$355)+Premissas!$C$26*Premissas!$C$60)),"")</f>
        <v>474171.86643794</v>
      </c>
      <c r="AG114" s="22" t="n">
        <f aca="false">IF($A114&gt;=Premissas!$C$18,AE114+AF114,"")</f>
        <v>231808.5700448</v>
      </c>
      <c r="AH114" s="22" t="n">
        <f aca="false">AH113*(1+$P114)-AD114</f>
        <v>580830.776598797</v>
      </c>
      <c r="AI114" s="22" t="n">
        <f aca="false">($A114=Premissas!$C$16)*0.2*Premissas!$C$11+AND($A114&gt;Premissas!$C$16,$A114&lt;=EDATE(Premissas!$C$16,43))*0.8*Premissas!$C$11/43*(1+Premissas!$C$56)^$C114</f>
        <v>0</v>
      </c>
      <c r="AJ114" s="22" t="n">
        <f aca="false">L114-M114-N114-AI114</f>
        <v>1845.79578630114</v>
      </c>
      <c r="AK114" s="22" t="n">
        <f aca="false">AK113+AJ114</f>
        <v>-288227.781811202</v>
      </c>
      <c r="AL114" s="22" t="n">
        <f aca="false">IF($A114&gt;=Premissas!$C$18,O114*(1-Premissas!$C$45)-Premissas!$C$46*MAX(0,O114*(1-Premissas!$C$45)-(SUM($AI$5:$AI$355)+Premissas!$C$26*Premissas!$C$60)),"")</f>
        <v>481051.539250649</v>
      </c>
      <c r="AM114" s="22" t="n">
        <f aca="false">IF($A114&gt;=Premissas!$C$18,AK114+AL114,"")</f>
        <v>192823.757439447</v>
      </c>
      <c r="AN114" s="22" t="n">
        <f aca="false">AN113*(1+$P114)-AJ114</f>
        <v>590798.878111563</v>
      </c>
      <c r="AO114" s="22" t="n">
        <f aca="false">V114+S114</f>
        <v>299310.588586574</v>
      </c>
    </row>
    <row r="115" customFormat="false" ht="15" hidden="false" customHeight="false" outlineLevel="0" collapsed="false">
      <c r="A115" s="26" t="n">
        <f aca="false">DATE(YEAR(A114),MONTH(A114)+1,1)</f>
        <v>49644</v>
      </c>
      <c r="B115" s="22" t="str">
        <f aca="false">IF($A115&lt;Premissas!$C$18,"Obra",IF($A115&lt;Premissas!$C$20,"Entrega/mobília","Airbnb"))</f>
        <v>Airbnb</v>
      </c>
      <c r="C115" s="36" t="n">
        <f aca="false">(YEAR($A115)-YEAR(Premissas!$C$16))*12+MONTH($A115)-MONTH(Premissas!$C$16)</f>
        <v>110</v>
      </c>
      <c r="D115" s="33" t="n">
        <f aca="false">IF($A115&gt;=Premissas!$C$20,Premissas!$C$31*IF(((YEAR($A115)-YEAR(Premissas!$C$20))*12+MONTH($A115)-MONTH(Premissas!$C$20))&lt;Premissas!$C$33,Premissas!$C$34,1),0)</f>
        <v>0.62</v>
      </c>
      <c r="E115" s="22" t="n">
        <f aca="false">D115*Premissas!$C$30*Premissas!$C$32*(1+Premissas!$C$58)^$C115</f>
        <v>6661.8046978911</v>
      </c>
      <c r="F115" s="22" t="n">
        <f aca="false">E115*Premissas!$C$35</f>
        <v>1065.88875166258</v>
      </c>
      <c r="G115" s="22" t="n">
        <f aca="false">E115*Premissas!$C$36</f>
        <v>1332.36093957822</v>
      </c>
      <c r="H115" s="22" t="n">
        <f aca="false">IF($A115&gt;=Premissas!$C$18,Premissas!$C$37*(1+Premissas!$C$58)^$C115,0)</f>
        <v>859.58770295369</v>
      </c>
      <c r="I115" s="22" t="n">
        <f aca="false">IF($A115&gt;=Premissas!$C$20,Premissas!$C$38*(1+Premissas!$C$58)^$C115,0)</f>
        <v>401.140928045056</v>
      </c>
      <c r="J115" s="22" t="n">
        <f aca="false">IF($A115&gt;=Premissas!$C$20,Premissas!$C$39*(1+Premissas!$C$58)^$C115,0)</f>
        <v>214.896925738423</v>
      </c>
      <c r="K115" s="22" t="n">
        <f aca="false">IF($A115&gt;=Premissas!$C$20,MAX(0,E115-F115-G115-H115)*Premissas!$C$41,0)</f>
        <v>936.091008516569</v>
      </c>
      <c r="L115" s="22" t="n">
        <f aca="false">E115-F115-G115-H115-I115-J115-K115</f>
        <v>1851.83844139657</v>
      </c>
      <c r="M115" s="22" t="n">
        <f aca="false">($A115=Premissas!$C$18)*Premissas!$C$26*Premissas!$C$60</f>
        <v>0</v>
      </c>
      <c r="N115" s="22" t="n">
        <f aca="false">IF(AND($A115&gt;=Premissas!$C$18,$A115&lt;Premissas!$C$20),Premissas!$C$27/MAX(1,Premissas!$C$19),0)</f>
        <v>0</v>
      </c>
      <c r="O115" s="22" t="n">
        <f aca="false">IF($A115&gt;=Premissas!$C$18,Premissas!$C$60*(1+Premissas!$C$59)^((YEAR($A115)-YEAR(Premissas!$C$18))*12+MONTH($A115)-MONTH(Premissas!$C$18)),"")</f>
        <v>538379.252746078</v>
      </c>
      <c r="P115" s="31" t="n">
        <f aca="false">(1+IF(YEAR($A115)&lt;=2026,Premissas!$C$49,IF(YEAR($A115)=2027,Premissas!$C$50,IF(YEAR($A115)=2028,Premissas!$C$51,Premissas!$C$52)))*(1-Premissas!$C$53))^(1/12)-1</f>
        <v>0.00682149336596227</v>
      </c>
      <c r="Q115" s="22" t="n">
        <f aca="false">($A115=Premissas!$C$16)*Premissas!$C$13</f>
        <v>0</v>
      </c>
      <c r="R115" s="22" t="n">
        <f aca="false">L115-M115-N115-Q115</f>
        <v>1851.83844139657</v>
      </c>
      <c r="S115" s="22" t="n">
        <f aca="false">S114+R115</f>
        <v>-201962.994071719</v>
      </c>
      <c r="T115" s="22" t="n">
        <f aca="false">IF($A115&gt;=Premissas!$C$18,O115*(1-Premissas!$C$45)-Premissas!$C$46*MAX(0,O115*(1-Premissas!$C$45)-(SUM($Q$5:$Q$355)+Premissas!$C$26*Premissas!$C$60)),"")</f>
        <v>470135.031290863</v>
      </c>
      <c r="U115" s="22" t="n">
        <f aca="false">IF($A115&gt;=Premissas!$C$18,S115+T115,"")</f>
        <v>268172.037219144</v>
      </c>
      <c r="V115" s="22" t="n">
        <f aca="false">V114*(1+$P115)-R115</f>
        <v>504705.649380571</v>
      </c>
      <c r="W115" s="22" t="n">
        <f aca="false">($A115=Premissas!$C$16)*Premissas!$C$9</f>
        <v>0</v>
      </c>
      <c r="X115" s="22" t="n">
        <f aca="false">L115-M115-N115-W115</f>
        <v>1851.83844139657</v>
      </c>
      <c r="Y115" s="22" t="n">
        <f aca="false">Y114+X115</f>
        <v>-232890.994071719</v>
      </c>
      <c r="Z115" s="22" t="n">
        <f aca="false">IF($A115&gt;=Premissas!$C$18,O115*(1-Premissas!$C$45)-Premissas!$C$46*MAX(0,O115*(1-Premissas!$C$45)-(SUM($W$5:$W$355)+Premissas!$C$26*Premissas!$C$60)),"")</f>
        <v>474774.231290863</v>
      </c>
      <c r="AA115" s="22" t="n">
        <f aca="false">IF($A115&gt;=Premissas!$C$18,Y115+Z115,"")</f>
        <v>241883.237219144</v>
      </c>
      <c r="AB115" s="22" t="n">
        <f aca="false">AB114*(1+$P115)-X115</f>
        <v>572184.926702758</v>
      </c>
      <c r="AC115" s="22" t="n">
        <f aca="false">AND($A115&gt;=Premissas!$C$16,$A115&lt;EDATE(Premissas!$C$16,3))*Premissas!$C$10/3*(1+Premissas!$C$56)^$C115</f>
        <v>0</v>
      </c>
      <c r="AD115" s="22" t="n">
        <f aca="false">L115-M115-N115-AC115</f>
        <v>1851.83844139657</v>
      </c>
      <c r="AE115" s="22" t="n">
        <f aca="false">AE114+AD115</f>
        <v>-240511.457951744</v>
      </c>
      <c r="AF115" s="22" t="n">
        <f aca="false">IF($A115&gt;=Premissas!$C$18,O115*(1-Premissas!$C$45)-Premissas!$C$46*MAX(0,O115*(1-Premissas!$C$45)-(SUM($AC$5:$AC$355)+Premissas!$C$26*Premissas!$C$60)),"")</f>
        <v>475917.300872866</v>
      </c>
      <c r="AG115" s="22" t="n">
        <f aca="false">IF($A115&gt;=Premissas!$C$18,AE115+AF115,"")</f>
        <v>235405.842921123</v>
      </c>
      <c r="AH115" s="22" t="n">
        <f aca="false">AH114*(1+$P115)-AD115</f>
        <v>582941.071446716</v>
      </c>
      <c r="AI115" s="22" t="n">
        <f aca="false">($A115=Premissas!$C$16)*0.2*Premissas!$C$11+AND($A115&gt;Premissas!$C$16,$A115&lt;=EDATE(Premissas!$C$16,43))*0.8*Premissas!$C$11/43*(1+Premissas!$C$56)^$C115</f>
        <v>0</v>
      </c>
      <c r="AJ115" s="22" t="n">
        <f aca="false">L115-M115-N115-AI115</f>
        <v>1851.83844139657</v>
      </c>
      <c r="AK115" s="22" t="n">
        <f aca="false">AK114+AJ115</f>
        <v>-286375.943369806</v>
      </c>
      <c r="AL115" s="22" t="n">
        <f aca="false">IF($A115&gt;=Premissas!$C$18,O115*(1-Premissas!$C$45)-Premissas!$C$46*MAX(0,O115*(1-Premissas!$C$45)-(SUM($AI$5:$AI$355)+Premissas!$C$26*Premissas!$C$60)),"")</f>
        <v>482796.973685576</v>
      </c>
      <c r="AM115" s="22" t="n">
        <f aca="false">IF($A115&gt;=Premissas!$C$18,AK115+AL115,"")</f>
        <v>196421.03031577</v>
      </c>
      <c r="AN115" s="22" t="n">
        <f aca="false">AN114*(1+$P115)-AJ115</f>
        <v>592977.170297822</v>
      </c>
      <c r="AO115" s="22" t="n">
        <f aca="false">V115+S115</f>
        <v>302742.655308852</v>
      </c>
    </row>
    <row r="116" customFormat="false" ht="15" hidden="false" customHeight="false" outlineLevel="0" collapsed="false">
      <c r="A116" s="26" t="n">
        <f aca="false">DATE(YEAR(A115),MONTH(A115)+1,1)</f>
        <v>49675</v>
      </c>
      <c r="B116" s="22" t="str">
        <f aca="false">IF($A116&lt;Premissas!$C$18,"Obra",IF($A116&lt;Premissas!$C$20,"Entrega/mobília","Airbnb"))</f>
        <v>Airbnb</v>
      </c>
      <c r="C116" s="36" t="n">
        <f aca="false">(YEAR($A116)-YEAR(Premissas!$C$16))*12+MONTH($A116)-MONTH(Premissas!$C$16)</f>
        <v>111</v>
      </c>
      <c r="D116" s="33" t="n">
        <f aca="false">IF($A116&gt;=Premissas!$C$20,Premissas!$C$31*IF(((YEAR($A116)-YEAR(Premissas!$C$20))*12+MONTH($A116)-MONTH(Premissas!$C$20))&lt;Premissas!$C$33,Premissas!$C$34,1),0)</f>
        <v>0.62</v>
      </c>
      <c r="E116" s="22" t="n">
        <f aca="false">D116*Premissas!$C$30*Premissas!$C$32*(1+Premissas!$C$58)^$C116</f>
        <v>6683.61371295183</v>
      </c>
      <c r="F116" s="22" t="n">
        <f aca="false">E116*Premissas!$C$35</f>
        <v>1069.37819407229</v>
      </c>
      <c r="G116" s="22" t="n">
        <f aca="false">E116*Premissas!$C$36</f>
        <v>1336.72274259037</v>
      </c>
      <c r="H116" s="22" t="n">
        <f aca="false">IF($A116&gt;=Premissas!$C$18,Premissas!$C$37*(1+Premissas!$C$58)^$C116,0)</f>
        <v>862.401769413139</v>
      </c>
      <c r="I116" s="22" t="n">
        <f aca="false">IF($A116&gt;=Premissas!$C$20,Premissas!$C$38*(1+Premissas!$C$58)^$C116,0)</f>
        <v>402.454159059465</v>
      </c>
      <c r="J116" s="22" t="n">
        <f aca="false">IF($A116&gt;=Premissas!$C$20,Premissas!$C$39*(1+Premissas!$C$58)^$C116,0)</f>
        <v>215.600442353285</v>
      </c>
      <c r="K116" s="22" t="n">
        <f aca="false">IF($A116&gt;=Premissas!$C$20,MAX(0,E116-F116-G116-H116)*Premissas!$C$41,0)</f>
        <v>939.155526890908</v>
      </c>
      <c r="L116" s="22" t="n">
        <f aca="false">E116-F116-G116-H116-I116-J116-K116</f>
        <v>1857.90087857237</v>
      </c>
      <c r="M116" s="22" t="n">
        <f aca="false">($A116=Premissas!$C$18)*Premissas!$C$26*Premissas!$C$60</f>
        <v>0</v>
      </c>
      <c r="N116" s="22" t="n">
        <f aca="false">IF(AND($A116&gt;=Premissas!$C$18,$A116&lt;Premissas!$C$20),Premissas!$C$27/MAX(1,Premissas!$C$19),0)</f>
        <v>0</v>
      </c>
      <c r="O116" s="22" t="n">
        <f aca="false">IF($A116&gt;=Premissas!$C$18,Premissas!$C$60*(1+Premissas!$C$59)^((YEAR($A116)-YEAR(Premissas!$C$18))*12+MONTH($A116)-MONTH(Premissas!$C$18)),"")</f>
        <v>540572.676464314</v>
      </c>
      <c r="P116" s="31" t="n">
        <f aca="false">(1+IF(YEAR($A116)&lt;=2026,Premissas!$C$49,IF(YEAR($A116)=2027,Premissas!$C$50,IF(YEAR($A116)=2028,Premissas!$C$51,Premissas!$C$52)))*(1-Premissas!$C$53))^(1/12)-1</f>
        <v>0.00682149336596227</v>
      </c>
      <c r="Q116" s="22" t="n">
        <f aca="false">($A116=Premissas!$C$16)*Premissas!$C$13</f>
        <v>0</v>
      </c>
      <c r="R116" s="22" t="n">
        <f aca="false">L116-M116-N116-Q116</f>
        <v>1857.90087857237</v>
      </c>
      <c r="S116" s="22" t="n">
        <f aca="false">S115+R116</f>
        <v>-200105.093193147</v>
      </c>
      <c r="T116" s="22" t="n">
        <f aca="false">IF($A116&gt;=Premissas!$C$18,O116*(1-Premissas!$C$45)-Premissas!$C$46*MAX(0,O116*(1-Premissas!$C$45)-(SUM($Q$5:$Q$355)+Premissas!$C$26*Premissas!$C$60)),"")</f>
        <v>471887.576841733</v>
      </c>
      <c r="U116" s="22" t="n">
        <f aca="false">IF($A116&gt;=Premissas!$C$18,S116+T116,"")</f>
        <v>271782.483648586</v>
      </c>
      <c r="V116" s="22" t="n">
        <f aca="false">V115*(1+$P116)-R116</f>
        <v>506290.594741012</v>
      </c>
      <c r="W116" s="22" t="n">
        <f aca="false">($A116=Premissas!$C$16)*Premissas!$C$9</f>
        <v>0</v>
      </c>
      <c r="X116" s="22" t="n">
        <f aca="false">L116-M116-N116-W116</f>
        <v>1857.90087857237</v>
      </c>
      <c r="Y116" s="22" t="n">
        <f aca="false">Y115+X116</f>
        <v>-231033.093193146</v>
      </c>
      <c r="Z116" s="22" t="n">
        <f aca="false">IF($A116&gt;=Premissas!$C$18,O116*(1-Premissas!$C$45)-Premissas!$C$46*MAX(0,O116*(1-Premissas!$C$45)-(SUM($W$5:$W$355)+Premissas!$C$26*Premissas!$C$60)),"")</f>
        <v>476526.776841733</v>
      </c>
      <c r="AA116" s="22" t="n">
        <f aca="false">IF($A116&gt;=Premissas!$C$18,Y116+Z116,"")</f>
        <v>245493.683648586</v>
      </c>
      <c r="AB116" s="22" t="n">
        <f aca="false">AB115*(1+$P116)-X116</f>
        <v>574230.181505792</v>
      </c>
      <c r="AC116" s="22" t="n">
        <f aca="false">AND($A116&gt;=Premissas!$C$16,$A116&lt;EDATE(Premissas!$C$16,3))*Premissas!$C$10/3*(1+Premissas!$C$56)^$C116</f>
        <v>0</v>
      </c>
      <c r="AD116" s="22" t="n">
        <f aca="false">L116-M116-N116-AC116</f>
        <v>1857.90087857237</v>
      </c>
      <c r="AE116" s="22" t="n">
        <f aca="false">AE115+AD116</f>
        <v>-238653.557073171</v>
      </c>
      <c r="AF116" s="22" t="n">
        <f aca="false">IF($A116&gt;=Premissas!$C$18,O116*(1-Premissas!$C$45)-Premissas!$C$46*MAX(0,O116*(1-Premissas!$C$45)-(SUM($AC$5:$AC$355)+Premissas!$C$26*Premissas!$C$60)),"")</f>
        <v>477669.846423737</v>
      </c>
      <c r="AG116" s="22" t="n">
        <f aca="false">IF($A116&gt;=Premissas!$C$18,AE116+AF116,"")</f>
        <v>239016.289350565</v>
      </c>
      <c r="AH116" s="22" t="n">
        <f aca="false">AH115*(1+$P116)-AD116</f>
        <v>585059.699219764</v>
      </c>
      <c r="AI116" s="22" t="n">
        <f aca="false">($A116=Premissas!$C$16)*0.2*Premissas!$C$11+AND($A116&gt;Premissas!$C$16,$A116&lt;=EDATE(Premissas!$C$16,43))*0.8*Premissas!$C$11/43*(1+Premissas!$C$56)^$C116</f>
        <v>0</v>
      </c>
      <c r="AJ116" s="22" t="n">
        <f aca="false">L116-M116-N116-AI116</f>
        <v>1857.90087857237</v>
      </c>
      <c r="AK116" s="22" t="n">
        <f aca="false">AK115+AJ116</f>
        <v>-284518.042491233</v>
      </c>
      <c r="AL116" s="22" t="n">
        <f aca="false">IF($A116&gt;=Premissas!$C$18,O116*(1-Premissas!$C$45)-Premissas!$C$46*MAX(0,O116*(1-Premissas!$C$45)-(SUM($AI$5:$AI$355)+Premissas!$C$26*Premissas!$C$60)),"")</f>
        <v>484549.519236446</v>
      </c>
      <c r="AM116" s="22" t="n">
        <f aca="false">IF($A116&gt;=Premissas!$C$18,AK116+AL116,"")</f>
        <v>200031.476745213</v>
      </c>
      <c r="AN116" s="22" t="n">
        <f aca="false">AN115*(1+$P116)-AJ116</f>
        <v>595164.259252603</v>
      </c>
      <c r="AO116" s="22" t="n">
        <f aca="false">V116+S116</f>
        <v>306185.501547866</v>
      </c>
    </row>
    <row r="117" customFormat="false" ht="15" hidden="false" customHeight="false" outlineLevel="0" collapsed="false">
      <c r="A117" s="26" t="n">
        <f aca="false">DATE(YEAR(A116),MONTH(A116)+1,1)</f>
        <v>49706</v>
      </c>
      <c r="B117" s="22" t="str">
        <f aca="false">IF($A117&lt;Premissas!$C$18,"Obra",IF($A117&lt;Premissas!$C$20,"Entrega/mobília","Airbnb"))</f>
        <v>Airbnb</v>
      </c>
      <c r="C117" s="36" t="n">
        <f aca="false">(YEAR($A117)-YEAR(Premissas!$C$16))*12+MONTH($A117)-MONTH(Premissas!$C$16)</f>
        <v>112</v>
      </c>
      <c r="D117" s="33" t="n">
        <f aca="false">IF($A117&gt;=Premissas!$C$20,Premissas!$C$31*IF(((YEAR($A117)-YEAR(Premissas!$C$20))*12+MONTH($A117)-MONTH(Premissas!$C$20))&lt;Premissas!$C$33,Premissas!$C$34,1),0)</f>
        <v>0.62</v>
      </c>
      <c r="E117" s="22" t="n">
        <f aca="false">D117*Premissas!$C$30*Premissas!$C$32*(1+Premissas!$C$58)^$C117</f>
        <v>6705.49412505277</v>
      </c>
      <c r="F117" s="22" t="n">
        <f aca="false">E117*Premissas!$C$35</f>
        <v>1072.87906000844</v>
      </c>
      <c r="G117" s="22" t="n">
        <f aca="false">E117*Premissas!$C$36</f>
        <v>1341.09882501055</v>
      </c>
      <c r="H117" s="22" t="n">
        <f aca="false">IF($A117&gt;=Premissas!$C$18,Premissas!$C$37*(1+Premissas!$C$58)^$C117,0)</f>
        <v>865.225048393905</v>
      </c>
      <c r="I117" s="22" t="n">
        <f aca="false">IF($A117&gt;=Premissas!$C$20,Premissas!$C$38*(1+Premissas!$C$58)^$C117,0)</f>
        <v>403.771689250489</v>
      </c>
      <c r="J117" s="22" t="n">
        <f aca="false">IF($A117&gt;=Premissas!$C$20,Premissas!$C$39*(1+Premissas!$C$58)^$C117,0)</f>
        <v>216.306262098476</v>
      </c>
      <c r="K117" s="22" t="n">
        <f aca="false">IF($A117&gt;=Premissas!$C$20,MAX(0,E117-F117-G117-H117)*Premissas!$C$41,0)</f>
        <v>942.230077700963</v>
      </c>
      <c r="L117" s="22" t="n">
        <f aca="false">E117-F117-G117-H117-I117-J117-K117</f>
        <v>1863.98316258994</v>
      </c>
      <c r="M117" s="22" t="n">
        <f aca="false">($A117=Premissas!$C$18)*Premissas!$C$26*Premissas!$C$60</f>
        <v>0</v>
      </c>
      <c r="N117" s="22" t="n">
        <f aca="false">IF(AND($A117&gt;=Premissas!$C$18,$A117&lt;Premissas!$C$20),Premissas!$C$27/MAX(1,Premissas!$C$19),0)</f>
        <v>0</v>
      </c>
      <c r="O117" s="22" t="n">
        <f aca="false">IF($A117&gt;=Premissas!$C$18,Premissas!$C$60*(1+Premissas!$C$59)^((YEAR($A117)-YEAR(Premissas!$C$18))*12+MONTH($A117)-MONTH(Premissas!$C$18)),"")</f>
        <v>542775.036462287</v>
      </c>
      <c r="P117" s="31" t="n">
        <f aca="false">(1+IF(YEAR($A117)&lt;=2026,Premissas!$C$49,IF(YEAR($A117)=2027,Premissas!$C$50,IF(YEAR($A117)=2028,Premissas!$C$51,Premissas!$C$52)))*(1-Premissas!$C$53))^(1/12)-1</f>
        <v>0.00682149336596227</v>
      </c>
      <c r="Q117" s="22" t="n">
        <f aca="false">($A117=Premissas!$C$16)*Premissas!$C$13</f>
        <v>0</v>
      </c>
      <c r="R117" s="22" t="n">
        <f aca="false">L117-M117-N117-Q117</f>
        <v>1863.98316258994</v>
      </c>
      <c r="S117" s="22" t="n">
        <f aca="false">S116+R117</f>
        <v>-198241.110030557</v>
      </c>
      <c r="T117" s="22" t="n">
        <f aca="false">IF($A117&gt;=Premissas!$C$18,O117*(1-Premissas!$C$45)-Premissas!$C$46*MAX(0,O117*(1-Premissas!$C$45)-(SUM($Q$5:$Q$355)+Premissas!$C$26*Premissas!$C$60)),"")</f>
        <v>473647.262480114</v>
      </c>
      <c r="U117" s="22" t="n">
        <f aca="false">IF($A117&gt;=Premissas!$C$18,S117+T117,"")</f>
        <v>275406.152449557</v>
      </c>
      <c r="V117" s="22" t="n">
        <f aca="false">V116*(1+$P117)-R117</f>
        <v>507880.269511697</v>
      </c>
      <c r="W117" s="22" t="n">
        <f aca="false">($A117=Premissas!$C$16)*Premissas!$C$9</f>
        <v>0</v>
      </c>
      <c r="X117" s="22" t="n">
        <f aca="false">L117-M117-N117-W117</f>
        <v>1863.98316258994</v>
      </c>
      <c r="Y117" s="22" t="n">
        <f aca="false">Y116+X117</f>
        <v>-229169.110030557</v>
      </c>
      <c r="Z117" s="22" t="n">
        <f aca="false">IF($A117&gt;=Premissas!$C$18,O117*(1-Premissas!$C$45)-Premissas!$C$46*MAX(0,O117*(1-Premissas!$C$45)-(SUM($W$5:$W$355)+Premissas!$C$26*Premissas!$C$60)),"")</f>
        <v>478286.462480114</v>
      </c>
      <c r="AA117" s="22" t="n">
        <f aca="false">IF($A117&gt;=Premissas!$C$18,Y117+Z117,"")</f>
        <v>249117.352449557</v>
      </c>
      <c r="AB117" s="22" t="n">
        <f aca="false">AB116*(1+$P117)-X117</f>
        <v>576283.305716879</v>
      </c>
      <c r="AC117" s="22" t="n">
        <f aca="false">AND($A117&gt;=Premissas!$C$16,$A117&lt;EDATE(Premissas!$C$16,3))*Premissas!$C$10/3*(1+Premissas!$C$56)^$C117</f>
        <v>0</v>
      </c>
      <c r="AD117" s="22" t="n">
        <f aca="false">L117-M117-N117-AC117</f>
        <v>1863.98316258994</v>
      </c>
      <c r="AE117" s="22" t="n">
        <f aca="false">AE116+AD117</f>
        <v>-236789.573910581</v>
      </c>
      <c r="AF117" s="22" t="n">
        <f aca="false">IF($A117&gt;=Premissas!$C$18,O117*(1-Premissas!$C$45)-Premissas!$C$46*MAX(0,O117*(1-Premissas!$C$45)-(SUM($AC$5:$AC$355)+Premissas!$C$26*Premissas!$C$60)),"")</f>
        <v>479429.532062118</v>
      </c>
      <c r="AG117" s="22" t="n">
        <f aca="false">IF($A117&gt;=Premissas!$C$18,AE117+AF117,"")</f>
        <v>242639.958151536</v>
      </c>
      <c r="AH117" s="22" t="n">
        <f aca="false">AH116*(1+$P117)-AD117</f>
        <v>587186.696914094</v>
      </c>
      <c r="AI117" s="22" t="n">
        <f aca="false">($A117=Premissas!$C$16)*0.2*Premissas!$C$11+AND($A117&gt;Premissas!$C$16,$A117&lt;=EDATE(Premissas!$C$16,43))*0.8*Premissas!$C$11/43*(1+Premissas!$C$56)^$C117</f>
        <v>0</v>
      </c>
      <c r="AJ117" s="22" t="n">
        <f aca="false">L117-M117-N117-AI117</f>
        <v>1863.98316258994</v>
      </c>
      <c r="AK117" s="22" t="n">
        <f aca="false">AK116+AJ117</f>
        <v>-282654.059328643</v>
      </c>
      <c r="AL117" s="22" t="n">
        <f aca="false">IF($A117&gt;=Premissas!$C$18,O117*(1-Premissas!$C$45)-Premissas!$C$46*MAX(0,O117*(1-Premissas!$C$45)-(SUM($AI$5:$AI$355)+Premissas!$C$26*Premissas!$C$60)),"")</f>
        <v>486309.204874827</v>
      </c>
      <c r="AM117" s="22" t="n">
        <f aca="false">IF($A117&gt;=Premissas!$C$18,AK117+AL117,"")</f>
        <v>203655.145546184</v>
      </c>
      <c r="AN117" s="22" t="n">
        <f aca="false">AN116*(1+$P117)-AJ117</f>
        <v>597360.185136163</v>
      </c>
      <c r="AO117" s="22" t="n">
        <f aca="false">V117+S117</f>
        <v>309639.15948114</v>
      </c>
    </row>
    <row r="118" customFormat="false" ht="15" hidden="false" customHeight="false" outlineLevel="0" collapsed="false">
      <c r="A118" s="26" t="n">
        <f aca="false">DATE(YEAR(A117),MONTH(A117)+1,1)</f>
        <v>49735</v>
      </c>
      <c r="B118" s="22" t="str">
        <f aca="false">IF($A118&lt;Premissas!$C$18,"Obra",IF($A118&lt;Premissas!$C$20,"Entrega/mobília","Airbnb"))</f>
        <v>Airbnb</v>
      </c>
      <c r="C118" s="36" t="n">
        <f aca="false">(YEAR($A118)-YEAR(Premissas!$C$16))*12+MONTH($A118)-MONTH(Premissas!$C$16)</f>
        <v>113</v>
      </c>
      <c r="D118" s="33" t="n">
        <f aca="false">IF($A118&gt;=Premissas!$C$20,Premissas!$C$31*IF(((YEAR($A118)-YEAR(Premissas!$C$20))*12+MONTH($A118)-MONTH(Premissas!$C$20))&lt;Premissas!$C$33,Premissas!$C$34,1),0)</f>
        <v>0.62</v>
      </c>
      <c r="E118" s="22" t="n">
        <f aca="false">D118*Premissas!$C$30*Premissas!$C$32*(1+Premissas!$C$58)^$C118</f>
        <v>6727.44616792925</v>
      </c>
      <c r="F118" s="22" t="n">
        <f aca="false">E118*Premissas!$C$35</f>
        <v>1076.39138686868</v>
      </c>
      <c r="G118" s="22" t="n">
        <f aca="false">E118*Premissas!$C$36</f>
        <v>1345.48923358585</v>
      </c>
      <c r="H118" s="22" t="n">
        <f aca="false">IF($A118&gt;=Premissas!$C$18,Premissas!$C$37*(1+Premissas!$C$58)^$C118,0)</f>
        <v>868.057570055387</v>
      </c>
      <c r="I118" s="22" t="n">
        <f aca="false">IF($A118&gt;=Premissas!$C$20,Premissas!$C$38*(1+Premissas!$C$58)^$C118,0)</f>
        <v>405.093532692514</v>
      </c>
      <c r="J118" s="22" t="n">
        <f aca="false">IF($A118&gt;=Premissas!$C$20,Premissas!$C$39*(1+Premissas!$C$58)^$C118,0)</f>
        <v>217.014392513847</v>
      </c>
      <c r="K118" s="22" t="n">
        <f aca="false">IF($A118&gt;=Premissas!$C$20,MAX(0,E118-F118-G118-H118)*Premissas!$C$41,0)</f>
        <v>945.314693790317</v>
      </c>
      <c r="L118" s="22" t="n">
        <f aca="false">E118-F118-G118-H118-I118-J118-K118</f>
        <v>1870.08535842266</v>
      </c>
      <c r="M118" s="22" t="n">
        <f aca="false">($A118=Premissas!$C$18)*Premissas!$C$26*Premissas!$C$60</f>
        <v>0</v>
      </c>
      <c r="N118" s="22" t="n">
        <f aca="false">IF(AND($A118&gt;=Premissas!$C$18,$A118&lt;Premissas!$C$20),Premissas!$C$27/MAX(1,Premissas!$C$19),0)</f>
        <v>0</v>
      </c>
      <c r="O118" s="22" t="n">
        <f aca="false">IF($A118&gt;=Premissas!$C$18,Premissas!$C$60*(1+Premissas!$C$59)^((YEAR($A118)-YEAR(Premissas!$C$18))*12+MONTH($A118)-MONTH(Premissas!$C$18)),"")</f>
        <v>544986.369147509</v>
      </c>
      <c r="P118" s="31" t="n">
        <f aca="false">(1+IF(YEAR($A118)&lt;=2026,Premissas!$C$49,IF(YEAR($A118)=2027,Premissas!$C$50,IF(YEAR($A118)=2028,Premissas!$C$51,Premissas!$C$52)))*(1-Premissas!$C$53))^(1/12)-1</f>
        <v>0.00682149336596227</v>
      </c>
      <c r="Q118" s="22" t="n">
        <f aca="false">($A118=Premissas!$C$16)*Premissas!$C$13</f>
        <v>0</v>
      </c>
      <c r="R118" s="22" t="n">
        <f aca="false">L118-M118-N118-Q118</f>
        <v>1870.08535842266</v>
      </c>
      <c r="S118" s="22" t="n">
        <f aca="false">S117+R118</f>
        <v>-196371.024672134</v>
      </c>
      <c r="T118" s="22" t="n">
        <f aca="false">IF($A118&gt;=Premissas!$C$18,O118*(1-Premissas!$C$45)-Premissas!$C$46*MAX(0,O118*(1-Premissas!$C$45)-(SUM($Q$5:$Q$355)+Premissas!$C$26*Premissas!$C$60)),"")</f>
        <v>475414.117295606</v>
      </c>
      <c r="U118" s="22" t="n">
        <f aca="false">IF($A118&gt;=Premissas!$C$18,S118+T118,"")</f>
        <v>279043.092623472</v>
      </c>
      <c r="V118" s="22" t="n">
        <f aca="false">V117*(1+$P118)-R118</f>
        <v>509474.686042452</v>
      </c>
      <c r="W118" s="22" t="n">
        <f aca="false">($A118=Premissas!$C$16)*Premissas!$C$9</f>
        <v>0</v>
      </c>
      <c r="X118" s="22" t="n">
        <f aca="false">L118-M118-N118-W118</f>
        <v>1870.08535842266</v>
      </c>
      <c r="Y118" s="22" t="n">
        <f aca="false">Y117+X118</f>
        <v>-227299.024672134</v>
      </c>
      <c r="Z118" s="22" t="n">
        <f aca="false">IF($A118&gt;=Premissas!$C$18,O118*(1-Premissas!$C$45)-Premissas!$C$46*MAX(0,O118*(1-Premissas!$C$45)-(SUM($W$5:$W$355)+Premissas!$C$26*Premissas!$C$60)),"")</f>
        <v>480053.317295606</v>
      </c>
      <c r="AA118" s="22" t="n">
        <f aca="false">IF($A118&gt;=Premissas!$C$18,Y118+Z118,"")</f>
        <v>252754.292623472</v>
      </c>
      <c r="AB118" s="22" t="n">
        <f aca="false">AB117*(1+$P118)-X118</f>
        <v>578344.333105319</v>
      </c>
      <c r="AC118" s="22" t="n">
        <f aca="false">AND($A118&gt;=Premissas!$C$16,$A118&lt;EDATE(Premissas!$C$16,3))*Premissas!$C$10/3*(1+Premissas!$C$56)^$C118</f>
        <v>0</v>
      </c>
      <c r="AD118" s="22" t="n">
        <f aca="false">L118-M118-N118-AC118</f>
        <v>1870.08535842266</v>
      </c>
      <c r="AE118" s="22" t="n">
        <f aca="false">AE117+AD118</f>
        <v>-234919.488552159</v>
      </c>
      <c r="AF118" s="22" t="n">
        <f aca="false">IF($A118&gt;=Premissas!$C$18,O118*(1-Premissas!$C$45)-Premissas!$C$46*MAX(0,O118*(1-Premissas!$C$45)-(SUM($AC$5:$AC$355)+Premissas!$C$26*Premissas!$C$60)),"")</f>
        <v>481196.38687761</v>
      </c>
      <c r="AG118" s="22" t="n">
        <f aca="false">IF($A118&gt;=Premissas!$C$18,AE118+AF118,"")</f>
        <v>246276.898325451</v>
      </c>
      <c r="AH118" s="22" t="n">
        <f aca="false">AH117*(1+$P118)-AD118</f>
        <v>589322.101713252</v>
      </c>
      <c r="AI118" s="22" t="n">
        <f aca="false">($A118=Premissas!$C$16)*0.2*Premissas!$C$11+AND($A118&gt;Premissas!$C$16,$A118&lt;=EDATE(Premissas!$C$16,43))*0.8*Premissas!$C$11/43*(1+Premissas!$C$56)^$C118</f>
        <v>0</v>
      </c>
      <c r="AJ118" s="22" t="n">
        <f aca="false">L118-M118-N118-AI118</f>
        <v>1870.08535842266</v>
      </c>
      <c r="AK118" s="22" t="n">
        <f aca="false">AK117+AJ118</f>
        <v>-280783.973970221</v>
      </c>
      <c r="AL118" s="22" t="n">
        <f aca="false">IF($A118&gt;=Premissas!$C$18,O118*(1-Premissas!$C$45)-Premissas!$C$46*MAX(0,O118*(1-Premissas!$C$45)-(SUM($AI$5:$AI$355)+Premissas!$C$26*Premissas!$C$60)),"")</f>
        <v>488076.059690319</v>
      </c>
      <c r="AM118" s="22" t="n">
        <f aca="false">IF($A118&gt;=Premissas!$C$18,AK118+AL118,"")</f>
        <v>207292.085720098</v>
      </c>
      <c r="AN118" s="22" t="n">
        <f aca="false">AN117*(1+$P118)-AJ118</f>
        <v>599564.988317737</v>
      </c>
      <c r="AO118" s="22" t="n">
        <f aca="false">V118+S118</f>
        <v>313103.661370318</v>
      </c>
    </row>
    <row r="119" customFormat="false" ht="15" hidden="false" customHeight="false" outlineLevel="0" collapsed="false">
      <c r="A119" s="26" t="n">
        <f aca="false">DATE(YEAR(A118),MONTH(A118)+1,1)</f>
        <v>49766</v>
      </c>
      <c r="B119" s="22" t="str">
        <f aca="false">IF($A119&lt;Premissas!$C$18,"Obra",IF($A119&lt;Premissas!$C$20,"Entrega/mobília","Airbnb"))</f>
        <v>Airbnb</v>
      </c>
      <c r="C119" s="36" t="n">
        <f aca="false">(YEAR($A119)-YEAR(Premissas!$C$16))*12+MONTH($A119)-MONTH(Premissas!$C$16)</f>
        <v>114</v>
      </c>
      <c r="D119" s="33" t="n">
        <f aca="false">IF($A119&gt;=Premissas!$C$20,Premissas!$C$31*IF(((YEAR($A119)-YEAR(Premissas!$C$20))*12+MONTH($A119)-MONTH(Premissas!$C$20))&lt;Premissas!$C$33,Premissas!$C$34,1),0)</f>
        <v>0.62</v>
      </c>
      <c r="E119" s="22" t="n">
        <f aca="false">D119*Premissas!$C$30*Premissas!$C$32*(1+Premissas!$C$58)^$C119</f>
        <v>6749.4700760818</v>
      </c>
      <c r="F119" s="22" t="n">
        <f aca="false">E119*Premissas!$C$35</f>
        <v>1079.91521217309</v>
      </c>
      <c r="G119" s="22" t="n">
        <f aca="false">E119*Premissas!$C$36</f>
        <v>1349.89401521636</v>
      </c>
      <c r="H119" s="22" t="n">
        <f aca="false">IF($A119&gt;=Premissas!$C$18,Premissas!$C$37*(1+Premissas!$C$58)^$C119,0)</f>
        <v>870.899364655717</v>
      </c>
      <c r="I119" s="22" t="n">
        <f aca="false">IF($A119&gt;=Premissas!$C$20,Premissas!$C$38*(1+Premissas!$C$58)^$C119,0)</f>
        <v>406.419703506001</v>
      </c>
      <c r="J119" s="22" t="n">
        <f aca="false">IF($A119&gt;=Premissas!$C$20,Premissas!$C$39*(1+Premissas!$C$58)^$C119,0)</f>
        <v>217.724841163929</v>
      </c>
      <c r="K119" s="22" t="n">
        <f aca="false">IF($A119&gt;=Premissas!$C$20,MAX(0,E119-F119-G119-H119)*Premissas!$C$41,0)</f>
        <v>948.409408110075</v>
      </c>
      <c r="L119" s="22" t="n">
        <f aca="false">E119-F119-G119-H119-I119-J119-K119</f>
        <v>1876.20753125663</v>
      </c>
      <c r="M119" s="22" t="n">
        <f aca="false">($A119=Premissas!$C$18)*Premissas!$C$26*Premissas!$C$60</f>
        <v>0</v>
      </c>
      <c r="N119" s="22" t="n">
        <f aca="false">IF(AND($A119&gt;=Premissas!$C$18,$A119&lt;Premissas!$C$20),Premissas!$C$27/MAX(1,Premissas!$C$19),0)</f>
        <v>0</v>
      </c>
      <c r="O119" s="22" t="n">
        <f aca="false">IF($A119&gt;=Premissas!$C$18,Premissas!$C$60*(1+Premissas!$C$59)^((YEAR($A119)-YEAR(Premissas!$C$18))*12+MONTH($A119)-MONTH(Premissas!$C$18)),"")</f>
        <v>547206.711075817</v>
      </c>
      <c r="P119" s="31" t="n">
        <f aca="false">(1+IF(YEAR($A119)&lt;=2026,Premissas!$C$49,IF(YEAR($A119)=2027,Premissas!$C$50,IF(YEAR($A119)=2028,Premissas!$C$51,Premissas!$C$52)))*(1-Premissas!$C$53))^(1/12)-1</f>
        <v>0.00682149336596227</v>
      </c>
      <c r="Q119" s="22" t="n">
        <f aca="false">($A119=Premissas!$C$16)*Premissas!$C$13</f>
        <v>0</v>
      </c>
      <c r="R119" s="22" t="n">
        <f aca="false">L119-M119-N119-Q119</f>
        <v>1876.20753125663</v>
      </c>
      <c r="S119" s="22" t="n">
        <f aca="false">S118+R119</f>
        <v>-194494.817140877</v>
      </c>
      <c r="T119" s="22" t="n">
        <f aca="false">IF($A119&gt;=Premissas!$C$18,O119*(1-Premissas!$C$45)-Premissas!$C$46*MAX(0,O119*(1-Premissas!$C$45)-(SUM($Q$5:$Q$355)+Premissas!$C$26*Premissas!$C$60)),"")</f>
        <v>477188.170496324</v>
      </c>
      <c r="U119" s="22" t="n">
        <f aca="false">IF($A119&gt;=Premissas!$C$18,S119+T119,"")</f>
        <v>282693.353355447</v>
      </c>
      <c r="V119" s="22" t="n">
        <f aca="false">V118*(1+$P119)-R119</f>
        <v>511073.856702159</v>
      </c>
      <c r="W119" s="22" t="n">
        <f aca="false">($A119=Premissas!$C$16)*Premissas!$C$9</f>
        <v>0</v>
      </c>
      <c r="X119" s="22" t="n">
        <f aca="false">L119-M119-N119-W119</f>
        <v>1876.20753125663</v>
      </c>
      <c r="Y119" s="22" t="n">
        <f aca="false">Y118+X119</f>
        <v>-225422.817140877</v>
      </c>
      <c r="Z119" s="22" t="n">
        <f aca="false">IF($A119&gt;=Premissas!$C$18,O119*(1-Premissas!$C$45)-Premissas!$C$46*MAX(0,O119*(1-Premissas!$C$45)-(SUM($W$5:$W$355)+Premissas!$C$26*Premissas!$C$60)),"")</f>
        <v>481827.370496324</v>
      </c>
      <c r="AA119" s="22" t="n">
        <f aca="false">IF($A119&gt;=Premissas!$C$18,Y119+Z119,"")</f>
        <v>256404.553355447</v>
      </c>
      <c r="AB119" s="22" t="n">
        <f aca="false">AB118*(1+$P119)-X119</f>
        <v>580413.297605582</v>
      </c>
      <c r="AC119" s="22" t="n">
        <f aca="false">AND($A119&gt;=Premissas!$C$16,$A119&lt;EDATE(Premissas!$C$16,3))*Premissas!$C$10/3*(1+Premissas!$C$56)^$C119</f>
        <v>0</v>
      </c>
      <c r="AD119" s="22" t="n">
        <f aca="false">L119-M119-N119-AC119</f>
        <v>1876.20753125663</v>
      </c>
      <c r="AE119" s="22" t="n">
        <f aca="false">AE118+AD119</f>
        <v>-233043.281020902</v>
      </c>
      <c r="AF119" s="22" t="n">
        <f aca="false">IF($A119&gt;=Premissas!$C$18,O119*(1-Premissas!$C$45)-Premissas!$C$46*MAX(0,O119*(1-Premissas!$C$45)-(SUM($AC$5:$AC$355)+Premissas!$C$26*Premissas!$C$60)),"")</f>
        <v>482970.440078328</v>
      </c>
      <c r="AG119" s="22" t="n">
        <f aca="false">IF($A119&gt;=Premissas!$C$18,AE119+AF119,"")</f>
        <v>249927.159057426</v>
      </c>
      <c r="AH119" s="22" t="n">
        <f aca="false">AH118*(1+$P119)-AD119</f>
        <v>591465.950989247</v>
      </c>
      <c r="AI119" s="22" t="n">
        <f aca="false">($A119=Premissas!$C$16)*0.2*Premissas!$C$11+AND($A119&gt;Premissas!$C$16,$A119&lt;=EDATE(Premissas!$C$16,43))*0.8*Premissas!$C$11/43*(1+Premissas!$C$56)^$C119</f>
        <v>0</v>
      </c>
      <c r="AJ119" s="22" t="n">
        <f aca="false">L119-M119-N119-AI119</f>
        <v>1876.20753125663</v>
      </c>
      <c r="AK119" s="22" t="n">
        <f aca="false">AK118+AJ119</f>
        <v>-278907.766438964</v>
      </c>
      <c r="AL119" s="22" t="n">
        <f aca="false">IF($A119&gt;=Premissas!$C$18,O119*(1-Premissas!$C$45)-Premissas!$C$46*MAX(0,O119*(1-Premissas!$C$45)-(SUM($AI$5:$AI$355)+Premissas!$C$26*Premissas!$C$60)),"")</f>
        <v>489850.112891037</v>
      </c>
      <c r="AM119" s="22" t="n">
        <f aca="false">IF($A119&gt;=Premissas!$C$18,AK119+AL119,"")</f>
        <v>210942.346452073</v>
      </c>
      <c r="AN119" s="22" t="n">
        <f aca="false">AN118*(1+$P119)-AJ119</f>
        <v>601778.709376753</v>
      </c>
      <c r="AO119" s="22" t="n">
        <f aca="false">V119+S119</f>
        <v>316579.039561282</v>
      </c>
    </row>
    <row r="120" customFormat="false" ht="15" hidden="false" customHeight="false" outlineLevel="0" collapsed="false">
      <c r="A120" s="26" t="n">
        <f aca="false">DATE(YEAR(A119),MONTH(A119)+1,1)</f>
        <v>49796</v>
      </c>
      <c r="B120" s="22" t="str">
        <f aca="false">IF($A120&lt;Premissas!$C$18,"Obra",IF($A120&lt;Premissas!$C$20,"Entrega/mobília","Airbnb"))</f>
        <v>Airbnb</v>
      </c>
      <c r="C120" s="36" t="n">
        <f aca="false">(YEAR($A120)-YEAR(Premissas!$C$16))*12+MONTH($A120)-MONTH(Premissas!$C$16)</f>
        <v>115</v>
      </c>
      <c r="D120" s="33" t="n">
        <f aca="false">IF($A120&gt;=Premissas!$C$20,Premissas!$C$31*IF(((YEAR($A120)-YEAR(Premissas!$C$20))*12+MONTH($A120)-MONTH(Premissas!$C$20))&lt;Premissas!$C$33,Premissas!$C$34,1),0)</f>
        <v>0.62</v>
      </c>
      <c r="E120" s="22" t="n">
        <f aca="false">D120*Premissas!$C$30*Premissas!$C$32*(1+Premissas!$C$58)^$C120</f>
        <v>6771.56608477863</v>
      </c>
      <c r="F120" s="22" t="n">
        <f aca="false">E120*Premissas!$C$35</f>
        <v>1083.45057356458</v>
      </c>
      <c r="G120" s="22" t="n">
        <f aca="false">E120*Premissas!$C$36</f>
        <v>1354.31321695573</v>
      </c>
      <c r="H120" s="22" t="n">
        <f aca="false">IF($A120&gt;=Premissas!$C$18,Premissas!$C$37*(1+Premissas!$C$58)^$C120,0)</f>
        <v>873.750462552082</v>
      </c>
      <c r="I120" s="22" t="n">
        <f aca="false">IF($A120&gt;=Premissas!$C$20,Premissas!$C$38*(1+Premissas!$C$58)^$C120,0)</f>
        <v>407.750215857638</v>
      </c>
      <c r="J120" s="22" t="n">
        <f aca="false">IF($A120&gt;=Premissas!$C$20,Premissas!$C$39*(1+Premissas!$C$58)^$C120,0)</f>
        <v>218.43761563802</v>
      </c>
      <c r="K120" s="22" t="n">
        <f aca="false">IF($A120&gt;=Premissas!$C$20,MAX(0,E120-F120-G120-H120)*Premissas!$C$41,0)</f>
        <v>951.514253719217</v>
      </c>
      <c r="L120" s="22" t="n">
        <f aca="false">E120-F120-G120-H120-I120-J120-K120</f>
        <v>1882.34974649137</v>
      </c>
      <c r="M120" s="22" t="n">
        <f aca="false">($A120=Premissas!$C$18)*Premissas!$C$26*Premissas!$C$60</f>
        <v>0</v>
      </c>
      <c r="N120" s="22" t="n">
        <f aca="false">IF(AND($A120&gt;=Premissas!$C$18,$A120&lt;Premissas!$C$20),Premissas!$C$27/MAX(1,Premissas!$C$19),0)</f>
        <v>0</v>
      </c>
      <c r="O120" s="22" t="n">
        <f aca="false">IF($A120&gt;=Premissas!$C$18,Premissas!$C$60*(1+Premissas!$C$59)^((YEAR($A120)-YEAR(Premissas!$C$18))*12+MONTH($A120)-MONTH(Premissas!$C$18)),"")</f>
        <v>549436.098951983</v>
      </c>
      <c r="P120" s="31" t="n">
        <f aca="false">(1+IF(YEAR($A120)&lt;=2026,Premissas!$C$49,IF(YEAR($A120)=2027,Premissas!$C$50,IF(YEAR($A120)=2028,Premissas!$C$51,Premissas!$C$52)))*(1-Premissas!$C$53))^(1/12)-1</f>
        <v>0.00682149336596227</v>
      </c>
      <c r="Q120" s="22" t="n">
        <f aca="false">($A120=Premissas!$C$16)*Premissas!$C$13</f>
        <v>0</v>
      </c>
      <c r="R120" s="22" t="n">
        <f aca="false">L120-M120-N120-Q120</f>
        <v>1882.34974649137</v>
      </c>
      <c r="S120" s="22" t="n">
        <f aca="false">S119+R120</f>
        <v>-192612.467394386</v>
      </c>
      <c r="T120" s="22" t="n">
        <f aca="false">IF($A120&gt;=Premissas!$C$18,O120*(1-Premissas!$C$45)-Premissas!$C$46*MAX(0,O120*(1-Premissas!$C$45)-(SUM($Q$5:$Q$355)+Premissas!$C$26*Premissas!$C$60)),"")</f>
        <v>478969.451409381</v>
      </c>
      <c r="U120" s="22" t="n">
        <f aca="false">IF($A120&gt;=Premissas!$C$18,S120+T120,"")</f>
        <v>286356.984014995</v>
      </c>
      <c r="V120" s="22" t="n">
        <f aca="false">V119*(1+$P120)-R120</f>
        <v>512677.793878679</v>
      </c>
      <c r="W120" s="22" t="n">
        <f aca="false">($A120=Premissas!$C$16)*Premissas!$C$9</f>
        <v>0</v>
      </c>
      <c r="X120" s="22" t="n">
        <f aca="false">L120-M120-N120-W120</f>
        <v>1882.34974649137</v>
      </c>
      <c r="Y120" s="22" t="n">
        <f aca="false">Y119+X120</f>
        <v>-223540.467394386</v>
      </c>
      <c r="Z120" s="22" t="n">
        <f aca="false">IF($A120&gt;=Premissas!$C$18,O120*(1-Premissas!$C$45)-Premissas!$C$46*MAX(0,O120*(1-Premissas!$C$45)-(SUM($W$5:$W$355)+Premissas!$C$26*Premissas!$C$60)),"")</f>
        <v>483608.651409381</v>
      </c>
      <c r="AA120" s="22" t="n">
        <f aca="false">IF($A120&gt;=Premissas!$C$18,Y120+Z120,"")</f>
        <v>260068.184014995</v>
      </c>
      <c r="AB120" s="22" t="n">
        <f aca="false">AB119*(1+$P120)-X120</f>
        <v>582490.233318223</v>
      </c>
      <c r="AC120" s="22" t="n">
        <f aca="false">AND($A120&gt;=Premissas!$C$16,$A120&lt;EDATE(Premissas!$C$16,3))*Premissas!$C$10/3*(1+Premissas!$C$56)^$C120</f>
        <v>0</v>
      </c>
      <c r="AD120" s="22" t="n">
        <f aca="false">L120-M120-N120-AC120</f>
        <v>1882.34974649137</v>
      </c>
      <c r="AE120" s="22" t="n">
        <f aca="false">AE119+AD120</f>
        <v>-231160.931274411</v>
      </c>
      <c r="AF120" s="22" t="n">
        <f aca="false">IF($A120&gt;=Premissas!$C$18,O120*(1-Premissas!$C$45)-Premissas!$C$46*MAX(0,O120*(1-Premissas!$C$45)-(SUM($AC$5:$AC$355)+Premissas!$C$26*Premissas!$C$60)),"")</f>
        <v>484751.720991384</v>
      </c>
      <c r="AG120" s="22" t="n">
        <f aca="false">IF($A120&gt;=Premissas!$C$18,AE120+AF120,"")</f>
        <v>253590.789716974</v>
      </c>
      <c r="AH120" s="22" t="n">
        <f aca="false">AH119*(1+$P120)-AD120</f>
        <v>593618.282303622</v>
      </c>
      <c r="AI120" s="22" t="n">
        <f aca="false">($A120=Premissas!$C$16)*0.2*Premissas!$C$11+AND($A120&gt;Premissas!$C$16,$A120&lt;=EDATE(Premissas!$C$16,43))*0.8*Premissas!$C$11/43*(1+Premissas!$C$56)^$C120</f>
        <v>0</v>
      </c>
      <c r="AJ120" s="22" t="n">
        <f aca="false">L120-M120-N120-AI120</f>
        <v>1882.34974649137</v>
      </c>
      <c r="AK120" s="22" t="n">
        <f aca="false">AK119+AJ120</f>
        <v>-277025.416692473</v>
      </c>
      <c r="AL120" s="22" t="n">
        <f aca="false">IF($A120&gt;=Premissas!$C$18,O120*(1-Premissas!$C$45)-Premissas!$C$46*MAX(0,O120*(1-Premissas!$C$45)-(SUM($AI$5:$AI$355)+Premissas!$C$26*Premissas!$C$60)),"")</f>
        <v>491631.393804094</v>
      </c>
      <c r="AM120" s="22" t="n">
        <f aca="false">IF($A120&gt;=Premissas!$C$18,AK120+AL120,"")</f>
        <v>214605.977111621</v>
      </c>
      <c r="AN120" s="22" t="n">
        <f aca="false">AN119*(1+$P120)-AJ120</f>
        <v>604001.389104052</v>
      </c>
      <c r="AO120" s="22" t="n">
        <f aca="false">V120+S120</f>
        <v>320065.326484292</v>
      </c>
    </row>
    <row r="121" customFormat="false" ht="15" hidden="false" customHeight="false" outlineLevel="0" collapsed="false">
      <c r="A121" s="26" t="n">
        <f aca="false">DATE(YEAR(A120),MONTH(A120)+1,1)</f>
        <v>49827</v>
      </c>
      <c r="B121" s="22" t="str">
        <f aca="false">IF($A121&lt;Premissas!$C$18,"Obra",IF($A121&lt;Premissas!$C$20,"Entrega/mobília","Airbnb"))</f>
        <v>Airbnb</v>
      </c>
      <c r="C121" s="36" t="n">
        <f aca="false">(YEAR($A121)-YEAR(Premissas!$C$16))*12+MONTH($A121)-MONTH(Premissas!$C$16)</f>
        <v>116</v>
      </c>
      <c r="D121" s="33" t="n">
        <f aca="false">IF($A121&gt;=Premissas!$C$20,Premissas!$C$31*IF(((YEAR($A121)-YEAR(Premissas!$C$20))*12+MONTH($A121)-MONTH(Premissas!$C$20))&lt;Premissas!$C$33,Premissas!$C$34,1),0)</f>
        <v>0.62</v>
      </c>
      <c r="E121" s="22" t="n">
        <f aca="false">D121*Premissas!$C$30*Premissas!$C$32*(1+Premissas!$C$58)^$C121</f>
        <v>6793.73443005816</v>
      </c>
      <c r="F121" s="22" t="n">
        <f aca="false">E121*Premissas!$C$35</f>
        <v>1086.99750880931</v>
      </c>
      <c r="G121" s="22" t="n">
        <f aca="false">E121*Premissas!$C$36</f>
        <v>1358.74688601163</v>
      </c>
      <c r="H121" s="22" t="n">
        <f aca="false">IF($A121&gt;=Premissas!$C$18,Premissas!$C$37*(1+Premissas!$C$58)^$C121,0)</f>
        <v>876.610894201053</v>
      </c>
      <c r="I121" s="22" t="n">
        <f aca="false">IF($A121&gt;=Premissas!$C$20,Premissas!$C$38*(1+Premissas!$C$58)^$C121,0)</f>
        <v>409.085083960492</v>
      </c>
      <c r="J121" s="22" t="n">
        <f aca="false">IF($A121&gt;=Premissas!$C$20,Premissas!$C$39*(1+Premissas!$C$58)^$C121,0)</f>
        <v>219.152723550263</v>
      </c>
      <c r="K121" s="22" t="n">
        <f aca="false">IF($A121&gt;=Premissas!$C$20,MAX(0,E121-F121-G121-H121)*Premissas!$C$41,0)</f>
        <v>954.629263784947</v>
      </c>
      <c r="L121" s="22" t="n">
        <f aca="false">E121-F121-G121-H121-I121-J121-K121</f>
        <v>1888.51206974047</v>
      </c>
      <c r="M121" s="22" t="n">
        <f aca="false">($A121=Premissas!$C$18)*Premissas!$C$26*Premissas!$C$60</f>
        <v>0</v>
      </c>
      <c r="N121" s="22" t="n">
        <f aca="false">IF(AND($A121&gt;=Premissas!$C$18,$A121&lt;Premissas!$C$20),Premissas!$C$27/MAX(1,Premissas!$C$19),0)</f>
        <v>0</v>
      </c>
      <c r="O121" s="22" t="n">
        <f aca="false">IF($A121&gt;=Premissas!$C$18,Premissas!$C$60*(1+Premissas!$C$59)^((YEAR($A121)-YEAR(Premissas!$C$18))*12+MONTH($A121)-MONTH(Premissas!$C$18)),"")</f>
        <v>551674.569630318</v>
      </c>
      <c r="P121" s="31" t="n">
        <f aca="false">(1+IF(YEAR($A121)&lt;=2026,Premissas!$C$49,IF(YEAR($A121)=2027,Premissas!$C$50,IF(YEAR($A121)=2028,Premissas!$C$51,Premissas!$C$52)))*(1-Premissas!$C$53))^(1/12)-1</f>
        <v>0.00682149336596227</v>
      </c>
      <c r="Q121" s="22" t="n">
        <f aca="false">($A121=Premissas!$C$16)*Premissas!$C$13</f>
        <v>0</v>
      </c>
      <c r="R121" s="22" t="n">
        <f aca="false">L121-M121-N121-Q121</f>
        <v>1888.51206974047</v>
      </c>
      <c r="S121" s="22" t="n">
        <f aca="false">S120+R121</f>
        <v>-190723.955324646</v>
      </c>
      <c r="T121" s="22" t="n">
        <f aca="false">IF($A121&gt;=Premissas!$C$18,O121*(1-Premissas!$C$45)-Premissas!$C$46*MAX(0,O121*(1-Premissas!$C$45)-(SUM($Q$5:$Q$355)+Premissas!$C$26*Premissas!$C$60)),"")</f>
        <v>480757.98948137</v>
      </c>
      <c r="U121" s="22" t="n">
        <f aca="false">IF($A121&gt;=Premissas!$C$18,S121+T121,"")</f>
        <v>290034.034156725</v>
      </c>
      <c r="V121" s="22" t="n">
        <f aca="false">V120*(1+$P121)-R121</f>
        <v>514286.509978758</v>
      </c>
      <c r="W121" s="22" t="n">
        <f aca="false">($A121=Premissas!$C$16)*Premissas!$C$9</f>
        <v>0</v>
      </c>
      <c r="X121" s="22" t="n">
        <f aca="false">L121-M121-N121-W121</f>
        <v>1888.51206974047</v>
      </c>
      <c r="Y121" s="22" t="n">
        <f aca="false">Y120+X121</f>
        <v>-221651.955324645</v>
      </c>
      <c r="Z121" s="22" t="n">
        <f aca="false">IF($A121&gt;=Premissas!$C$18,O121*(1-Premissas!$C$45)-Premissas!$C$46*MAX(0,O121*(1-Premissas!$C$45)-(SUM($W$5:$W$355)+Premissas!$C$26*Premissas!$C$60)),"")</f>
        <v>485397.18948137</v>
      </c>
      <c r="AA121" s="22" t="n">
        <f aca="false">IF($A121&gt;=Premissas!$C$18,Y121+Z121,"")</f>
        <v>263745.234156725</v>
      </c>
      <c r="AB121" s="22" t="n">
        <f aca="false">AB120*(1+$P121)-X121</f>
        <v>584575.174510801</v>
      </c>
      <c r="AC121" s="22" t="n">
        <f aca="false">AND($A121&gt;=Premissas!$C$16,$A121&lt;EDATE(Premissas!$C$16,3))*Premissas!$C$10/3*(1+Premissas!$C$56)^$C121</f>
        <v>0</v>
      </c>
      <c r="AD121" s="22" t="n">
        <f aca="false">L121-M121-N121-AC121</f>
        <v>1888.51206974047</v>
      </c>
      <c r="AE121" s="22" t="n">
        <f aca="false">AE120+AD121</f>
        <v>-229272.41920467</v>
      </c>
      <c r="AF121" s="22" t="n">
        <f aca="false">IF($A121&gt;=Premissas!$C$18,O121*(1-Premissas!$C$45)-Premissas!$C$46*MAX(0,O121*(1-Premissas!$C$45)-(SUM($AC$5:$AC$355)+Premissas!$C$26*Premissas!$C$60)),"")</f>
        <v>486540.259063374</v>
      </c>
      <c r="AG121" s="22" t="n">
        <f aca="false">IF($A121&gt;=Premissas!$C$18,AE121+AF121,"")</f>
        <v>257267.839858704</v>
      </c>
      <c r="AH121" s="22" t="n">
        <f aca="false">AH120*(1+$P121)-AD121</f>
        <v>595779.133408529</v>
      </c>
      <c r="AI121" s="22" t="n">
        <f aca="false">($A121=Premissas!$C$16)*0.2*Premissas!$C$11+AND($A121&gt;Premissas!$C$16,$A121&lt;=EDATE(Premissas!$C$16,43))*0.8*Premissas!$C$11/43*(1+Premissas!$C$56)^$C121</f>
        <v>0</v>
      </c>
      <c r="AJ121" s="22" t="n">
        <f aca="false">L121-M121-N121-AI121</f>
        <v>1888.51206974047</v>
      </c>
      <c r="AK121" s="22" t="n">
        <f aca="false">AK120+AJ121</f>
        <v>-275136.904622732</v>
      </c>
      <c r="AL121" s="22" t="n">
        <f aca="false">IF($A121&gt;=Premissas!$C$18,O121*(1-Premissas!$C$45)-Premissas!$C$46*MAX(0,O121*(1-Premissas!$C$45)-(SUM($AI$5:$AI$355)+Premissas!$C$26*Premissas!$C$60)),"")</f>
        <v>493419.931876084</v>
      </c>
      <c r="AM121" s="22" t="n">
        <f aca="false">IF($A121&gt;=Premissas!$C$18,AK121+AL121,"")</f>
        <v>218283.027253351</v>
      </c>
      <c r="AN121" s="22" t="n">
        <f aca="false">AN120*(1+$P121)-AJ121</f>
        <v>606233.068503117</v>
      </c>
      <c r="AO121" s="22" t="n">
        <f aca="false">V121+S121</f>
        <v>323562.554654112</v>
      </c>
    </row>
    <row r="122" customFormat="false" ht="15" hidden="false" customHeight="false" outlineLevel="0" collapsed="false">
      <c r="A122" s="26" t="n">
        <f aca="false">DATE(YEAR(A121),MONTH(A121)+1,1)</f>
        <v>49857</v>
      </c>
      <c r="B122" s="22" t="str">
        <f aca="false">IF($A122&lt;Premissas!$C$18,"Obra",IF($A122&lt;Premissas!$C$20,"Entrega/mobília","Airbnb"))</f>
        <v>Airbnb</v>
      </c>
      <c r="C122" s="36" t="n">
        <f aca="false">(YEAR($A122)-YEAR(Premissas!$C$16))*12+MONTH($A122)-MONTH(Premissas!$C$16)</f>
        <v>117</v>
      </c>
      <c r="D122" s="33" t="n">
        <f aca="false">IF($A122&gt;=Premissas!$C$20,Premissas!$C$31*IF(((YEAR($A122)-YEAR(Premissas!$C$20))*12+MONTH($A122)-MONTH(Premissas!$C$20))&lt;Premissas!$C$33,Premissas!$C$34,1),0)</f>
        <v>0.62</v>
      </c>
      <c r="E122" s="22" t="n">
        <f aca="false">D122*Premissas!$C$30*Premissas!$C$32*(1+Premissas!$C$58)^$C122</f>
        <v>6815.97534873154</v>
      </c>
      <c r="F122" s="22" t="n">
        <f aca="false">E122*Premissas!$C$35</f>
        <v>1090.55605579705</v>
      </c>
      <c r="G122" s="22" t="n">
        <f aca="false">E122*Premissas!$C$36</f>
        <v>1363.19506974631</v>
      </c>
      <c r="H122" s="22" t="n">
        <f aca="false">IF($A122&gt;=Premissas!$C$18,Premissas!$C$37*(1+Premissas!$C$58)^$C122,0)</f>
        <v>879.480690158908</v>
      </c>
      <c r="I122" s="22" t="n">
        <f aca="false">IF($A122&gt;=Premissas!$C$20,Premissas!$C$38*(1+Premissas!$C$58)^$C122,0)</f>
        <v>410.424322074157</v>
      </c>
      <c r="J122" s="22" t="n">
        <f aca="false">IF($A122&gt;=Premissas!$C$20,Premissas!$C$39*(1+Premissas!$C$58)^$C122,0)</f>
        <v>219.870172539727</v>
      </c>
      <c r="K122" s="22" t="n">
        <f aca="false">IF($A122&gt;=Premissas!$C$20,MAX(0,E122-F122-G122-H122)*Premissas!$C$41,0)</f>
        <v>957.754471583051</v>
      </c>
      <c r="L122" s="22" t="n">
        <f aca="false">E122-F122-G122-H122-I122-J122-K122</f>
        <v>1894.69456683234</v>
      </c>
      <c r="M122" s="22" t="n">
        <f aca="false">($A122=Premissas!$C$18)*Premissas!$C$26*Premissas!$C$60</f>
        <v>0</v>
      </c>
      <c r="N122" s="22" t="n">
        <f aca="false">IF(AND($A122&gt;=Premissas!$C$18,$A122&lt;Premissas!$C$20),Premissas!$C$27/MAX(1,Premissas!$C$19),0)</f>
        <v>0</v>
      </c>
      <c r="O122" s="22" t="n">
        <f aca="false">IF($A122&gt;=Premissas!$C$18,Premissas!$C$60*(1+Premissas!$C$59)^((YEAR($A122)-YEAR(Premissas!$C$18))*12+MONTH($A122)-MONTH(Premissas!$C$18)),"")</f>
        <v>553922.160115283</v>
      </c>
      <c r="P122" s="31" t="n">
        <f aca="false">(1+IF(YEAR($A122)&lt;=2026,Premissas!$C$49,IF(YEAR($A122)=2027,Premissas!$C$50,IF(YEAR($A122)=2028,Premissas!$C$51,Premissas!$C$52)))*(1-Premissas!$C$53))^(1/12)-1</f>
        <v>0.00682149336596227</v>
      </c>
      <c r="Q122" s="22" t="n">
        <f aca="false">($A122=Premissas!$C$16)*Premissas!$C$13</f>
        <v>0</v>
      </c>
      <c r="R122" s="22" t="n">
        <f aca="false">L122-M122-N122-Q122</f>
        <v>1894.69456683234</v>
      </c>
      <c r="S122" s="22" t="n">
        <f aca="false">S121+R122</f>
        <v>-188829.260757813</v>
      </c>
      <c r="T122" s="22" t="n">
        <f aca="false">IF($A122&gt;=Premissas!$C$18,O122*(1-Premissas!$C$45)-Premissas!$C$46*MAX(0,O122*(1-Premissas!$C$45)-(SUM($Q$5:$Q$355)+Premissas!$C$26*Premissas!$C$60)),"")</f>
        <v>482553.814278857</v>
      </c>
      <c r="U122" s="22" t="n">
        <f aca="false">IF($A122&gt;=Premissas!$C$18,S122+T122,"")</f>
        <v>293724.553521044</v>
      </c>
      <c r="V122" s="22" t="n">
        <f aca="false">V121*(1+$P122)-R122</f>
        <v>515900.017427949</v>
      </c>
      <c r="W122" s="22" t="n">
        <f aca="false">($A122=Premissas!$C$16)*Premissas!$C$9</f>
        <v>0</v>
      </c>
      <c r="X122" s="22" t="n">
        <f aca="false">L122-M122-N122-W122</f>
        <v>1894.69456683234</v>
      </c>
      <c r="Y122" s="22" t="n">
        <f aca="false">Y121+X122</f>
        <v>-219757.260757813</v>
      </c>
      <c r="Z122" s="22" t="n">
        <f aca="false">IF($A122&gt;=Premissas!$C$18,O122*(1-Premissas!$C$45)-Premissas!$C$46*MAX(0,O122*(1-Premissas!$C$45)-(SUM($W$5:$W$355)+Premissas!$C$26*Premissas!$C$60)),"")</f>
        <v>487193.014278857</v>
      </c>
      <c r="AA122" s="22" t="n">
        <f aca="false">IF($A122&gt;=Premissas!$C$18,Y122+Z122,"")</f>
        <v>267435.753521044</v>
      </c>
      <c r="AB122" s="22" t="n">
        <f aca="false">AB121*(1+$P122)-X122</f>
        <v>586668.1556188</v>
      </c>
      <c r="AC122" s="22" t="n">
        <f aca="false">AND($A122&gt;=Premissas!$C$16,$A122&lt;EDATE(Premissas!$C$16,3))*Premissas!$C$10/3*(1+Premissas!$C$56)^$C122</f>
        <v>0</v>
      </c>
      <c r="AD122" s="22" t="n">
        <f aca="false">L122-M122-N122-AC122</f>
        <v>1894.69456683234</v>
      </c>
      <c r="AE122" s="22" t="n">
        <f aca="false">AE121+AD122</f>
        <v>-227377.724637838</v>
      </c>
      <c r="AF122" s="22" t="n">
        <f aca="false">IF($A122&gt;=Premissas!$C$18,O122*(1-Premissas!$C$45)-Premissas!$C$46*MAX(0,O122*(1-Premissas!$C$45)-(SUM($AC$5:$AC$355)+Premissas!$C$26*Premissas!$C$60)),"")</f>
        <v>488336.083860861</v>
      </c>
      <c r="AG122" s="22" t="n">
        <f aca="false">IF($A122&gt;=Premissas!$C$18,AE122+AF122,"")</f>
        <v>260958.359223023</v>
      </c>
      <c r="AH122" s="22" t="n">
        <f aca="false">AH121*(1+$P122)-AD122</f>
        <v>597948.542247822</v>
      </c>
      <c r="AI122" s="22" t="n">
        <f aca="false">($A122=Premissas!$C$16)*0.2*Premissas!$C$11+AND($A122&gt;Premissas!$C$16,$A122&lt;=EDATE(Premissas!$C$16,43))*0.8*Premissas!$C$11/43*(1+Premissas!$C$56)^$C122</f>
        <v>0</v>
      </c>
      <c r="AJ122" s="22" t="n">
        <f aca="false">L122-M122-N122-AI122</f>
        <v>1894.69456683234</v>
      </c>
      <c r="AK122" s="22" t="n">
        <f aca="false">AK121+AJ122</f>
        <v>-273242.2100559</v>
      </c>
      <c r="AL122" s="22" t="n">
        <f aca="false">IF($A122&gt;=Premissas!$C$18,O122*(1-Premissas!$C$45)-Premissas!$C$46*MAX(0,O122*(1-Premissas!$C$45)-(SUM($AI$5:$AI$355)+Premissas!$C$26*Premissas!$C$60)),"")</f>
        <v>495215.75667357</v>
      </c>
      <c r="AM122" s="22" t="n">
        <f aca="false">IF($A122&gt;=Premissas!$C$18,AK122+AL122,"")</f>
        <v>221973.546617671</v>
      </c>
      <c r="AN122" s="22" t="n">
        <f aca="false">AN121*(1+$P122)-AJ122</f>
        <v>608473.788791306</v>
      </c>
      <c r="AO122" s="22" t="n">
        <f aca="false">V122+S122</f>
        <v>327070.756670136</v>
      </c>
    </row>
    <row r="123" customFormat="false" ht="15" hidden="false" customHeight="false" outlineLevel="0" collapsed="false">
      <c r="A123" s="26" t="n">
        <f aca="false">DATE(YEAR(A122),MONTH(A122)+1,1)</f>
        <v>49888</v>
      </c>
      <c r="B123" s="22" t="str">
        <f aca="false">IF($A123&lt;Premissas!$C$18,"Obra",IF($A123&lt;Premissas!$C$20,"Entrega/mobília","Airbnb"))</f>
        <v>Airbnb</v>
      </c>
      <c r="C123" s="36" t="n">
        <f aca="false">(YEAR($A123)-YEAR(Premissas!$C$16))*12+MONTH($A123)-MONTH(Premissas!$C$16)</f>
        <v>118</v>
      </c>
      <c r="D123" s="33" t="n">
        <f aca="false">IF($A123&gt;=Premissas!$C$20,Premissas!$C$31*IF(((YEAR($A123)-YEAR(Premissas!$C$20))*12+MONTH($A123)-MONTH(Premissas!$C$20))&lt;Premissas!$C$33,Premissas!$C$34,1),0)</f>
        <v>0.62</v>
      </c>
      <c r="E123" s="22" t="n">
        <f aca="false">D123*Premissas!$C$30*Premissas!$C$32*(1+Premissas!$C$58)^$C123</f>
        <v>6838.28907838517</v>
      </c>
      <c r="F123" s="22" t="n">
        <f aca="false">E123*Premissas!$C$35</f>
        <v>1094.12625254163</v>
      </c>
      <c r="G123" s="22" t="n">
        <f aca="false">E123*Premissas!$C$36</f>
        <v>1367.65781567703</v>
      </c>
      <c r="H123" s="22" t="n">
        <f aca="false">IF($A123&gt;=Premissas!$C$18,Premissas!$C$37*(1+Premissas!$C$58)^$C123,0)</f>
        <v>882.359881081957</v>
      </c>
      <c r="I123" s="22" t="n">
        <f aca="false">IF($A123&gt;=Premissas!$C$20,Premissas!$C$38*(1+Premissas!$C$58)^$C123,0)</f>
        <v>411.767944504913</v>
      </c>
      <c r="J123" s="22" t="n">
        <f aca="false">IF($A123&gt;=Premissas!$C$20,Premissas!$C$39*(1+Premissas!$C$58)^$C123,0)</f>
        <v>220.589970270489</v>
      </c>
      <c r="K123" s="22" t="n">
        <f aca="false">IF($A123&gt;=Premissas!$C$20,MAX(0,E123-F123-G123-H123)*Premissas!$C$41,0)</f>
        <v>960.889910498251</v>
      </c>
      <c r="L123" s="22" t="n">
        <f aca="false">E123-F123-G123-H123-I123-J123-K123</f>
        <v>1900.8973038109</v>
      </c>
      <c r="M123" s="22" t="n">
        <f aca="false">($A123=Premissas!$C$18)*Premissas!$C$26*Premissas!$C$60</f>
        <v>0</v>
      </c>
      <c r="N123" s="22" t="n">
        <f aca="false">IF(AND($A123&gt;=Premissas!$C$18,$A123&lt;Premissas!$C$20),Premissas!$C$27/MAX(1,Premissas!$C$19),0)</f>
        <v>0</v>
      </c>
      <c r="O123" s="22" t="n">
        <f aca="false">IF($A123&gt;=Premissas!$C$18,Premissas!$C$60*(1+Premissas!$C$59)^((YEAR($A123)-YEAR(Premissas!$C$18))*12+MONTH($A123)-MONTH(Premissas!$C$18)),"")</f>
        <v>556178.907562099</v>
      </c>
      <c r="P123" s="31" t="n">
        <f aca="false">(1+IF(YEAR($A123)&lt;=2026,Premissas!$C$49,IF(YEAR($A123)=2027,Premissas!$C$50,IF(YEAR($A123)=2028,Premissas!$C$51,Premissas!$C$52)))*(1-Premissas!$C$53))^(1/12)-1</f>
        <v>0.00682149336596227</v>
      </c>
      <c r="Q123" s="22" t="n">
        <f aca="false">($A123=Premissas!$C$16)*Premissas!$C$13</f>
        <v>0</v>
      </c>
      <c r="R123" s="22" t="n">
        <f aca="false">L123-M123-N123-Q123</f>
        <v>1900.8973038109</v>
      </c>
      <c r="S123" s="22" t="n">
        <f aca="false">S122+R123</f>
        <v>-186928.363454002</v>
      </c>
      <c r="T123" s="22" t="n">
        <f aca="false">IF($A123&gt;=Premissas!$C$18,O123*(1-Premissas!$C$45)-Premissas!$C$46*MAX(0,O123*(1-Premissas!$C$45)-(SUM($Q$5:$Q$355)+Premissas!$C$26*Premissas!$C$60)),"")</f>
        <v>484356.955488863</v>
      </c>
      <c r="U123" s="22" t="n">
        <f aca="false">IF($A123&gt;=Premissas!$C$18,S123+T123,"")</f>
        <v>297428.592034861</v>
      </c>
      <c r="V123" s="22" t="n">
        <f aca="false">V122*(1+$P123)-R123</f>
        <v>517518.328670523</v>
      </c>
      <c r="W123" s="22" t="n">
        <f aca="false">($A123=Premissas!$C$16)*Premissas!$C$9</f>
        <v>0</v>
      </c>
      <c r="X123" s="22" t="n">
        <f aca="false">L123-M123-N123-W123</f>
        <v>1900.8973038109</v>
      </c>
      <c r="Y123" s="22" t="n">
        <f aca="false">Y122+X123</f>
        <v>-217856.363454002</v>
      </c>
      <c r="Z123" s="22" t="n">
        <f aca="false">IF($A123&gt;=Premissas!$C$18,O123*(1-Premissas!$C$45)-Premissas!$C$46*MAX(0,O123*(1-Premissas!$C$45)-(SUM($W$5:$W$355)+Premissas!$C$26*Premissas!$C$60)),"")</f>
        <v>488996.155488863</v>
      </c>
      <c r="AA123" s="22" t="n">
        <f aca="false">IF($A123&gt;=Premissas!$C$18,Y123+Z123,"")</f>
        <v>271139.792034861</v>
      </c>
      <c r="AB123" s="22" t="n">
        <f aca="false">AB122*(1+$P123)-X123</f>
        <v>588769.211246564</v>
      </c>
      <c r="AC123" s="22" t="n">
        <f aca="false">AND($A123&gt;=Premissas!$C$16,$A123&lt;EDATE(Premissas!$C$16,3))*Premissas!$C$10/3*(1+Premissas!$C$56)^$C123</f>
        <v>0</v>
      </c>
      <c r="AD123" s="22" t="n">
        <f aca="false">L123-M123-N123-AC123</f>
        <v>1900.8973038109</v>
      </c>
      <c r="AE123" s="22" t="n">
        <f aca="false">AE122+AD123</f>
        <v>-225476.827334027</v>
      </c>
      <c r="AF123" s="22" t="n">
        <f aca="false">IF($A123&gt;=Premissas!$C$18,O123*(1-Premissas!$C$45)-Premissas!$C$46*MAX(0,O123*(1-Premissas!$C$45)-(SUM($AC$5:$AC$355)+Premissas!$C$26*Premissas!$C$60)),"")</f>
        <v>490139.225070867</v>
      </c>
      <c r="AG123" s="22" t="n">
        <f aca="false">IF($A123&gt;=Premissas!$C$18,AE123+AF123,"")</f>
        <v>264662.39773684</v>
      </c>
      <c r="AH123" s="22" t="n">
        <f aca="false">AH122*(1+$P123)-AD123</f>
        <v>600126.546958141</v>
      </c>
      <c r="AI123" s="22" t="n">
        <f aca="false">($A123=Premissas!$C$16)*0.2*Premissas!$C$11+AND($A123&gt;Premissas!$C$16,$A123&lt;=EDATE(Premissas!$C$16,43))*0.8*Premissas!$C$11/43*(1+Premissas!$C$56)^$C123</f>
        <v>0</v>
      </c>
      <c r="AJ123" s="22" t="n">
        <f aca="false">L123-M123-N123-AI123</f>
        <v>1900.8973038109</v>
      </c>
      <c r="AK123" s="22" t="n">
        <f aca="false">AK122+AJ123</f>
        <v>-271341.312752089</v>
      </c>
      <c r="AL123" s="22" t="n">
        <f aca="false">IF($A123&gt;=Premissas!$C$18,O123*(1-Premissas!$C$45)-Premissas!$C$46*MAX(0,O123*(1-Premissas!$C$45)-(SUM($AI$5:$AI$355)+Premissas!$C$26*Premissas!$C$60)),"")</f>
        <v>497018.897883576</v>
      </c>
      <c r="AM123" s="22" t="n">
        <f aca="false">IF($A123&gt;=Premissas!$C$18,AK123+AL123,"")</f>
        <v>225677.585131487</v>
      </c>
      <c r="AN123" s="22" t="n">
        <f aca="false">AN122*(1+$P123)-AJ123</f>
        <v>610723.591401096</v>
      </c>
      <c r="AO123" s="22" t="n">
        <f aca="false">V123+S123</f>
        <v>330589.965216521</v>
      </c>
    </row>
    <row r="124" customFormat="false" ht="15" hidden="false" customHeight="false" outlineLevel="0" collapsed="false">
      <c r="A124" s="26" t="n">
        <f aca="false">DATE(YEAR(A123),MONTH(A123)+1,1)</f>
        <v>49919</v>
      </c>
      <c r="B124" s="22" t="str">
        <f aca="false">IF($A124&lt;Premissas!$C$18,"Obra",IF($A124&lt;Premissas!$C$20,"Entrega/mobília","Airbnb"))</f>
        <v>Airbnb</v>
      </c>
      <c r="C124" s="36" t="n">
        <f aca="false">(YEAR($A124)-YEAR(Premissas!$C$16))*12+MONTH($A124)-MONTH(Premissas!$C$16)</f>
        <v>119</v>
      </c>
      <c r="D124" s="33" t="n">
        <f aca="false">IF($A124&gt;=Premissas!$C$20,Premissas!$C$31*IF(((YEAR($A124)-YEAR(Premissas!$C$20))*12+MONTH($A124)-MONTH(Premissas!$C$20))&lt;Premissas!$C$33,Premissas!$C$34,1),0)</f>
        <v>0.62</v>
      </c>
      <c r="E124" s="22" t="n">
        <f aca="false">D124*Premissas!$C$30*Premissas!$C$32*(1+Premissas!$C$58)^$C124</f>
        <v>6860.67585738325</v>
      </c>
      <c r="F124" s="22" t="n">
        <f aca="false">E124*Premissas!$C$35</f>
        <v>1097.70813718132</v>
      </c>
      <c r="G124" s="22" t="n">
        <f aca="false">E124*Premissas!$C$36</f>
        <v>1372.13517147665</v>
      </c>
      <c r="H124" s="22" t="n">
        <f aca="false">IF($A124&gt;=Premissas!$C$18,Premissas!$C$37*(1+Premissas!$C$58)^$C124,0)</f>
        <v>885.248497726871</v>
      </c>
      <c r="I124" s="22" t="n">
        <f aca="false">IF($A124&gt;=Premissas!$C$20,Premissas!$C$38*(1+Premissas!$C$58)^$C124,0)</f>
        <v>413.115965605873</v>
      </c>
      <c r="J124" s="22" t="n">
        <f aca="false">IF($A124&gt;=Premissas!$C$20,Premissas!$C$39*(1+Premissas!$C$58)^$C124,0)</f>
        <v>221.312124431718</v>
      </c>
      <c r="K124" s="22" t="n">
        <f aca="false">IF($A124&gt;=Premissas!$C$20,MAX(0,E124-F124-G124-H124)*Premissas!$C$41,0)</f>
        <v>964.035614024563</v>
      </c>
      <c r="L124" s="22" t="n">
        <f aca="false">E124-F124-G124-H124-I124-J124-K124</f>
        <v>1907.12034693626</v>
      </c>
      <c r="M124" s="22" t="n">
        <f aca="false">($A124=Premissas!$C$18)*Premissas!$C$26*Premissas!$C$60</f>
        <v>0</v>
      </c>
      <c r="N124" s="22" t="n">
        <f aca="false">IF(AND($A124&gt;=Premissas!$C$18,$A124&lt;Premissas!$C$20),Premissas!$C$27/MAX(1,Premissas!$C$19),0)</f>
        <v>0</v>
      </c>
      <c r="O124" s="22" t="n">
        <f aca="false">IF($A124&gt;=Premissas!$C$18,Premissas!$C$60*(1+Premissas!$C$59)^((YEAR($A124)-YEAR(Premissas!$C$18))*12+MONTH($A124)-MONTH(Premissas!$C$18)),"")</f>
        <v>558444.849277361</v>
      </c>
      <c r="P124" s="31" t="n">
        <f aca="false">(1+IF(YEAR($A124)&lt;=2026,Premissas!$C$49,IF(YEAR($A124)=2027,Premissas!$C$50,IF(YEAR($A124)=2028,Premissas!$C$51,Premissas!$C$52)))*(1-Premissas!$C$53))^(1/12)-1</f>
        <v>0.00682149336596227</v>
      </c>
      <c r="Q124" s="22" t="n">
        <f aca="false">($A124=Premissas!$C$16)*Premissas!$C$13</f>
        <v>0</v>
      </c>
      <c r="R124" s="22" t="n">
        <f aca="false">L124-M124-N124-Q124</f>
        <v>1907.12034693626</v>
      </c>
      <c r="S124" s="22" t="n">
        <f aca="false">S123+R124</f>
        <v>-185021.243107066</v>
      </c>
      <c r="T124" s="22" t="n">
        <f aca="false">IF($A124&gt;=Premissas!$C$18,O124*(1-Premissas!$C$45)-Premissas!$C$46*MAX(0,O124*(1-Premissas!$C$45)-(SUM($Q$5:$Q$355)+Premissas!$C$26*Premissas!$C$60)),"")</f>
        <v>486167.442919358</v>
      </c>
      <c r="U124" s="22" t="n">
        <f aca="false">IF($A124&gt;=Premissas!$C$18,S124+T124,"")</f>
        <v>301146.199812291</v>
      </c>
      <c r="V124" s="22" t="n">
        <f aca="false">V123*(1+$P124)-R124</f>
        <v>519141.456169377</v>
      </c>
      <c r="W124" s="22" t="n">
        <f aca="false">($A124=Premissas!$C$16)*Premissas!$C$9</f>
        <v>0</v>
      </c>
      <c r="X124" s="22" t="n">
        <f aca="false">L124-M124-N124-W124</f>
        <v>1907.12034693626</v>
      </c>
      <c r="Y124" s="22" t="n">
        <f aca="false">Y123+X124</f>
        <v>-215949.243107066</v>
      </c>
      <c r="Z124" s="22" t="n">
        <f aca="false">IF($A124&gt;=Premissas!$C$18,O124*(1-Premissas!$C$45)-Premissas!$C$46*MAX(0,O124*(1-Premissas!$C$45)-(SUM($W$5:$W$355)+Premissas!$C$26*Premissas!$C$60)),"")</f>
        <v>490806.642919358</v>
      </c>
      <c r="AA124" s="22" t="n">
        <f aca="false">IF($A124&gt;=Premissas!$C$18,Y124+Z124,"")</f>
        <v>274857.399812292</v>
      </c>
      <c r="AB124" s="22" t="n">
        <f aca="false">AB123*(1+$P124)-X124</f>
        <v>590878.376168229</v>
      </c>
      <c r="AC124" s="22" t="n">
        <f aca="false">AND($A124&gt;=Premissas!$C$16,$A124&lt;EDATE(Premissas!$C$16,3))*Premissas!$C$10/3*(1+Premissas!$C$56)^$C124</f>
        <v>0</v>
      </c>
      <c r="AD124" s="22" t="n">
        <f aca="false">L124-M124-N124-AC124</f>
        <v>1907.12034693626</v>
      </c>
      <c r="AE124" s="22" t="n">
        <f aca="false">AE123+AD124</f>
        <v>-223569.706987091</v>
      </c>
      <c r="AF124" s="22" t="n">
        <f aca="false">IF($A124&gt;=Premissas!$C$18,O124*(1-Premissas!$C$45)-Premissas!$C$46*MAX(0,O124*(1-Premissas!$C$45)-(SUM($AC$5:$AC$355)+Premissas!$C$26*Premissas!$C$60)),"")</f>
        <v>491949.712501361</v>
      </c>
      <c r="AG124" s="22" t="n">
        <f aca="false">IF($A124&gt;=Premissas!$C$18,AE124+AF124,"")</f>
        <v>268380.005514271</v>
      </c>
      <c r="AH124" s="22" t="n">
        <f aca="false">AH123*(1+$P124)-AD124</f>
        <v>602313.185870018</v>
      </c>
      <c r="AI124" s="22" t="n">
        <f aca="false">($A124=Premissas!$C$16)*0.2*Premissas!$C$11+AND($A124&gt;Premissas!$C$16,$A124&lt;=EDATE(Premissas!$C$16,43))*0.8*Premissas!$C$11/43*(1+Premissas!$C$56)^$C124</f>
        <v>0</v>
      </c>
      <c r="AJ124" s="22" t="n">
        <f aca="false">L124-M124-N124-AI124</f>
        <v>1907.12034693626</v>
      </c>
      <c r="AK124" s="22" t="n">
        <f aca="false">AK123+AJ124</f>
        <v>-269434.192405153</v>
      </c>
      <c r="AL124" s="22" t="n">
        <f aca="false">IF($A124&gt;=Premissas!$C$18,O124*(1-Premissas!$C$45)-Premissas!$C$46*MAX(0,O124*(1-Premissas!$C$45)-(SUM($AI$5:$AI$355)+Premissas!$C$26*Premissas!$C$60)),"")</f>
        <v>498829.385314071</v>
      </c>
      <c r="AM124" s="22" t="n">
        <f aca="false">IF($A124&gt;=Premissas!$C$18,AK124+AL124,"")</f>
        <v>229395.192908918</v>
      </c>
      <c r="AN124" s="22" t="n">
        <f aca="false">AN123*(1+$P124)-AJ124</f>
        <v>612982.517981339</v>
      </c>
      <c r="AO124" s="22" t="n">
        <f aca="false">V124+S124</f>
        <v>334120.213062311</v>
      </c>
    </row>
    <row r="125" customFormat="false" ht="15" hidden="false" customHeight="false" outlineLevel="0" collapsed="false">
      <c r="A125" s="26" t="n">
        <f aca="false">DATE(YEAR(A124),MONTH(A124)+1,1)</f>
        <v>49949</v>
      </c>
      <c r="B125" s="22" t="str">
        <f aca="false">IF($A125&lt;Premissas!$C$18,"Obra",IF($A125&lt;Premissas!$C$20,"Entrega/mobília","Airbnb"))</f>
        <v>Airbnb</v>
      </c>
      <c r="C125" s="36" t="n">
        <f aca="false">(YEAR($A125)-YEAR(Premissas!$C$16))*12+MONTH($A125)-MONTH(Premissas!$C$16)</f>
        <v>120</v>
      </c>
      <c r="D125" s="33" t="n">
        <f aca="false">IF($A125&gt;=Premissas!$C$20,Premissas!$C$31*IF(((YEAR($A125)-YEAR(Premissas!$C$20))*12+MONTH($A125)-MONTH(Premissas!$C$20))&lt;Premissas!$C$33,Premissas!$C$34,1),0)</f>
        <v>0.62</v>
      </c>
      <c r="E125" s="22" t="n">
        <f aca="false">D125*Premissas!$C$30*Premissas!$C$32*(1+Premissas!$C$58)^$C125</f>
        <v>6883.13592487034</v>
      </c>
      <c r="F125" s="22" t="n">
        <f aca="false">E125*Premissas!$C$35</f>
        <v>1101.30174797925</v>
      </c>
      <c r="G125" s="22" t="n">
        <f aca="false">E125*Premissas!$C$36</f>
        <v>1376.62718497407</v>
      </c>
      <c r="H125" s="22" t="n">
        <f aca="false">IF($A125&gt;=Premissas!$C$18,Premissas!$C$37*(1+Premissas!$C$58)^$C125,0)</f>
        <v>888.146570951012</v>
      </c>
      <c r="I125" s="22" t="n">
        <f aca="false">IF($A125&gt;=Premissas!$C$20,Premissas!$C$38*(1+Premissas!$C$58)^$C125,0)</f>
        <v>414.468399777139</v>
      </c>
      <c r="J125" s="22" t="n">
        <f aca="false">IF($A125&gt;=Premissas!$C$20,Premissas!$C$39*(1+Premissas!$C$58)^$C125,0)</f>
        <v>222.036642737753</v>
      </c>
      <c r="K125" s="22" t="n">
        <f aca="false">IF($A125&gt;=Premissas!$C$20,MAX(0,E125-F125-G125-H125)*Premissas!$C$41,0)</f>
        <v>967.191615765652</v>
      </c>
      <c r="L125" s="22" t="n">
        <f aca="false">E125-F125-G125-H125-I125-J125-K125</f>
        <v>1913.36376268546</v>
      </c>
      <c r="M125" s="22" t="n">
        <f aca="false">($A125=Premissas!$C$18)*Premissas!$C$26*Premissas!$C$60</f>
        <v>0</v>
      </c>
      <c r="N125" s="22" t="n">
        <f aca="false">IF(AND($A125&gt;=Premissas!$C$18,$A125&lt;Premissas!$C$20),Premissas!$C$27/MAX(1,Premissas!$C$19),0)</f>
        <v>0</v>
      </c>
      <c r="O125" s="22" t="n">
        <f aca="false">IF($A125&gt;=Premissas!$C$18,Premissas!$C$60*(1+Premissas!$C$59)^((YEAR($A125)-YEAR(Premissas!$C$18))*12+MONTH($A125)-MONTH(Premissas!$C$18)),"")</f>
        <v>560720.022719658</v>
      </c>
      <c r="P125" s="31" t="n">
        <f aca="false">(1+IF(YEAR($A125)&lt;=2026,Premissas!$C$49,IF(YEAR($A125)=2027,Premissas!$C$50,IF(YEAR($A125)=2028,Premissas!$C$51,Premissas!$C$52)))*(1-Premissas!$C$53))^(1/12)-1</f>
        <v>0.00682149336596227</v>
      </c>
      <c r="Q125" s="22" t="n">
        <f aca="false">($A125=Premissas!$C$16)*Premissas!$C$13</f>
        <v>0</v>
      </c>
      <c r="R125" s="22" t="n">
        <f aca="false">L125-M125-N125-Q125</f>
        <v>1913.36376268546</v>
      </c>
      <c r="S125" s="22" t="n">
        <f aca="false">S124+R125</f>
        <v>-183107.879344381</v>
      </c>
      <c r="T125" s="22" t="n">
        <f aca="false">IF($A125&gt;=Premissas!$C$18,O125*(1-Premissas!$C$45)-Premissas!$C$46*MAX(0,O125*(1-Premissas!$C$45)-(SUM($Q$5:$Q$355)+Premissas!$C$26*Premissas!$C$60)),"")</f>
        <v>487985.306499753</v>
      </c>
      <c r="U125" s="22" t="n">
        <f aca="false">IF($A125&gt;=Premissas!$C$18,S125+T125,"")</f>
        <v>304877.427155372</v>
      </c>
      <c r="V125" s="22" t="n">
        <f aca="false">V124*(1+$P125)-R125</f>
        <v>520769.412405947</v>
      </c>
      <c r="W125" s="22" t="n">
        <f aca="false">($A125=Premissas!$C$16)*Premissas!$C$9</f>
        <v>0</v>
      </c>
      <c r="X125" s="22" t="n">
        <f aca="false">L125-M125-N125-W125</f>
        <v>1913.36376268546</v>
      </c>
      <c r="Y125" s="22" t="n">
        <f aca="false">Y124+X125</f>
        <v>-214035.87934438</v>
      </c>
      <c r="Z125" s="22" t="n">
        <f aca="false">IF($A125&gt;=Premissas!$C$18,O125*(1-Premissas!$C$45)-Premissas!$C$46*MAX(0,O125*(1-Premissas!$C$45)-(SUM($W$5:$W$355)+Premissas!$C$26*Premissas!$C$60)),"")</f>
        <v>492624.506499753</v>
      </c>
      <c r="AA125" s="22" t="n">
        <f aca="false">IF($A125&gt;=Premissas!$C$18,Y125+Z125,"")</f>
        <v>278588.627155372</v>
      </c>
      <c r="AB125" s="22" t="n">
        <f aca="false">AB124*(1+$P125)-X125</f>
        <v>592995.685328666</v>
      </c>
      <c r="AC125" s="22" t="n">
        <f aca="false">AND($A125&gt;=Premissas!$C$16,$A125&lt;EDATE(Premissas!$C$16,3))*Premissas!$C$10/3*(1+Premissas!$C$56)^$C125</f>
        <v>0</v>
      </c>
      <c r="AD125" s="22" t="n">
        <f aca="false">L125-M125-N125-AC125</f>
        <v>1913.36376268546</v>
      </c>
      <c r="AE125" s="22" t="n">
        <f aca="false">AE124+AD125</f>
        <v>-221656.343224405</v>
      </c>
      <c r="AF125" s="22" t="n">
        <f aca="false">IF($A125&gt;=Premissas!$C$18,O125*(1-Premissas!$C$45)-Premissas!$C$46*MAX(0,O125*(1-Premissas!$C$45)-(SUM($AC$5:$AC$355)+Premissas!$C$26*Premissas!$C$60)),"")</f>
        <v>493767.576081756</v>
      </c>
      <c r="AG125" s="22" t="n">
        <f aca="false">IF($A125&gt;=Premissas!$C$18,AE125+AF125,"")</f>
        <v>272111.232857351</v>
      </c>
      <c r="AH125" s="22" t="n">
        <f aca="false">AH124*(1+$P125)-AD125</f>
        <v>604508.497508976</v>
      </c>
      <c r="AI125" s="22" t="n">
        <f aca="false">($A125=Premissas!$C$16)*0.2*Premissas!$C$11+AND($A125&gt;Premissas!$C$16,$A125&lt;=EDATE(Premissas!$C$16,43))*0.8*Premissas!$C$11/43*(1+Premissas!$C$56)^$C125</f>
        <v>0</v>
      </c>
      <c r="AJ125" s="22" t="n">
        <f aca="false">L125-M125-N125-AI125</f>
        <v>1913.36376268546</v>
      </c>
      <c r="AK125" s="22" t="n">
        <f aca="false">AK124+AJ125</f>
        <v>-267520.828642467</v>
      </c>
      <c r="AL125" s="22" t="n">
        <f aca="false">IF($A125&gt;=Premissas!$C$18,O125*(1-Premissas!$C$45)-Premissas!$C$46*MAX(0,O125*(1-Premissas!$C$45)-(SUM($AI$5:$AI$355)+Premissas!$C$26*Premissas!$C$60)),"")</f>
        <v>500647.248894466</v>
      </c>
      <c r="AM125" s="22" t="n">
        <f aca="false">IF($A125&gt;=Premissas!$C$18,AK125+AL125,"")</f>
        <v>233126.420251999</v>
      </c>
      <c r="AN125" s="22" t="n">
        <f aca="false">AN124*(1+$P125)-AJ125</f>
        <v>615250.610398514</v>
      </c>
      <c r="AO125" s="22" t="n">
        <f aca="false">V125+S125</f>
        <v>337661.533061566</v>
      </c>
    </row>
    <row r="126" customFormat="false" ht="15" hidden="false" customHeight="false" outlineLevel="0" collapsed="false">
      <c r="A126" s="26" t="n">
        <f aca="false">DATE(YEAR(A125),MONTH(A125)+1,1)</f>
        <v>49980</v>
      </c>
      <c r="B126" s="22" t="str">
        <f aca="false">IF($A126&lt;Premissas!$C$18,"Obra",IF($A126&lt;Premissas!$C$20,"Entrega/mobília","Airbnb"))</f>
        <v>Airbnb</v>
      </c>
      <c r="C126" s="36" t="n">
        <f aca="false">(YEAR($A126)-YEAR(Premissas!$C$16))*12+MONTH($A126)-MONTH(Premissas!$C$16)</f>
        <v>121</v>
      </c>
      <c r="D126" s="33" t="n">
        <f aca="false">IF($A126&gt;=Premissas!$C$20,Premissas!$C$31*IF(((YEAR($A126)-YEAR(Premissas!$C$20))*12+MONTH($A126)-MONTH(Premissas!$C$20))&lt;Premissas!$C$33,Premissas!$C$34,1),0)</f>
        <v>0.62</v>
      </c>
      <c r="E126" s="22" t="n">
        <f aca="false">D126*Premissas!$C$30*Premissas!$C$32*(1+Premissas!$C$58)^$C126</f>
        <v>6905.66952077387</v>
      </c>
      <c r="F126" s="22" t="n">
        <f aca="false">E126*Premissas!$C$35</f>
        <v>1104.90712332382</v>
      </c>
      <c r="G126" s="22" t="n">
        <f aca="false">E126*Premissas!$C$36</f>
        <v>1381.13390415477</v>
      </c>
      <c r="H126" s="22" t="n">
        <f aca="false">IF($A126&gt;=Premissas!$C$18,Premissas!$C$37*(1+Premissas!$C$58)^$C126,0)</f>
        <v>891.054131712758</v>
      </c>
      <c r="I126" s="22" t="n">
        <f aca="false">IF($A126&gt;=Premissas!$C$20,Premissas!$C$38*(1+Premissas!$C$58)^$C126,0)</f>
        <v>415.825261465954</v>
      </c>
      <c r="J126" s="22" t="n">
        <f aca="false">IF($A126&gt;=Premissas!$C$20,Premissas!$C$39*(1+Premissas!$C$58)^$C126,0)</f>
        <v>222.763532928189</v>
      </c>
      <c r="K126" s="22" t="n">
        <f aca="false">IF($A126&gt;=Premissas!$C$20,MAX(0,E126-F126-G126-H126)*Premissas!$C$41,0)</f>
        <v>970.357949435193</v>
      </c>
      <c r="L126" s="22" t="n">
        <f aca="false">E126-F126-G126-H126-I126-J126-K126</f>
        <v>1919.62761775318</v>
      </c>
      <c r="M126" s="22" t="n">
        <f aca="false">($A126=Premissas!$C$18)*Premissas!$C$26*Premissas!$C$60</f>
        <v>0</v>
      </c>
      <c r="N126" s="22" t="n">
        <f aca="false">IF(AND($A126&gt;=Premissas!$C$18,$A126&lt;Premissas!$C$20),Premissas!$C$27/MAX(1,Premissas!$C$19),0)</f>
        <v>0</v>
      </c>
      <c r="O126" s="22" t="n">
        <f aca="false">IF($A126&gt;=Premissas!$C$18,Premissas!$C$60*(1+Premissas!$C$59)^((YEAR($A126)-YEAR(Premissas!$C$18))*12+MONTH($A126)-MONTH(Premissas!$C$18)),"")</f>
        <v>563004.465500188</v>
      </c>
      <c r="P126" s="31" t="n">
        <f aca="false">(1+IF(YEAR($A126)&lt;=2026,Premissas!$C$49,IF(YEAR($A126)=2027,Premissas!$C$50,IF(YEAR($A126)=2028,Premissas!$C$51,Premissas!$C$52)))*(1-Premissas!$C$53))^(1/12)-1</f>
        <v>0.00682149336596227</v>
      </c>
      <c r="Q126" s="22" t="n">
        <f aca="false">($A126=Premissas!$C$16)*Premissas!$C$13</f>
        <v>0</v>
      </c>
      <c r="R126" s="22" t="n">
        <f aca="false">L126-M126-N126-Q126</f>
        <v>1919.62761775318</v>
      </c>
      <c r="S126" s="22" t="n">
        <f aca="false">S125+R126</f>
        <v>-181188.251726627</v>
      </c>
      <c r="T126" s="22" t="n">
        <f aca="false">IF($A126&gt;=Premissas!$C$18,O126*(1-Premissas!$C$45)-Premissas!$C$46*MAX(0,O126*(1-Premissas!$C$45)-(SUM($Q$5:$Q$355)+Premissas!$C$26*Premissas!$C$60)),"")</f>
        <v>489810.576281396</v>
      </c>
      <c r="U126" s="22" t="n">
        <f aca="false">IF($A126&gt;=Premissas!$C$18,S126+T126,"")</f>
        <v>308622.324554769</v>
      </c>
      <c r="V126" s="22" t="n">
        <f aca="false">V125*(1+$P126)-R126</f>
        <v>522402.209880117</v>
      </c>
      <c r="W126" s="22" t="n">
        <f aca="false">($A126=Premissas!$C$16)*Premissas!$C$9</f>
        <v>0</v>
      </c>
      <c r="X126" s="22" t="n">
        <f aca="false">L126-M126-N126-W126</f>
        <v>1919.62761775318</v>
      </c>
      <c r="Y126" s="22" t="n">
        <f aca="false">Y125+X126</f>
        <v>-212116.251726627</v>
      </c>
      <c r="Z126" s="22" t="n">
        <f aca="false">IF($A126&gt;=Premissas!$C$18,O126*(1-Premissas!$C$45)-Premissas!$C$46*MAX(0,O126*(1-Premissas!$C$45)-(SUM($W$5:$W$355)+Premissas!$C$26*Premissas!$C$60)),"")</f>
        <v>494449.776281396</v>
      </c>
      <c r="AA126" s="22" t="n">
        <f aca="false">IF($A126&gt;=Premissas!$C$18,Y126+Z126,"")</f>
        <v>282333.524554769</v>
      </c>
      <c r="AB126" s="22" t="n">
        <f aca="false">AB125*(1+$P126)-X126</f>
        <v>595121.173844426</v>
      </c>
      <c r="AC126" s="22" t="n">
        <f aca="false">AND($A126&gt;=Premissas!$C$16,$A126&lt;EDATE(Premissas!$C$16,3))*Premissas!$C$10/3*(1+Premissas!$C$56)^$C126</f>
        <v>0</v>
      </c>
      <c r="AD126" s="22" t="n">
        <f aca="false">L126-M126-N126-AC126</f>
        <v>1919.62761775318</v>
      </c>
      <c r="AE126" s="22" t="n">
        <f aca="false">AE125+AD126</f>
        <v>-219736.715606652</v>
      </c>
      <c r="AF126" s="22" t="n">
        <f aca="false">IF($A126&gt;=Premissas!$C$18,O126*(1-Premissas!$C$45)-Premissas!$C$46*MAX(0,O126*(1-Premissas!$C$45)-(SUM($AC$5:$AC$355)+Premissas!$C$26*Premissas!$C$60)),"")</f>
        <v>495592.8458634</v>
      </c>
      <c r="AG126" s="22" t="n">
        <f aca="false">IF($A126&gt;=Premissas!$C$18,AE126+AF126,"")</f>
        <v>275856.130256748</v>
      </c>
      <c r="AH126" s="22" t="n">
        <f aca="false">AH125*(1+$P126)-AD126</f>
        <v>606712.520596648</v>
      </c>
      <c r="AI126" s="22" t="n">
        <f aca="false">($A126=Premissas!$C$16)*0.2*Premissas!$C$11+AND($A126&gt;Premissas!$C$16,$A126&lt;=EDATE(Premissas!$C$16,43))*0.8*Premissas!$C$11/43*(1+Premissas!$C$56)^$C126</f>
        <v>0</v>
      </c>
      <c r="AJ126" s="22" t="n">
        <f aca="false">L126-M126-N126-AI126</f>
        <v>1919.62761775318</v>
      </c>
      <c r="AK126" s="22" t="n">
        <f aca="false">AK125+AJ126</f>
        <v>-265601.201024714</v>
      </c>
      <c r="AL126" s="22" t="n">
        <f aca="false">IF($A126&gt;=Premissas!$C$18,O126*(1-Premissas!$C$45)-Premissas!$C$46*MAX(0,O126*(1-Premissas!$C$45)-(SUM($AI$5:$AI$355)+Premissas!$C$26*Premissas!$C$60)),"")</f>
        <v>502472.518676109</v>
      </c>
      <c r="AM126" s="22" t="n">
        <f aca="false">IF($A126&gt;=Premissas!$C$18,AK126+AL126,"")</f>
        <v>236871.317651395</v>
      </c>
      <c r="AN126" s="22" t="n">
        <f aca="false">AN125*(1+$P126)-AJ126</f>
        <v>617527.910737999</v>
      </c>
      <c r="AO126" s="22" t="n">
        <f aca="false">V126+S126</f>
        <v>341213.958153489</v>
      </c>
    </row>
    <row r="127" customFormat="false" ht="15" hidden="false" customHeight="false" outlineLevel="0" collapsed="false">
      <c r="A127" s="26" t="n">
        <f aca="false">DATE(YEAR(A126),MONTH(A126)+1,1)</f>
        <v>50010</v>
      </c>
      <c r="B127" s="22" t="str">
        <f aca="false">IF($A127&lt;Premissas!$C$18,"Obra",IF($A127&lt;Premissas!$C$20,"Entrega/mobília","Airbnb"))</f>
        <v>Airbnb</v>
      </c>
      <c r="C127" s="36" t="n">
        <f aca="false">(YEAR($A127)-YEAR(Premissas!$C$16))*12+MONTH($A127)-MONTH(Premissas!$C$16)</f>
        <v>122</v>
      </c>
      <c r="D127" s="33" t="n">
        <f aca="false">IF($A127&gt;=Premissas!$C$20,Premissas!$C$31*IF(((YEAR($A127)-YEAR(Premissas!$C$20))*12+MONTH($A127)-MONTH(Premissas!$C$20))&lt;Premissas!$C$33,Premissas!$C$34,1),0)</f>
        <v>0.62</v>
      </c>
      <c r="E127" s="22" t="n">
        <f aca="false">D127*Premissas!$C$30*Premissas!$C$32*(1+Premissas!$C$58)^$C127</f>
        <v>6928.27688580675</v>
      </c>
      <c r="F127" s="22" t="n">
        <f aca="false">E127*Premissas!$C$35</f>
        <v>1108.52430172908</v>
      </c>
      <c r="G127" s="22" t="n">
        <f aca="false">E127*Premissas!$C$36</f>
        <v>1385.65537716135</v>
      </c>
      <c r="H127" s="22" t="n">
        <f aca="false">IF($A127&gt;=Premissas!$C$18,Premissas!$C$37*(1+Premissas!$C$58)^$C127,0)</f>
        <v>893.971211071838</v>
      </c>
      <c r="I127" s="22" t="n">
        <f aca="false">IF($A127&gt;=Premissas!$C$20,Premissas!$C$38*(1+Premissas!$C$58)^$C127,0)</f>
        <v>417.186565166858</v>
      </c>
      <c r="J127" s="22" t="n">
        <f aca="false">IF($A127&gt;=Premissas!$C$20,Premissas!$C$39*(1+Premissas!$C$58)^$C127,0)</f>
        <v>223.49280276796</v>
      </c>
      <c r="K127" s="22" t="n">
        <f aca="false">IF($A127&gt;=Premissas!$C$20,MAX(0,E127-F127-G127-H127)*Premissas!$C$41,0)</f>
        <v>973.534648857232</v>
      </c>
      <c r="L127" s="22" t="n">
        <f aca="false">E127-F127-G127-H127-I127-J127-K127</f>
        <v>1925.91197905243</v>
      </c>
      <c r="M127" s="22" t="n">
        <f aca="false">($A127=Premissas!$C$18)*Premissas!$C$26*Premissas!$C$60</f>
        <v>0</v>
      </c>
      <c r="N127" s="22" t="n">
        <f aca="false">IF(AND($A127&gt;=Premissas!$C$18,$A127&lt;Premissas!$C$20),Premissas!$C$27/MAX(1,Premissas!$C$19),0)</f>
        <v>0</v>
      </c>
      <c r="O127" s="22" t="n">
        <f aca="false">IF($A127&gt;=Premissas!$C$18,Premissas!$C$60*(1+Premissas!$C$59)^((YEAR($A127)-YEAR(Premissas!$C$18))*12+MONTH($A127)-MONTH(Premissas!$C$18)),"")</f>
        <v>565298.215383382</v>
      </c>
      <c r="P127" s="31" t="n">
        <f aca="false">(1+IF(YEAR($A127)&lt;=2026,Premissas!$C$49,IF(YEAR($A127)=2027,Premissas!$C$50,IF(YEAR($A127)=2028,Premissas!$C$51,Premissas!$C$52)))*(1-Premissas!$C$53))^(1/12)-1</f>
        <v>0.00682149336596227</v>
      </c>
      <c r="Q127" s="22" t="n">
        <f aca="false">($A127=Premissas!$C$16)*Premissas!$C$13</f>
        <v>0</v>
      </c>
      <c r="R127" s="22" t="n">
        <f aca="false">L127-M127-N127-Q127</f>
        <v>1925.91197905243</v>
      </c>
      <c r="S127" s="22" t="n">
        <f aca="false">S126+R127</f>
        <v>-179262.339747575</v>
      </c>
      <c r="T127" s="22" t="n">
        <f aca="false">IF($A127&gt;=Premissas!$C$18,O127*(1-Premissas!$C$45)-Premissas!$C$46*MAX(0,O127*(1-Premissas!$C$45)-(SUM($Q$5:$Q$355)+Premissas!$C$26*Premissas!$C$60)),"")</f>
        <v>491643.282438069</v>
      </c>
      <c r="U127" s="22" t="n">
        <f aca="false">IF($A127&gt;=Premissas!$C$18,S127+T127,"")</f>
        <v>312380.942690494</v>
      </c>
      <c r="V127" s="22" t="n">
        <f aca="false">V126*(1+$P127)-R127</f>
        <v>524039.861110126</v>
      </c>
      <c r="W127" s="22" t="n">
        <f aca="false">($A127=Premissas!$C$16)*Premissas!$C$9</f>
        <v>0</v>
      </c>
      <c r="X127" s="22" t="n">
        <f aca="false">L127-M127-N127-W127</f>
        <v>1925.91197905243</v>
      </c>
      <c r="Y127" s="22" t="n">
        <f aca="false">Y126+X127</f>
        <v>-210190.339747575</v>
      </c>
      <c r="Z127" s="22" t="n">
        <f aca="false">IF($A127&gt;=Premissas!$C$18,O127*(1-Premissas!$C$45)-Premissas!$C$46*MAX(0,O127*(1-Premissas!$C$45)-(SUM($W$5:$W$355)+Premissas!$C$26*Premissas!$C$60)),"")</f>
        <v>496282.482438069</v>
      </c>
      <c r="AA127" s="22" t="n">
        <f aca="false">IF($A127&gt;=Premissas!$C$18,Y127+Z127,"")</f>
        <v>286092.142690494</v>
      </c>
      <c r="AB127" s="22" t="n">
        <f aca="false">AB126*(1+$P127)-X127</f>
        <v>597254.877004697</v>
      </c>
      <c r="AC127" s="22" t="n">
        <f aca="false">AND($A127&gt;=Premissas!$C$16,$A127&lt;EDATE(Premissas!$C$16,3))*Premissas!$C$10/3*(1+Premissas!$C$56)^$C127</f>
        <v>0</v>
      </c>
      <c r="AD127" s="22" t="n">
        <f aca="false">L127-M127-N127-AC127</f>
        <v>1925.91197905243</v>
      </c>
      <c r="AE127" s="22" t="n">
        <f aca="false">AE126+AD127</f>
        <v>-217810.8036276</v>
      </c>
      <c r="AF127" s="22" t="n">
        <f aca="false">IF($A127&gt;=Premissas!$C$18,O127*(1-Premissas!$C$45)-Premissas!$C$46*MAX(0,O127*(1-Premissas!$C$45)-(SUM($AC$5:$AC$355)+Premissas!$C$26*Premissas!$C$60)),"")</f>
        <v>497425.552020072</v>
      </c>
      <c r="AG127" s="22" t="n">
        <f aca="false">IF($A127&gt;=Premissas!$C$18,AE127+AF127,"")</f>
        <v>279614.748392473</v>
      </c>
      <c r="AH127" s="22" t="n">
        <f aca="false">AH126*(1+$P127)-AD127</f>
        <v>608925.294051892</v>
      </c>
      <c r="AI127" s="22" t="n">
        <f aca="false">($A127=Premissas!$C$16)*0.2*Premissas!$C$11+AND($A127&gt;Premissas!$C$16,$A127&lt;=EDATE(Premissas!$C$16,43))*0.8*Premissas!$C$11/43*(1+Premissas!$C$56)^$C127</f>
        <v>0</v>
      </c>
      <c r="AJ127" s="22" t="n">
        <f aca="false">L127-M127-N127-AI127</f>
        <v>1925.91197905243</v>
      </c>
      <c r="AK127" s="22" t="n">
        <f aca="false">AK126+AJ127</f>
        <v>-263675.289045662</v>
      </c>
      <c r="AL127" s="22" t="n">
        <f aca="false">IF($A127&gt;=Premissas!$C$18,O127*(1-Premissas!$C$45)-Premissas!$C$46*MAX(0,O127*(1-Premissas!$C$45)-(SUM($AI$5:$AI$355)+Premissas!$C$26*Premissas!$C$60)),"")</f>
        <v>504305.224832782</v>
      </c>
      <c r="AM127" s="22" t="n">
        <f aca="false">IF($A127&gt;=Premissas!$C$18,AK127+AL127,"")</f>
        <v>240629.93578712</v>
      </c>
      <c r="AN127" s="22" t="n">
        <f aca="false">AN126*(1+$P127)-AJ127</f>
        <v>619814.461305342</v>
      </c>
      <c r="AO127" s="22" t="n">
        <f aca="false">V127+S127</f>
        <v>344777.521362551</v>
      </c>
    </row>
    <row r="128" customFormat="false" ht="15" hidden="false" customHeight="false" outlineLevel="0" collapsed="false">
      <c r="A128" s="26" t="n">
        <f aca="false">DATE(YEAR(A127),MONTH(A127)+1,1)</f>
        <v>50041</v>
      </c>
      <c r="B128" s="22" t="str">
        <f aca="false">IF($A128&lt;Premissas!$C$18,"Obra",IF($A128&lt;Premissas!$C$20,"Entrega/mobília","Airbnb"))</f>
        <v>Airbnb</v>
      </c>
      <c r="C128" s="36" t="n">
        <f aca="false">(YEAR($A128)-YEAR(Premissas!$C$16))*12+MONTH($A128)-MONTH(Premissas!$C$16)</f>
        <v>123</v>
      </c>
      <c r="D128" s="33" t="n">
        <f aca="false">IF($A128&gt;=Premissas!$C$20,Premissas!$C$31*IF(((YEAR($A128)-YEAR(Premissas!$C$20))*12+MONTH($A128)-MONTH(Premissas!$C$20))&lt;Premissas!$C$33,Premissas!$C$34,1),0)</f>
        <v>0.62</v>
      </c>
      <c r="E128" s="22" t="n">
        <f aca="false">D128*Premissas!$C$30*Premissas!$C$32*(1+Premissas!$C$58)^$C128</f>
        <v>6950.9582614699</v>
      </c>
      <c r="F128" s="22" t="n">
        <f aca="false">E128*Premissas!$C$35</f>
        <v>1112.15332183518</v>
      </c>
      <c r="G128" s="22" t="n">
        <f aca="false">E128*Premissas!$C$36</f>
        <v>1390.19165229398</v>
      </c>
      <c r="H128" s="22" t="n">
        <f aca="false">IF($A128&gt;=Premissas!$C$18,Premissas!$C$37*(1+Premissas!$C$58)^$C128,0)</f>
        <v>896.897840189665</v>
      </c>
      <c r="I128" s="22" t="n">
        <f aca="false">IF($A128&gt;=Premissas!$C$20,Premissas!$C$38*(1+Premissas!$C$58)^$C128,0)</f>
        <v>418.552325421844</v>
      </c>
      <c r="J128" s="22" t="n">
        <f aca="false">IF($A128&gt;=Premissas!$C$20,Premissas!$C$39*(1+Premissas!$C$58)^$C128,0)</f>
        <v>224.224460047416</v>
      </c>
      <c r="K128" s="22" t="n">
        <f aca="false">IF($A128&gt;=Premissas!$C$20,MAX(0,E128-F128-G128-H128)*Premissas!$C$41,0)</f>
        <v>976.721747966545</v>
      </c>
      <c r="L128" s="22" t="n">
        <f aca="false">E128-F128-G128-H128-I128-J128-K128</f>
        <v>1932.21691371527</v>
      </c>
      <c r="M128" s="22" t="n">
        <f aca="false">($A128=Premissas!$C$18)*Premissas!$C$26*Premissas!$C$60</f>
        <v>0</v>
      </c>
      <c r="N128" s="22" t="n">
        <f aca="false">IF(AND($A128&gt;=Premissas!$C$18,$A128&lt;Premissas!$C$20),Premissas!$C$27/MAX(1,Premissas!$C$19),0)</f>
        <v>0</v>
      </c>
      <c r="O128" s="22" t="n">
        <f aca="false">IF($A128&gt;=Premissas!$C$18,Premissas!$C$60*(1+Premissas!$C$59)^((YEAR($A128)-YEAR(Premissas!$C$18))*12+MONTH($A128)-MONTH(Premissas!$C$18)),"")</f>
        <v>567601.31028753</v>
      </c>
      <c r="P128" s="31" t="n">
        <f aca="false">(1+IF(YEAR($A128)&lt;=2026,Premissas!$C$49,IF(YEAR($A128)=2027,Premissas!$C$50,IF(YEAR($A128)=2028,Premissas!$C$51,Premissas!$C$52)))*(1-Premissas!$C$53))^(1/12)-1</f>
        <v>0.00682149336596227</v>
      </c>
      <c r="Q128" s="22" t="n">
        <f aca="false">($A128=Premissas!$C$16)*Premissas!$C$13</f>
        <v>0</v>
      </c>
      <c r="R128" s="22" t="n">
        <f aca="false">L128-M128-N128-Q128</f>
        <v>1932.21691371527</v>
      </c>
      <c r="S128" s="22" t="n">
        <f aca="false">S127+R128</f>
        <v>-177330.12283386</v>
      </c>
      <c r="T128" s="22" t="n">
        <f aca="false">IF($A128&gt;=Premissas!$C$18,O128*(1-Premissas!$C$45)-Premissas!$C$46*MAX(0,O128*(1-Premissas!$C$45)-(SUM($Q$5:$Q$355)+Premissas!$C$26*Premissas!$C$60)),"")</f>
        <v>493483.455266482</v>
      </c>
      <c r="U128" s="22" t="n">
        <f aca="false">IF($A128&gt;=Premissas!$C$18,S128+T128,"")</f>
        <v>316153.332432623</v>
      </c>
      <c r="V128" s="22" t="n">
        <f aca="false">V127*(1+$P128)-R128</f>
        <v>525682.378632473</v>
      </c>
      <c r="W128" s="22" t="n">
        <f aca="false">($A128=Premissas!$C$16)*Premissas!$C$9</f>
        <v>0</v>
      </c>
      <c r="X128" s="22" t="n">
        <f aca="false">L128-M128-N128-W128</f>
        <v>1932.21691371527</v>
      </c>
      <c r="Y128" s="22" t="n">
        <f aca="false">Y127+X128</f>
        <v>-208258.12283386</v>
      </c>
      <c r="Z128" s="22" t="n">
        <f aca="false">IF($A128&gt;=Premissas!$C$18,O128*(1-Premissas!$C$45)-Premissas!$C$46*MAX(0,O128*(1-Premissas!$C$45)-(SUM($W$5:$W$355)+Premissas!$C$26*Premissas!$C$60)),"")</f>
        <v>498122.655266482</v>
      </c>
      <c r="AA128" s="22" t="n">
        <f aca="false">IF($A128&gt;=Premissas!$C$18,Y128+Z128,"")</f>
        <v>289864.532432623</v>
      </c>
      <c r="AB128" s="22" t="n">
        <f aca="false">AB127*(1+$P128)-X128</f>
        <v>599396.830272258</v>
      </c>
      <c r="AC128" s="22" t="n">
        <f aca="false">AND($A128&gt;=Premissas!$C$16,$A128&lt;EDATE(Premissas!$C$16,3))*Premissas!$C$10/3*(1+Premissas!$C$56)^$C128</f>
        <v>0</v>
      </c>
      <c r="AD128" s="22" t="n">
        <f aca="false">L128-M128-N128-AC128</f>
        <v>1932.21691371527</v>
      </c>
      <c r="AE128" s="22" t="n">
        <f aca="false">AE127+AD128</f>
        <v>-215878.586713884</v>
      </c>
      <c r="AF128" s="22" t="n">
        <f aca="false">IF($A128&gt;=Premissas!$C$18,O128*(1-Premissas!$C$45)-Premissas!$C$46*MAX(0,O128*(1-Premissas!$C$45)-(SUM($AC$5:$AC$355)+Premissas!$C$26*Premissas!$C$60)),"")</f>
        <v>499265.724848486</v>
      </c>
      <c r="AG128" s="22" t="n">
        <f aca="false">IF($A128&gt;=Premissas!$C$18,AE128+AF128,"")</f>
        <v>283387.138134602</v>
      </c>
      <c r="AH128" s="22" t="n">
        <f aca="false">AH127*(1+$P128)-AD128</f>
        <v>611146.856991918</v>
      </c>
      <c r="AI128" s="22" t="n">
        <f aca="false">($A128=Premissas!$C$16)*0.2*Premissas!$C$11+AND($A128&gt;Premissas!$C$16,$A128&lt;=EDATE(Premissas!$C$16,43))*0.8*Premissas!$C$11/43*(1+Premissas!$C$56)^$C128</f>
        <v>0</v>
      </c>
      <c r="AJ128" s="22" t="n">
        <f aca="false">L128-M128-N128-AI128</f>
        <v>1932.21691371527</v>
      </c>
      <c r="AK128" s="22" t="n">
        <f aca="false">AK127+AJ128</f>
        <v>-261743.072131946</v>
      </c>
      <c r="AL128" s="22" t="n">
        <f aca="false">IF($A128&gt;=Premissas!$C$18,O128*(1-Premissas!$C$45)-Premissas!$C$46*MAX(0,O128*(1-Premissas!$C$45)-(SUM($AI$5:$AI$355)+Premissas!$C$26*Premissas!$C$60)),"")</f>
        <v>506145.397661195</v>
      </c>
      <c r="AM128" s="22" t="n">
        <f aca="false">IF($A128&gt;=Premissas!$C$18,AK128+AL128,"")</f>
        <v>244402.325529249</v>
      </c>
      <c r="AN128" s="22" t="n">
        <f aca="false">AN127*(1+$P128)-AJ128</f>
        <v>622110.304627549</v>
      </c>
      <c r="AO128" s="22" t="n">
        <f aca="false">V128+S128</f>
        <v>348352.255798613</v>
      </c>
    </row>
    <row r="129" customFormat="false" ht="15" hidden="false" customHeight="false" outlineLevel="0" collapsed="false">
      <c r="A129" s="26" t="n">
        <f aca="false">DATE(YEAR(A128),MONTH(A128)+1,1)</f>
        <v>50072</v>
      </c>
      <c r="B129" s="22" t="str">
        <f aca="false">IF($A129&lt;Premissas!$C$18,"Obra",IF($A129&lt;Premissas!$C$20,"Entrega/mobília","Airbnb"))</f>
        <v>Airbnb</v>
      </c>
      <c r="C129" s="36" t="n">
        <f aca="false">(YEAR($A129)-YEAR(Premissas!$C$16))*12+MONTH($A129)-MONTH(Premissas!$C$16)</f>
        <v>124</v>
      </c>
      <c r="D129" s="33" t="n">
        <f aca="false">IF($A129&gt;=Premissas!$C$20,Premissas!$C$31*IF(((YEAR($A129)-YEAR(Premissas!$C$20))*12+MONTH($A129)-MONTH(Premissas!$C$20))&lt;Premissas!$C$33,Premissas!$C$34,1),0)</f>
        <v>0.62</v>
      </c>
      <c r="E129" s="22" t="n">
        <f aca="false">D129*Premissas!$C$30*Premissas!$C$32*(1+Premissas!$C$58)^$C129</f>
        <v>6973.71389005488</v>
      </c>
      <c r="F129" s="22" t="n">
        <f aca="false">E129*Premissas!$C$35</f>
        <v>1115.79422240878</v>
      </c>
      <c r="G129" s="22" t="n">
        <f aca="false">E129*Premissas!$C$36</f>
        <v>1394.74277801098</v>
      </c>
      <c r="H129" s="22" t="n">
        <f aca="false">IF($A129&gt;=Premissas!$C$18,Premissas!$C$37*(1+Premissas!$C$58)^$C129,0)</f>
        <v>899.834050329662</v>
      </c>
      <c r="I129" s="22" t="n">
        <f aca="false">IF($A129&gt;=Premissas!$C$20,Premissas!$C$38*(1+Premissas!$C$58)^$C129,0)</f>
        <v>419.922556820509</v>
      </c>
      <c r="J129" s="22" t="n">
        <f aca="false">IF($A129&gt;=Premissas!$C$20,Premissas!$C$39*(1+Premissas!$C$58)^$C129,0)</f>
        <v>224.958512582416</v>
      </c>
      <c r="K129" s="22" t="n">
        <f aca="false">IF($A129&gt;=Premissas!$C$20,MAX(0,E129-F129-G129-H129)*Premissas!$C$41,0)</f>
        <v>979.919280809002</v>
      </c>
      <c r="L129" s="22" t="n">
        <f aca="false">E129-F129-G129-H129-I129-J129-K129</f>
        <v>1938.54248909353</v>
      </c>
      <c r="M129" s="22" t="n">
        <f aca="false">($A129=Premissas!$C$18)*Premissas!$C$26*Premissas!$C$60</f>
        <v>0</v>
      </c>
      <c r="N129" s="22" t="n">
        <f aca="false">IF(AND($A129&gt;=Premissas!$C$18,$A129&lt;Premissas!$C$20),Premissas!$C$27/MAX(1,Premissas!$C$19),0)</f>
        <v>0</v>
      </c>
      <c r="O129" s="22" t="n">
        <f aca="false">IF($A129&gt;=Premissas!$C$18,Premissas!$C$60*(1+Premissas!$C$59)^((YEAR($A129)-YEAR(Premissas!$C$18))*12+MONTH($A129)-MONTH(Premissas!$C$18)),"")</f>
        <v>569913.788285402</v>
      </c>
      <c r="P129" s="31" t="n">
        <f aca="false">(1+IF(YEAR($A129)&lt;=2026,Premissas!$C$49,IF(YEAR($A129)=2027,Premissas!$C$50,IF(YEAR($A129)=2028,Premissas!$C$51,Premissas!$C$52)))*(1-Premissas!$C$53))^(1/12)-1</f>
        <v>0.00682149336596227</v>
      </c>
      <c r="Q129" s="22" t="n">
        <f aca="false">($A129=Premissas!$C$16)*Premissas!$C$13</f>
        <v>0</v>
      </c>
      <c r="R129" s="22" t="n">
        <f aca="false">L129-M129-N129-Q129</f>
        <v>1938.54248909353</v>
      </c>
      <c r="S129" s="22" t="n">
        <f aca="false">S128+R129</f>
        <v>-175391.580344766</v>
      </c>
      <c r="T129" s="22" t="n">
        <f aca="false">IF($A129&gt;=Premissas!$C$18,O129*(1-Premissas!$C$45)-Premissas!$C$46*MAX(0,O129*(1-Premissas!$C$45)-(SUM($Q$5:$Q$355)+Premissas!$C$26*Premissas!$C$60)),"")</f>
        <v>495331.125186782</v>
      </c>
      <c r="U129" s="22" t="n">
        <f aca="false">IF($A129&gt;=Premissas!$C$18,S129+T129,"")</f>
        <v>319939.544842016</v>
      </c>
      <c r="V129" s="22" t="n">
        <f aca="false">V128*(1+$P129)-R129</f>
        <v>527329.775001824</v>
      </c>
      <c r="W129" s="22" t="n">
        <f aca="false">($A129=Premissas!$C$16)*Premissas!$C$9</f>
        <v>0</v>
      </c>
      <c r="X129" s="22" t="n">
        <f aca="false">L129-M129-N129-W129</f>
        <v>1938.54248909353</v>
      </c>
      <c r="Y129" s="22" t="n">
        <f aca="false">Y128+X129</f>
        <v>-206319.580344766</v>
      </c>
      <c r="Z129" s="22" t="n">
        <f aca="false">IF($A129&gt;=Premissas!$C$18,O129*(1-Premissas!$C$45)-Premissas!$C$46*MAX(0,O129*(1-Premissas!$C$45)-(SUM($W$5:$W$355)+Premissas!$C$26*Premissas!$C$60)),"")</f>
        <v>499970.325186782</v>
      </c>
      <c r="AA129" s="22" t="n">
        <f aca="false">IF($A129&gt;=Premissas!$C$18,Y129+Z129,"")</f>
        <v>293650.744842016</v>
      </c>
      <c r="AB129" s="22" t="n">
        <f aca="false">AB128*(1+$P129)-X129</f>
        <v>601547.069284446</v>
      </c>
      <c r="AC129" s="22" t="n">
        <f aca="false">AND($A129&gt;=Premissas!$C$16,$A129&lt;EDATE(Premissas!$C$16,3))*Premissas!$C$10/3*(1+Premissas!$C$56)^$C129</f>
        <v>0</v>
      </c>
      <c r="AD129" s="22" t="n">
        <f aca="false">L129-M129-N129-AC129</f>
        <v>1938.54248909353</v>
      </c>
      <c r="AE129" s="22" t="n">
        <f aca="false">AE128+AD129</f>
        <v>-213940.044224791</v>
      </c>
      <c r="AF129" s="22" t="n">
        <f aca="false">IF($A129&gt;=Premissas!$C$18,O129*(1-Premissas!$C$45)-Premissas!$C$46*MAX(0,O129*(1-Premissas!$C$45)-(SUM($AC$5:$AC$355)+Premissas!$C$26*Premissas!$C$60)),"")</f>
        <v>501113.394768786</v>
      </c>
      <c r="AG129" s="22" t="n">
        <f aca="false">IF($A129&gt;=Premissas!$C$18,AE129+AF129,"")</f>
        <v>287173.350543995</v>
      </c>
      <c r="AH129" s="22" t="n">
        <f aca="false">AH128*(1+$P129)-AD129</f>
        <v>613377.248733424</v>
      </c>
      <c r="AI129" s="22" t="n">
        <f aca="false">($A129=Premissas!$C$16)*0.2*Premissas!$C$11+AND($A129&gt;Premissas!$C$16,$A129&lt;=EDATE(Premissas!$C$16,43))*0.8*Premissas!$C$11/43*(1+Premissas!$C$56)^$C129</f>
        <v>0</v>
      </c>
      <c r="AJ129" s="22" t="n">
        <f aca="false">L129-M129-N129-AI129</f>
        <v>1938.54248909353</v>
      </c>
      <c r="AK129" s="22" t="n">
        <f aca="false">AK128+AJ129</f>
        <v>-259804.529642853</v>
      </c>
      <c r="AL129" s="22" t="n">
        <f aca="false">IF($A129&gt;=Premissas!$C$18,O129*(1-Premissas!$C$45)-Premissas!$C$46*MAX(0,O129*(1-Premissas!$C$45)-(SUM($AI$5:$AI$355)+Premissas!$C$26*Premissas!$C$60)),"")</f>
        <v>507993.067581495</v>
      </c>
      <c r="AM129" s="22" t="n">
        <f aca="false">IF($A129&gt;=Premissas!$C$18,AK129+AL129,"")</f>
        <v>248188.537938643</v>
      </c>
      <c r="AN129" s="22" t="n">
        <f aca="false">AN128*(1+$P129)-AJ129</f>
        <v>624415.483454369</v>
      </c>
      <c r="AO129" s="22" t="n">
        <f aca="false">V129+S129</f>
        <v>351938.194657058</v>
      </c>
    </row>
    <row r="130" customFormat="false" ht="15" hidden="false" customHeight="false" outlineLevel="0" collapsed="false">
      <c r="A130" s="26" t="n">
        <f aca="false">DATE(YEAR(A129),MONTH(A129)+1,1)</f>
        <v>50100</v>
      </c>
      <c r="B130" s="22" t="str">
        <f aca="false">IF($A130&lt;Premissas!$C$18,"Obra",IF($A130&lt;Premissas!$C$20,"Entrega/mobília","Airbnb"))</f>
        <v>Airbnb</v>
      </c>
      <c r="C130" s="36" t="n">
        <f aca="false">(YEAR($A130)-YEAR(Premissas!$C$16))*12+MONTH($A130)-MONTH(Premissas!$C$16)</f>
        <v>125</v>
      </c>
      <c r="D130" s="33" t="n">
        <f aca="false">IF($A130&gt;=Premissas!$C$20,Premissas!$C$31*IF(((YEAR($A130)-YEAR(Premissas!$C$20))*12+MONTH($A130)-MONTH(Premissas!$C$20))&lt;Premissas!$C$33,Premissas!$C$34,1),0)</f>
        <v>0.62</v>
      </c>
      <c r="E130" s="22" t="n">
        <f aca="false">D130*Premissas!$C$30*Premissas!$C$32*(1+Premissas!$C$58)^$C130</f>
        <v>6996.54401464643</v>
      </c>
      <c r="F130" s="22" t="n">
        <f aca="false">E130*Premissas!$C$35</f>
        <v>1119.44704234343</v>
      </c>
      <c r="G130" s="22" t="n">
        <f aca="false">E130*Premissas!$C$36</f>
        <v>1399.30880292929</v>
      </c>
      <c r="H130" s="22" t="n">
        <f aca="false">IF($A130&gt;=Premissas!$C$18,Premissas!$C$37*(1+Premissas!$C$58)^$C130,0)</f>
        <v>902.779872857603</v>
      </c>
      <c r="I130" s="22" t="n">
        <f aca="false">IF($A130&gt;=Premissas!$C$20,Premissas!$C$38*(1+Premissas!$C$58)^$C130,0)</f>
        <v>421.297274000215</v>
      </c>
      <c r="J130" s="22" t="n">
        <f aca="false">IF($A130&gt;=Premissas!$C$20,Premissas!$C$39*(1+Premissas!$C$58)^$C130,0)</f>
        <v>225.694968214401</v>
      </c>
      <c r="K130" s="22" t="n">
        <f aca="false">IF($A130&gt;=Premissas!$C$20,MAX(0,E130-F130-G130-H130)*Premissas!$C$41,0)</f>
        <v>983.12728154193</v>
      </c>
      <c r="L130" s="22" t="n">
        <f aca="false">E130-F130-G130-H130-I130-J130-K130</f>
        <v>1944.88877275956</v>
      </c>
      <c r="M130" s="22" t="n">
        <f aca="false">($A130=Premissas!$C$18)*Premissas!$C$26*Premissas!$C$60</f>
        <v>0</v>
      </c>
      <c r="N130" s="22" t="n">
        <f aca="false">IF(AND($A130&gt;=Premissas!$C$18,$A130&lt;Premissas!$C$20),Premissas!$C$27/MAX(1,Premissas!$C$19),0)</f>
        <v>0</v>
      </c>
      <c r="O130" s="22" t="n">
        <f aca="false">IF($A130&gt;=Premissas!$C$18,Premissas!$C$60*(1+Premissas!$C$59)^((YEAR($A130)-YEAR(Premissas!$C$18))*12+MONTH($A130)-MONTH(Premissas!$C$18)),"")</f>
        <v>572235.687604885</v>
      </c>
      <c r="P130" s="31" t="n">
        <f aca="false">(1+IF(YEAR($A130)&lt;=2026,Premissas!$C$49,IF(YEAR($A130)=2027,Premissas!$C$50,IF(YEAR($A130)=2028,Premissas!$C$51,Premissas!$C$52)))*(1-Premissas!$C$53))^(1/12)-1</f>
        <v>0.00682149336596227</v>
      </c>
      <c r="Q130" s="22" t="n">
        <f aca="false">($A130=Premissas!$C$16)*Premissas!$C$13</f>
        <v>0</v>
      </c>
      <c r="R130" s="22" t="n">
        <f aca="false">L130-M130-N130-Q130</f>
        <v>1944.88877275956</v>
      </c>
      <c r="S130" s="22" t="n">
        <f aca="false">S129+R130</f>
        <v>-173446.691572007</v>
      </c>
      <c r="T130" s="22" t="n">
        <f aca="false">IF($A130&gt;=Premissas!$C$18,O130*(1-Premissas!$C$45)-Premissas!$C$46*MAX(0,O130*(1-Premissas!$C$45)-(SUM($Q$5:$Q$355)+Premissas!$C$26*Premissas!$C$60)),"")</f>
        <v>497186.322743049</v>
      </c>
      <c r="U130" s="22" t="n">
        <f aca="false">IF($A130&gt;=Premissas!$C$18,S130+T130,"")</f>
        <v>323739.631171042</v>
      </c>
      <c r="V130" s="22" t="n">
        <f aca="false">V129*(1+$P130)-R130</f>
        <v>528982.062790914</v>
      </c>
      <c r="W130" s="22" t="n">
        <f aca="false">($A130=Premissas!$C$16)*Premissas!$C$9</f>
        <v>0</v>
      </c>
      <c r="X130" s="22" t="n">
        <f aca="false">L130-M130-N130-W130</f>
        <v>1944.88877275956</v>
      </c>
      <c r="Y130" s="22" t="n">
        <f aca="false">Y129+X130</f>
        <v>-204374.691572006</v>
      </c>
      <c r="Z130" s="22" t="n">
        <f aca="false">IF($A130&gt;=Premissas!$C$18,O130*(1-Premissas!$C$45)-Premissas!$C$46*MAX(0,O130*(1-Premissas!$C$45)-(SUM($W$5:$W$355)+Premissas!$C$26*Premissas!$C$60)),"")</f>
        <v>501825.522743049</v>
      </c>
      <c r="AA130" s="22" t="n">
        <f aca="false">IF($A130&gt;=Premissas!$C$18,Y130+Z130,"")</f>
        <v>297450.831171043</v>
      </c>
      <c r="AB130" s="22" t="n">
        <f aca="false">AB129*(1+$P130)-X130</f>
        <v>603705.629854124</v>
      </c>
      <c r="AC130" s="22" t="n">
        <f aca="false">AND($A130&gt;=Premissas!$C$16,$A130&lt;EDATE(Premissas!$C$16,3))*Premissas!$C$10/3*(1+Premissas!$C$56)^$C130</f>
        <v>0</v>
      </c>
      <c r="AD130" s="22" t="n">
        <f aca="false">L130-M130-N130-AC130</f>
        <v>1944.88877275956</v>
      </c>
      <c r="AE130" s="22" t="n">
        <f aca="false">AE129+AD130</f>
        <v>-211995.155452031</v>
      </c>
      <c r="AF130" s="22" t="n">
        <f aca="false">IF($A130&gt;=Premissas!$C$18,O130*(1-Premissas!$C$45)-Premissas!$C$46*MAX(0,O130*(1-Premissas!$C$45)-(SUM($AC$5:$AC$355)+Premissas!$C$26*Premissas!$C$60)),"")</f>
        <v>502968.592325053</v>
      </c>
      <c r="AG130" s="22" t="n">
        <f aca="false">IF($A130&gt;=Premissas!$C$18,AE130+AF130,"")</f>
        <v>290973.436873022</v>
      </c>
      <c r="AH130" s="22" t="n">
        <f aca="false">AH129*(1+$P130)-AD130</f>
        <v>615616.508793732</v>
      </c>
      <c r="AI130" s="22" t="n">
        <f aca="false">($A130=Premissas!$C$16)*0.2*Premissas!$C$11+AND($A130&gt;Premissas!$C$16,$A130&lt;=EDATE(Premissas!$C$16,43))*0.8*Premissas!$C$11/43*(1+Premissas!$C$56)^$C130</f>
        <v>0</v>
      </c>
      <c r="AJ130" s="22" t="n">
        <f aca="false">L130-M130-N130-AI130</f>
        <v>1944.88877275956</v>
      </c>
      <c r="AK130" s="22" t="n">
        <f aca="false">AK129+AJ130</f>
        <v>-257859.640870093</v>
      </c>
      <c r="AL130" s="22" t="n">
        <f aca="false">IF($A130&gt;=Premissas!$C$18,O130*(1-Premissas!$C$45)-Premissas!$C$46*MAX(0,O130*(1-Premissas!$C$45)-(SUM($AI$5:$AI$355)+Premissas!$C$26*Premissas!$C$60)),"")</f>
        <v>509848.265137762</v>
      </c>
      <c r="AM130" s="22" t="n">
        <f aca="false">IF($A130&gt;=Premissas!$C$18,AK130+AL130,"")</f>
        <v>251988.624267669</v>
      </c>
      <c r="AN130" s="22" t="n">
        <f aca="false">AN129*(1+$P130)-AJ130</f>
        <v>626730.040759598</v>
      </c>
      <c r="AO130" s="22" t="n">
        <f aca="false">V130+S130</f>
        <v>355535.371218907</v>
      </c>
    </row>
    <row r="131" customFormat="false" ht="15" hidden="false" customHeight="false" outlineLevel="0" collapsed="false">
      <c r="A131" s="26" t="n">
        <f aca="false">DATE(YEAR(A130),MONTH(A130)+1,1)</f>
        <v>50131</v>
      </c>
      <c r="B131" s="22" t="str">
        <f aca="false">IF($A131&lt;Premissas!$C$18,"Obra",IF($A131&lt;Premissas!$C$20,"Entrega/mobília","Airbnb"))</f>
        <v>Airbnb</v>
      </c>
      <c r="C131" s="36" t="n">
        <f aca="false">(YEAR($A131)-YEAR(Premissas!$C$16))*12+MONTH($A131)-MONTH(Premissas!$C$16)</f>
        <v>126</v>
      </c>
      <c r="D131" s="33" t="n">
        <f aca="false">IF($A131&gt;=Premissas!$C$20,Premissas!$C$31*IF(((YEAR($A131)-YEAR(Premissas!$C$20))*12+MONTH($A131)-MONTH(Premissas!$C$20))&lt;Premissas!$C$33,Premissas!$C$34,1),0)</f>
        <v>0.62</v>
      </c>
      <c r="E131" s="22" t="n">
        <f aca="false">D131*Premissas!$C$30*Premissas!$C$32*(1+Premissas!$C$58)^$C131</f>
        <v>7019.44887912508</v>
      </c>
      <c r="F131" s="22" t="n">
        <f aca="false">E131*Premissas!$C$35</f>
        <v>1123.11182066001</v>
      </c>
      <c r="G131" s="22" t="n">
        <f aca="false">E131*Premissas!$C$36</f>
        <v>1403.88977582502</v>
      </c>
      <c r="H131" s="22" t="n">
        <f aca="false">IF($A131&gt;=Premissas!$C$18,Premissas!$C$37*(1+Premissas!$C$58)^$C131,0)</f>
        <v>905.735339241946</v>
      </c>
      <c r="I131" s="22" t="n">
        <f aca="false">IF($A131&gt;=Premissas!$C$20,Premissas!$C$38*(1+Premissas!$C$58)^$C131,0)</f>
        <v>422.676491646241</v>
      </c>
      <c r="J131" s="22" t="n">
        <f aca="false">IF($A131&gt;=Premissas!$C$20,Premissas!$C$39*(1+Premissas!$C$58)^$C131,0)</f>
        <v>226.433834810486</v>
      </c>
      <c r="K131" s="22" t="n">
        <f aca="false">IF($A131&gt;=Premissas!$C$20,MAX(0,E131-F131-G131-H131)*Premissas!$C$41,0)</f>
        <v>986.345784434479</v>
      </c>
      <c r="L131" s="22" t="n">
        <f aca="false">E131-F131-G131-H131-I131-J131-K131</f>
        <v>1951.2558325069</v>
      </c>
      <c r="M131" s="22" t="n">
        <f aca="false">($A131=Premissas!$C$18)*Premissas!$C$26*Premissas!$C$60</f>
        <v>0</v>
      </c>
      <c r="N131" s="22" t="n">
        <f aca="false">IF(AND($A131&gt;=Premissas!$C$18,$A131&lt;Premissas!$C$20),Premissas!$C$27/MAX(1,Premissas!$C$19),0)</f>
        <v>0</v>
      </c>
      <c r="O131" s="22" t="n">
        <f aca="false">IF($A131&gt;=Premissas!$C$18,Premissas!$C$60*(1+Premissas!$C$59)^((YEAR($A131)-YEAR(Premissas!$C$18))*12+MONTH($A131)-MONTH(Premissas!$C$18)),"")</f>
        <v>574567.046629608</v>
      </c>
      <c r="P131" s="31" t="n">
        <f aca="false">(1+IF(YEAR($A131)&lt;=2026,Premissas!$C$49,IF(YEAR($A131)=2027,Premissas!$C$50,IF(YEAR($A131)=2028,Premissas!$C$51,Premissas!$C$52)))*(1-Premissas!$C$53))^(1/12)-1</f>
        <v>0.00682149336596227</v>
      </c>
      <c r="Q131" s="22" t="n">
        <f aca="false">($A131=Premissas!$C$16)*Premissas!$C$13</f>
        <v>0</v>
      </c>
      <c r="R131" s="22" t="n">
        <f aca="false">L131-M131-N131-Q131</f>
        <v>1951.2558325069</v>
      </c>
      <c r="S131" s="22" t="n">
        <f aca="false">S130+R131</f>
        <v>-171495.4357395</v>
      </c>
      <c r="T131" s="22" t="n">
        <f aca="false">IF($A131&gt;=Premissas!$C$18,O131*(1-Premissas!$C$45)-Premissas!$C$46*MAX(0,O131*(1-Premissas!$C$45)-(SUM($Q$5:$Q$355)+Premissas!$C$26*Premissas!$C$60)),"")</f>
        <v>499049.078603803</v>
      </c>
      <c r="U131" s="22" t="n">
        <f aca="false">IF($A131&gt;=Premissas!$C$18,S131+T131,"")</f>
        <v>327553.642864303</v>
      </c>
      <c r="V131" s="22" t="n">
        <f aca="false">V130*(1+$P131)-R131</f>
        <v>530639.254590448</v>
      </c>
      <c r="W131" s="22" t="n">
        <f aca="false">($A131=Premissas!$C$16)*Premissas!$C$9</f>
        <v>0</v>
      </c>
      <c r="X131" s="22" t="n">
        <f aca="false">L131-M131-N131-W131</f>
        <v>1951.2558325069</v>
      </c>
      <c r="Y131" s="22" t="n">
        <f aca="false">Y130+X131</f>
        <v>-202423.4357395</v>
      </c>
      <c r="Z131" s="22" t="n">
        <f aca="false">IF($A131&gt;=Premissas!$C$18,O131*(1-Premissas!$C$45)-Premissas!$C$46*MAX(0,O131*(1-Premissas!$C$45)-(SUM($W$5:$W$355)+Premissas!$C$26*Premissas!$C$60)),"")</f>
        <v>503688.278603803</v>
      </c>
      <c r="AA131" s="22" t="n">
        <f aca="false">IF($A131&gt;=Premissas!$C$18,Y131+Z131,"")</f>
        <v>301264.842864304</v>
      </c>
      <c r="AB131" s="22" t="n">
        <f aca="false">AB130*(1+$P131)-X131</f>
        <v>605872.547970661</v>
      </c>
      <c r="AC131" s="22" t="n">
        <f aca="false">AND($A131&gt;=Premissas!$C$16,$A131&lt;EDATE(Premissas!$C$16,3))*Premissas!$C$10/3*(1+Premissas!$C$56)^$C131</f>
        <v>0</v>
      </c>
      <c r="AD131" s="22" t="n">
        <f aca="false">L131-M131-N131-AC131</f>
        <v>1951.2558325069</v>
      </c>
      <c r="AE131" s="22" t="n">
        <f aca="false">AE130+AD131</f>
        <v>-210043.899619524</v>
      </c>
      <c r="AF131" s="22" t="n">
        <f aca="false">IF($A131&gt;=Premissas!$C$18,O131*(1-Premissas!$C$45)-Premissas!$C$46*MAX(0,O131*(1-Premissas!$C$45)-(SUM($AC$5:$AC$355)+Premissas!$C$26*Premissas!$C$60)),"")</f>
        <v>504831.348185807</v>
      </c>
      <c r="AG131" s="22" t="n">
        <f aca="false">IF($A131&gt;=Premissas!$C$18,AE131+AF131,"")</f>
        <v>294787.448566283</v>
      </c>
      <c r="AH131" s="22" t="n">
        <f aca="false">AH130*(1+$P131)-AD131</f>
        <v>617864.676891938</v>
      </c>
      <c r="AI131" s="22" t="n">
        <f aca="false">($A131=Premissas!$C$16)*0.2*Premissas!$C$11+AND($A131&gt;Premissas!$C$16,$A131&lt;=EDATE(Premissas!$C$16,43))*0.8*Premissas!$C$11/43*(1+Premissas!$C$56)^$C131</f>
        <v>0</v>
      </c>
      <c r="AJ131" s="22" t="n">
        <f aca="false">L131-M131-N131-AI131</f>
        <v>1951.2558325069</v>
      </c>
      <c r="AK131" s="22" t="n">
        <f aca="false">AK130+AJ131</f>
        <v>-255908.385037586</v>
      </c>
      <c r="AL131" s="22" t="n">
        <f aca="false">IF($A131&gt;=Premissas!$C$18,O131*(1-Premissas!$C$45)-Premissas!$C$46*MAX(0,O131*(1-Premissas!$C$45)-(SUM($AI$5:$AI$355)+Premissas!$C$26*Premissas!$C$60)),"")</f>
        <v>511711.020998516</v>
      </c>
      <c r="AM131" s="22" t="n">
        <f aca="false">IF($A131&gt;=Premissas!$C$18,AK131+AL131,"")</f>
        <v>255802.63596093</v>
      </c>
      <c r="AN131" s="22" t="n">
        <f aca="false">AN130*(1+$P131)-AJ131</f>
        <v>629054.019742382</v>
      </c>
      <c r="AO131" s="22" t="n">
        <f aca="false">V131+S131</f>
        <v>359143.818850948</v>
      </c>
    </row>
    <row r="132" customFormat="false" ht="15" hidden="false" customHeight="false" outlineLevel="0" collapsed="false">
      <c r="A132" s="26" t="n">
        <f aca="false">DATE(YEAR(A131),MONTH(A131)+1,1)</f>
        <v>50161</v>
      </c>
      <c r="B132" s="22" t="str">
        <f aca="false">IF($A132&lt;Premissas!$C$18,"Obra",IF($A132&lt;Premissas!$C$20,"Entrega/mobília","Airbnb"))</f>
        <v>Airbnb</v>
      </c>
      <c r="C132" s="36" t="n">
        <f aca="false">(YEAR($A132)-YEAR(Premissas!$C$16))*12+MONTH($A132)-MONTH(Premissas!$C$16)</f>
        <v>127</v>
      </c>
      <c r="D132" s="33" t="n">
        <f aca="false">IF($A132&gt;=Premissas!$C$20,Premissas!$C$31*IF(((YEAR($A132)-YEAR(Premissas!$C$20))*12+MONTH($A132)-MONTH(Premissas!$C$20))&lt;Premissas!$C$33,Premissas!$C$34,1),0)</f>
        <v>0.62</v>
      </c>
      <c r="E132" s="22" t="n">
        <f aca="false">D132*Premissas!$C$30*Premissas!$C$32*(1+Premissas!$C$58)^$C132</f>
        <v>7042.42872816978</v>
      </c>
      <c r="F132" s="22" t="n">
        <f aca="false">E132*Premissas!$C$35</f>
        <v>1126.78859650717</v>
      </c>
      <c r="G132" s="22" t="n">
        <f aca="false">E132*Premissas!$C$36</f>
        <v>1408.48574563396</v>
      </c>
      <c r="H132" s="22" t="n">
        <f aca="false">IF($A132&gt;=Premissas!$C$18,Premissas!$C$37*(1+Premissas!$C$58)^$C132,0)</f>
        <v>908.700481054166</v>
      </c>
      <c r="I132" s="22" t="n">
        <f aca="false">IF($A132&gt;=Premissas!$C$20,Premissas!$C$38*(1+Premissas!$C$58)^$C132,0)</f>
        <v>424.060224491944</v>
      </c>
      <c r="J132" s="22" t="n">
        <f aca="false">IF($A132&gt;=Premissas!$C$20,Premissas!$C$39*(1+Premissas!$C$58)^$C132,0)</f>
        <v>227.175120263541</v>
      </c>
      <c r="K132" s="22" t="n">
        <f aca="false">IF($A132&gt;=Premissas!$C$20,MAX(0,E132-F132-G132-H132)*Premissas!$C$41,0)</f>
        <v>989.574823867986</v>
      </c>
      <c r="L132" s="22" t="n">
        <f aca="false">E132-F132-G132-H132-I132-J132-K132</f>
        <v>1957.64373635102</v>
      </c>
      <c r="M132" s="22" t="n">
        <f aca="false">($A132=Premissas!$C$18)*Premissas!$C$26*Premissas!$C$60</f>
        <v>0</v>
      </c>
      <c r="N132" s="22" t="n">
        <f aca="false">IF(AND($A132&gt;=Premissas!$C$18,$A132&lt;Premissas!$C$20),Premissas!$C$27/MAX(1,Premissas!$C$19),0)</f>
        <v>0</v>
      </c>
      <c r="O132" s="22" t="n">
        <f aca="false">IF($A132&gt;=Premissas!$C$18,Premissas!$C$60*(1+Premissas!$C$59)^((YEAR($A132)-YEAR(Premissas!$C$18))*12+MONTH($A132)-MONTH(Premissas!$C$18)),"")</f>
        <v>576907.903899583</v>
      </c>
      <c r="P132" s="31" t="n">
        <f aca="false">(1+IF(YEAR($A132)&lt;=2026,Premissas!$C$49,IF(YEAR($A132)=2027,Premissas!$C$50,IF(YEAR($A132)=2028,Premissas!$C$51,Premissas!$C$52)))*(1-Premissas!$C$53))^(1/12)-1</f>
        <v>0.00682149336596227</v>
      </c>
      <c r="Q132" s="22" t="n">
        <f aca="false">($A132=Premissas!$C$16)*Premissas!$C$13</f>
        <v>0</v>
      </c>
      <c r="R132" s="22" t="n">
        <f aca="false">L132-M132-N132-Q132</f>
        <v>1957.64373635102</v>
      </c>
      <c r="S132" s="22" t="n">
        <f aca="false">S131+R132</f>
        <v>-169537.792003149</v>
      </c>
      <c r="T132" s="22" t="n">
        <f aca="false">IF($A132&gt;=Premissas!$C$18,O132*(1-Premissas!$C$45)-Premissas!$C$46*MAX(0,O132*(1-Premissas!$C$45)-(SUM($Q$5:$Q$355)+Premissas!$C$26*Premissas!$C$60)),"")</f>
        <v>500919.423562513</v>
      </c>
      <c r="U132" s="22" t="n">
        <f aca="false">IF($A132&gt;=Premissas!$C$18,S132+T132,"")</f>
        <v>331381.631559364</v>
      </c>
      <c r="V132" s="22" t="n">
        <f aca="false">V131*(1+$P132)-R132</f>
        <v>532301.363009005</v>
      </c>
      <c r="W132" s="22" t="n">
        <f aca="false">($A132=Premissas!$C$16)*Premissas!$C$9</f>
        <v>0</v>
      </c>
      <c r="X132" s="22" t="n">
        <f aca="false">L132-M132-N132-W132</f>
        <v>1957.64373635102</v>
      </c>
      <c r="Y132" s="22" t="n">
        <f aca="false">Y131+X132</f>
        <v>-200465.792003149</v>
      </c>
      <c r="Z132" s="22" t="n">
        <f aca="false">IF($A132&gt;=Premissas!$C$18,O132*(1-Premissas!$C$45)-Premissas!$C$46*MAX(0,O132*(1-Premissas!$C$45)-(SUM($W$5:$W$355)+Premissas!$C$26*Premissas!$C$60)),"")</f>
        <v>505558.623562513</v>
      </c>
      <c r="AA132" s="22" t="n">
        <f aca="false">IF($A132&gt;=Premissas!$C$18,Y132+Z132,"")</f>
        <v>305092.831559364</v>
      </c>
      <c r="AB132" s="22" t="n">
        <f aca="false">AB131*(1+$P132)-X132</f>
        <v>608047.859800911</v>
      </c>
      <c r="AC132" s="22" t="n">
        <f aca="false">AND($A132&gt;=Premissas!$C$16,$A132&lt;EDATE(Premissas!$C$16,3))*Premissas!$C$10/3*(1+Premissas!$C$56)^$C132</f>
        <v>0</v>
      </c>
      <c r="AD132" s="22" t="n">
        <f aca="false">L132-M132-N132-AC132</f>
        <v>1957.64373635102</v>
      </c>
      <c r="AE132" s="22" t="n">
        <f aca="false">AE131+AD132</f>
        <v>-208086.255883173</v>
      </c>
      <c r="AF132" s="22" t="n">
        <f aca="false">IF($A132&gt;=Premissas!$C$18,O132*(1-Premissas!$C$45)-Premissas!$C$46*MAX(0,O132*(1-Premissas!$C$45)-(SUM($AC$5:$AC$355)+Premissas!$C$26*Premissas!$C$60)),"")</f>
        <v>506701.693144516</v>
      </c>
      <c r="AG132" s="22" t="n">
        <f aca="false">IF($A132&gt;=Premissas!$C$18,AE132+AF132,"")</f>
        <v>298615.437261343</v>
      </c>
      <c r="AH132" s="22" t="n">
        <f aca="false">AH131*(1+$P132)-AD132</f>
        <v>620121.792950068</v>
      </c>
      <c r="AI132" s="22" t="n">
        <f aca="false">($A132=Premissas!$C$16)*0.2*Premissas!$C$11+AND($A132&gt;Premissas!$C$16,$A132&lt;=EDATE(Premissas!$C$16,43))*0.8*Premissas!$C$11/43*(1+Premissas!$C$56)^$C132</f>
        <v>0</v>
      </c>
      <c r="AJ132" s="22" t="n">
        <f aca="false">L132-M132-N132-AI132</f>
        <v>1957.64373635102</v>
      </c>
      <c r="AK132" s="22" t="n">
        <f aca="false">AK131+AJ132</f>
        <v>-253950.741301235</v>
      </c>
      <c r="AL132" s="22" t="n">
        <f aca="false">IF($A132&gt;=Premissas!$C$18,O132*(1-Premissas!$C$45)-Premissas!$C$46*MAX(0,O132*(1-Premissas!$C$45)-(SUM($AI$5:$AI$355)+Premissas!$C$26*Premissas!$C$60)),"")</f>
        <v>513581.365957226</v>
      </c>
      <c r="AM132" s="22" t="n">
        <f aca="false">IF($A132&gt;=Premissas!$C$18,AK132+AL132,"")</f>
        <v>259630.62465599</v>
      </c>
      <c r="AN132" s="22" t="n">
        <f aca="false">AN131*(1+$P132)-AJ132</f>
        <v>631387.463828535</v>
      </c>
      <c r="AO132" s="22" t="n">
        <f aca="false">V132+S132</f>
        <v>362763.571005856</v>
      </c>
    </row>
    <row r="133" customFormat="false" ht="15" hidden="false" customHeight="false" outlineLevel="0" collapsed="false">
      <c r="A133" s="26" t="n">
        <f aca="false">DATE(YEAR(A132),MONTH(A132)+1,1)</f>
        <v>50192</v>
      </c>
      <c r="B133" s="22" t="str">
        <f aca="false">IF($A133&lt;Premissas!$C$18,"Obra",IF($A133&lt;Premissas!$C$20,"Entrega/mobília","Airbnb"))</f>
        <v>Airbnb</v>
      </c>
      <c r="C133" s="36" t="n">
        <f aca="false">(YEAR($A133)-YEAR(Premissas!$C$16))*12+MONTH($A133)-MONTH(Premissas!$C$16)</f>
        <v>128</v>
      </c>
      <c r="D133" s="33" t="n">
        <f aca="false">IF($A133&gt;=Premissas!$C$20,Premissas!$C$31*IF(((YEAR($A133)-YEAR(Premissas!$C$20))*12+MONTH($A133)-MONTH(Premissas!$C$20))&lt;Premissas!$C$33,Premissas!$C$34,1),0)</f>
        <v>0.62</v>
      </c>
      <c r="E133" s="22" t="n">
        <f aca="false">D133*Premissas!$C$30*Premissas!$C$32*(1+Premissas!$C$58)^$C133</f>
        <v>7065.48380726049</v>
      </c>
      <c r="F133" s="22" t="n">
        <f aca="false">E133*Premissas!$C$35</f>
        <v>1130.47740916168</v>
      </c>
      <c r="G133" s="22" t="n">
        <f aca="false">E133*Premissas!$C$36</f>
        <v>1413.0967614521</v>
      </c>
      <c r="H133" s="22" t="n">
        <f aca="false">IF($A133&gt;=Premissas!$C$18,Premissas!$C$37*(1+Premissas!$C$58)^$C133,0)</f>
        <v>911.675329969096</v>
      </c>
      <c r="I133" s="22" t="n">
        <f aca="false">IF($A133&gt;=Premissas!$C$20,Premissas!$C$38*(1+Premissas!$C$58)^$C133,0)</f>
        <v>425.448487318911</v>
      </c>
      <c r="J133" s="22" t="n">
        <f aca="false">IF($A133&gt;=Premissas!$C$20,Premissas!$C$39*(1+Premissas!$C$58)^$C133,0)</f>
        <v>227.918832492274</v>
      </c>
      <c r="K133" s="22" t="n">
        <f aca="false">IF($A133&gt;=Premissas!$C$20,MAX(0,E133-F133-G133-H133)*Premissas!$C$41,0)</f>
        <v>992.814434336346</v>
      </c>
      <c r="L133" s="22" t="n">
        <f aca="false">E133-F133-G133-H133-I133-J133-K133</f>
        <v>1964.05255253009</v>
      </c>
      <c r="M133" s="22" t="n">
        <f aca="false">($A133=Premissas!$C$18)*Premissas!$C$26*Premissas!$C$60</f>
        <v>0</v>
      </c>
      <c r="N133" s="22" t="n">
        <f aca="false">IF(AND($A133&gt;=Premissas!$C$18,$A133&lt;Premissas!$C$20),Premissas!$C$27/MAX(1,Premissas!$C$19),0)</f>
        <v>0</v>
      </c>
      <c r="O133" s="22" t="n">
        <f aca="false">IF($A133&gt;=Premissas!$C$18,Premissas!$C$60*(1+Premissas!$C$59)^((YEAR($A133)-YEAR(Premissas!$C$18))*12+MONTH($A133)-MONTH(Premissas!$C$18)),"")</f>
        <v>579258.298111834</v>
      </c>
      <c r="P133" s="31" t="n">
        <f aca="false">(1+IF(YEAR($A133)&lt;=2026,Premissas!$C$49,IF(YEAR($A133)=2027,Premissas!$C$50,IF(YEAR($A133)=2028,Premissas!$C$51,Premissas!$C$52)))*(1-Premissas!$C$53))^(1/12)-1</f>
        <v>0.00682149336596227</v>
      </c>
      <c r="Q133" s="22" t="n">
        <f aca="false">($A133=Premissas!$C$16)*Premissas!$C$13</f>
        <v>0</v>
      </c>
      <c r="R133" s="22" t="n">
        <f aca="false">L133-M133-N133-Q133</f>
        <v>1964.05255253009</v>
      </c>
      <c r="S133" s="22" t="n">
        <f aca="false">S132+R133</f>
        <v>-167573.739450619</v>
      </c>
      <c r="T133" s="22" t="n">
        <f aca="false">IF($A133&gt;=Premissas!$C$18,O133*(1-Premissas!$C$45)-Premissas!$C$46*MAX(0,O133*(1-Premissas!$C$45)-(SUM($Q$5:$Q$355)+Premissas!$C$26*Premissas!$C$60)),"")</f>
        <v>502797.388538102</v>
      </c>
      <c r="U133" s="22" t="n">
        <f aca="false">IF($A133&gt;=Premissas!$C$18,S133+T133,"")</f>
        <v>335223.649087483</v>
      </c>
      <c r="V133" s="22" t="n">
        <f aca="false">V132*(1+$P133)-R133</f>
        <v>533968.400672933</v>
      </c>
      <c r="W133" s="22" t="n">
        <f aca="false">($A133=Premissas!$C$16)*Premissas!$C$9</f>
        <v>0</v>
      </c>
      <c r="X133" s="22" t="n">
        <f aca="false">L133-M133-N133-W133</f>
        <v>1964.05255253009</v>
      </c>
      <c r="Y133" s="22" t="n">
        <f aca="false">Y132+X133</f>
        <v>-198501.739450618</v>
      </c>
      <c r="Z133" s="22" t="n">
        <f aca="false">IF($A133&gt;=Premissas!$C$18,O133*(1-Premissas!$C$45)-Premissas!$C$46*MAX(0,O133*(1-Premissas!$C$45)-(SUM($W$5:$W$355)+Premissas!$C$26*Premissas!$C$60)),"")</f>
        <v>507436.588538102</v>
      </c>
      <c r="AA133" s="22" t="n">
        <f aca="false">IF($A133&gt;=Premissas!$C$18,Y133+Z133,"")</f>
        <v>308934.849087483</v>
      </c>
      <c r="AB133" s="22" t="n">
        <f aca="false">AB132*(1+$P133)-X133</f>
        <v>610231.6016902</v>
      </c>
      <c r="AC133" s="22" t="n">
        <f aca="false">AND($A133&gt;=Premissas!$C$16,$A133&lt;EDATE(Premissas!$C$16,3))*Premissas!$C$10/3*(1+Premissas!$C$56)^$C133</f>
        <v>0</v>
      </c>
      <c r="AD133" s="22" t="n">
        <f aca="false">L133-M133-N133-AC133</f>
        <v>1964.05255253009</v>
      </c>
      <c r="AE133" s="22" t="n">
        <f aca="false">AE132+AD133</f>
        <v>-206122.203330643</v>
      </c>
      <c r="AF133" s="22" t="n">
        <f aca="false">IF($A133&gt;=Premissas!$C$18,O133*(1-Premissas!$C$45)-Premissas!$C$46*MAX(0,O133*(1-Premissas!$C$45)-(SUM($AC$5:$AC$355)+Premissas!$C$26*Premissas!$C$60)),"")</f>
        <v>508579.658120106</v>
      </c>
      <c r="AG133" s="22" t="n">
        <f aca="false">IF($A133&gt;=Premissas!$C$18,AE133+AF133,"")</f>
        <v>302457.454789462</v>
      </c>
      <c r="AH133" s="22" t="n">
        <f aca="false">AH132*(1+$P133)-AD133</f>
        <v>622387.897094235</v>
      </c>
      <c r="AI133" s="22" t="n">
        <f aca="false">($A133=Premissas!$C$16)*0.2*Premissas!$C$11+AND($A133&gt;Premissas!$C$16,$A133&lt;=EDATE(Premissas!$C$16,43))*0.8*Premissas!$C$11/43*(1+Premissas!$C$56)^$C133</f>
        <v>0</v>
      </c>
      <c r="AJ133" s="22" t="n">
        <f aca="false">L133-M133-N133-AI133</f>
        <v>1964.05255253009</v>
      </c>
      <c r="AK133" s="22" t="n">
        <f aca="false">AK132+AJ133</f>
        <v>-251986.688748705</v>
      </c>
      <c r="AL133" s="22" t="n">
        <f aca="false">IF($A133&gt;=Premissas!$C$18,O133*(1-Premissas!$C$45)-Premissas!$C$46*MAX(0,O133*(1-Premissas!$C$45)-(SUM($AI$5:$AI$355)+Premissas!$C$26*Premissas!$C$60)),"")</f>
        <v>515459.330932815</v>
      </c>
      <c r="AM133" s="22" t="n">
        <f aca="false">IF($A133&gt;=Premissas!$C$18,AK133+AL133,"")</f>
        <v>263472.64218411</v>
      </c>
      <c r="AN133" s="22" t="n">
        <f aca="false">AN132*(1+$P133)-AJ133</f>
        <v>633730.416671863</v>
      </c>
      <c r="AO133" s="22" t="n">
        <f aca="false">V133+S133</f>
        <v>366394.661222315</v>
      </c>
    </row>
    <row r="134" customFormat="false" ht="15" hidden="false" customHeight="false" outlineLevel="0" collapsed="false">
      <c r="A134" s="26" t="n">
        <f aca="false">DATE(YEAR(A133),MONTH(A133)+1,1)</f>
        <v>50222</v>
      </c>
      <c r="B134" s="22" t="str">
        <f aca="false">IF($A134&lt;Premissas!$C$18,"Obra",IF($A134&lt;Premissas!$C$20,"Entrega/mobília","Airbnb"))</f>
        <v>Airbnb</v>
      </c>
      <c r="C134" s="36" t="n">
        <f aca="false">(YEAR($A134)-YEAR(Premissas!$C$16))*12+MONTH($A134)-MONTH(Premissas!$C$16)</f>
        <v>129</v>
      </c>
      <c r="D134" s="33" t="n">
        <f aca="false">IF($A134&gt;=Premissas!$C$20,Premissas!$C$31*IF(((YEAR($A134)-YEAR(Premissas!$C$20))*12+MONTH($A134)-MONTH(Premissas!$C$20))&lt;Premissas!$C$33,Premissas!$C$34,1),0)</f>
        <v>0.62</v>
      </c>
      <c r="E134" s="22" t="n">
        <f aca="false">D134*Premissas!$C$30*Premissas!$C$32*(1+Premissas!$C$58)^$C134</f>
        <v>7088.6143626808</v>
      </c>
      <c r="F134" s="22" t="n">
        <f aca="false">E134*Premissas!$C$35</f>
        <v>1134.17829802893</v>
      </c>
      <c r="G134" s="22" t="n">
        <f aca="false">E134*Premissas!$C$36</f>
        <v>1417.72287253616</v>
      </c>
      <c r="H134" s="22" t="n">
        <f aca="false">IF($A134&gt;=Premissas!$C$18,Premissas!$C$37*(1+Premissas!$C$58)^$C134,0)</f>
        <v>914.659917765265</v>
      </c>
      <c r="I134" s="22" t="n">
        <f aca="false">IF($A134&gt;=Premissas!$C$20,Premissas!$C$38*(1+Premissas!$C$58)^$C134,0)</f>
        <v>426.841294957124</v>
      </c>
      <c r="J134" s="22" t="n">
        <f aca="false">IF($A134&gt;=Premissas!$C$20,Premissas!$C$39*(1+Premissas!$C$58)^$C134,0)</f>
        <v>228.664979441316</v>
      </c>
      <c r="K134" s="22" t="n">
        <f aca="false">IF($A134&gt;=Premissas!$C$20,MAX(0,E134-F134-G134-H134)*Premissas!$C$41,0)</f>
        <v>996.064650446374</v>
      </c>
      <c r="L134" s="22" t="n">
        <f aca="false">E134-F134-G134-H134-I134-J134-K134</f>
        <v>1970.48234950564</v>
      </c>
      <c r="M134" s="22" t="n">
        <f aca="false">($A134=Premissas!$C$18)*Premissas!$C$26*Premissas!$C$60</f>
        <v>0</v>
      </c>
      <c r="N134" s="22" t="n">
        <f aca="false">IF(AND($A134&gt;=Premissas!$C$18,$A134&lt;Premissas!$C$20),Premissas!$C$27/MAX(1,Premissas!$C$19),0)</f>
        <v>0</v>
      </c>
      <c r="O134" s="22" t="n">
        <f aca="false">IF($A134&gt;=Premissas!$C$18,Premissas!$C$60*(1+Premissas!$C$59)^((YEAR($A134)-YEAR(Premissas!$C$18))*12+MONTH($A134)-MONTH(Premissas!$C$18)),"")</f>
        <v>581618.268121048</v>
      </c>
      <c r="P134" s="31" t="n">
        <f aca="false">(1+IF(YEAR($A134)&lt;=2026,Premissas!$C$49,IF(YEAR($A134)=2027,Premissas!$C$50,IF(YEAR($A134)=2028,Premissas!$C$51,Premissas!$C$52)))*(1-Premissas!$C$53))^(1/12)-1</f>
        <v>0.00682149336596227</v>
      </c>
      <c r="Q134" s="22" t="n">
        <f aca="false">($A134=Premissas!$C$16)*Premissas!$C$13</f>
        <v>0</v>
      </c>
      <c r="R134" s="22" t="n">
        <f aca="false">L134-M134-N134-Q134</f>
        <v>1970.48234950564</v>
      </c>
      <c r="S134" s="22" t="n">
        <f aca="false">S133+R134</f>
        <v>-165603.257101113</v>
      </c>
      <c r="T134" s="22" t="n">
        <f aca="false">IF($A134&gt;=Premissas!$C$18,O134*(1-Premissas!$C$45)-Premissas!$C$46*MAX(0,O134*(1-Premissas!$C$45)-(SUM($Q$5:$Q$355)+Premissas!$C$26*Premissas!$C$60)),"")</f>
        <v>504683.004575463</v>
      </c>
      <c r="U134" s="22" t="n">
        <f aca="false">IF($A134&gt;=Premissas!$C$18,S134+T134,"")</f>
        <v>339079.74747435</v>
      </c>
      <c r="V134" s="22" t="n">
        <f aca="false">V133*(1+$P134)-R134</f>
        <v>535640.380226252</v>
      </c>
      <c r="W134" s="22" t="n">
        <f aca="false">($A134=Premissas!$C$16)*Premissas!$C$9</f>
        <v>0</v>
      </c>
      <c r="X134" s="22" t="n">
        <f aca="false">L134-M134-N134-W134</f>
        <v>1970.48234950564</v>
      </c>
      <c r="Y134" s="22" t="n">
        <f aca="false">Y133+X134</f>
        <v>-196531.257101113</v>
      </c>
      <c r="Z134" s="22" t="n">
        <f aca="false">IF($A134&gt;=Premissas!$C$18,O134*(1-Premissas!$C$45)-Premissas!$C$46*MAX(0,O134*(1-Premissas!$C$45)-(SUM($W$5:$W$355)+Premissas!$C$26*Premissas!$C$60)),"")</f>
        <v>509322.204575463</v>
      </c>
      <c r="AA134" s="22" t="n">
        <f aca="false">IF($A134&gt;=Premissas!$C$18,Y134+Z134,"")</f>
        <v>312790.94747435</v>
      </c>
      <c r="AB134" s="22" t="n">
        <f aca="false">AB133*(1+$P134)-X134</f>
        <v>612423.810163325</v>
      </c>
      <c r="AC134" s="22" t="n">
        <f aca="false">AND($A134&gt;=Premissas!$C$16,$A134&lt;EDATE(Premissas!$C$16,3))*Premissas!$C$10/3*(1+Premissas!$C$56)^$C134</f>
        <v>0</v>
      </c>
      <c r="AD134" s="22" t="n">
        <f aca="false">L134-M134-N134-AC134</f>
        <v>1970.48234950564</v>
      </c>
      <c r="AE134" s="22" t="n">
        <f aca="false">AE133+AD134</f>
        <v>-204151.720981138</v>
      </c>
      <c r="AF134" s="22" t="n">
        <f aca="false">IF($A134&gt;=Premissas!$C$18,O134*(1-Premissas!$C$45)-Premissas!$C$46*MAX(0,O134*(1-Premissas!$C$45)-(SUM($AC$5:$AC$355)+Premissas!$C$26*Premissas!$C$60)),"")</f>
        <v>510465.274157467</v>
      </c>
      <c r="AG134" s="22" t="n">
        <f aca="false">IF($A134&gt;=Premissas!$C$18,AE134+AF134,"")</f>
        <v>306313.553176329</v>
      </c>
      <c r="AH134" s="22" t="n">
        <f aca="false">AH133*(1+$P134)-AD134</f>
        <v>624663.029655813</v>
      </c>
      <c r="AI134" s="22" t="n">
        <f aca="false">($A134=Premissas!$C$16)*0.2*Premissas!$C$11+AND($A134&gt;Premissas!$C$16,$A134&lt;=EDATE(Premissas!$C$16,43))*0.8*Premissas!$C$11/43*(1+Premissas!$C$56)^$C134</f>
        <v>0</v>
      </c>
      <c r="AJ134" s="22" t="n">
        <f aca="false">L134-M134-N134-AI134</f>
        <v>1970.48234950564</v>
      </c>
      <c r="AK134" s="22" t="n">
        <f aca="false">AK133+AJ134</f>
        <v>-250016.2063992</v>
      </c>
      <c r="AL134" s="22" t="n">
        <f aca="false">IF($A134&gt;=Premissas!$C$18,O134*(1-Premissas!$C$45)-Premissas!$C$46*MAX(0,O134*(1-Premissas!$C$45)-(SUM($AI$5:$AI$355)+Premissas!$C$26*Premissas!$C$60)),"")</f>
        <v>517344.946970176</v>
      </c>
      <c r="AM134" s="22" t="n">
        <f aca="false">IF($A134&gt;=Premissas!$C$18,AK134+AL134,"")</f>
        <v>267328.740570977</v>
      </c>
      <c r="AN134" s="22" t="n">
        <f aca="false">AN133*(1+$P134)-AJ134</f>
        <v>636082.922155493</v>
      </c>
      <c r="AO134" s="22" t="n">
        <f aca="false">V134+S134</f>
        <v>370037.123125139</v>
      </c>
    </row>
    <row r="135" customFormat="false" ht="15" hidden="false" customHeight="false" outlineLevel="0" collapsed="false">
      <c r="A135" s="26" t="n">
        <f aca="false">DATE(YEAR(A134),MONTH(A134)+1,1)</f>
        <v>50253</v>
      </c>
      <c r="B135" s="22" t="str">
        <f aca="false">IF($A135&lt;Premissas!$C$18,"Obra",IF($A135&lt;Premissas!$C$20,"Entrega/mobília","Airbnb"))</f>
        <v>Airbnb</v>
      </c>
      <c r="C135" s="36" t="n">
        <f aca="false">(YEAR($A135)-YEAR(Premissas!$C$16))*12+MONTH($A135)-MONTH(Premissas!$C$16)</f>
        <v>130</v>
      </c>
      <c r="D135" s="33" t="n">
        <f aca="false">IF($A135&gt;=Premissas!$C$20,Premissas!$C$31*IF(((YEAR($A135)-YEAR(Premissas!$C$20))*12+MONTH($A135)-MONTH(Premissas!$C$20))&lt;Premissas!$C$33,Premissas!$C$34,1),0)</f>
        <v>0.62</v>
      </c>
      <c r="E135" s="22" t="n">
        <f aca="false">D135*Premissas!$C$30*Premissas!$C$32*(1+Premissas!$C$58)^$C135</f>
        <v>7111.82064152058</v>
      </c>
      <c r="F135" s="22" t="n">
        <f aca="false">E135*Premissas!$C$35</f>
        <v>1137.89130264329</v>
      </c>
      <c r="G135" s="22" t="n">
        <f aca="false">E135*Premissas!$C$36</f>
        <v>1422.36412830412</v>
      </c>
      <c r="H135" s="22" t="n">
        <f aca="false">IF($A135&gt;=Premissas!$C$18,Premissas!$C$37*(1+Premissas!$C$58)^$C135,0)</f>
        <v>917.654276325236</v>
      </c>
      <c r="I135" s="22" t="n">
        <f aca="false">IF($A135&gt;=Premissas!$C$20,Premissas!$C$38*(1+Premissas!$C$58)^$C135,0)</f>
        <v>428.23866228511</v>
      </c>
      <c r="J135" s="22" t="n">
        <f aca="false">IF($A135&gt;=Premissas!$C$20,Premissas!$C$39*(1+Premissas!$C$58)^$C135,0)</f>
        <v>229.413569081309</v>
      </c>
      <c r="K135" s="22" t="n">
        <f aca="false">IF($A135&gt;=Premissas!$C$20,MAX(0,E135-F135-G135-H135)*Premissas!$C$41,0)</f>
        <v>999.325506918182</v>
      </c>
      <c r="L135" s="22" t="n">
        <f aca="false">E135-F135-G135-H135-I135-J135-K135</f>
        <v>1976.93319596333</v>
      </c>
      <c r="M135" s="22" t="n">
        <f aca="false">($A135=Premissas!$C$18)*Premissas!$C$26*Premissas!$C$60</f>
        <v>0</v>
      </c>
      <c r="N135" s="22" t="n">
        <f aca="false">IF(AND($A135&gt;=Premissas!$C$18,$A135&lt;Premissas!$C$20),Premissas!$C$27/MAX(1,Premissas!$C$19),0)</f>
        <v>0</v>
      </c>
      <c r="O135" s="22" t="n">
        <f aca="false">IF($A135&gt;=Premissas!$C$18,Premissas!$C$60*(1+Premissas!$C$59)^((YEAR($A135)-YEAR(Premissas!$C$18))*12+MONTH($A135)-MONTH(Premissas!$C$18)),"")</f>
        <v>583987.852940204</v>
      </c>
      <c r="P135" s="31" t="n">
        <f aca="false">(1+IF(YEAR($A135)&lt;=2026,Premissas!$C$49,IF(YEAR($A135)=2027,Premissas!$C$50,IF(YEAR($A135)=2028,Premissas!$C$51,Premissas!$C$52)))*(1-Premissas!$C$53))^(1/12)-1</f>
        <v>0.00682149336596227</v>
      </c>
      <c r="Q135" s="22" t="n">
        <f aca="false">($A135=Premissas!$C$16)*Premissas!$C$13</f>
        <v>0</v>
      </c>
      <c r="R135" s="22" t="n">
        <f aca="false">L135-M135-N135-Q135</f>
        <v>1976.93319596333</v>
      </c>
      <c r="S135" s="22" t="n">
        <f aca="false">S134+R135</f>
        <v>-163626.32390515</v>
      </c>
      <c r="T135" s="22" t="n">
        <f aca="false">IF($A135&gt;=Premissas!$C$18,O135*(1-Premissas!$C$45)-Premissas!$C$46*MAX(0,O135*(1-Premissas!$C$45)-(SUM($Q$5:$Q$355)+Premissas!$C$26*Premissas!$C$60)),"")</f>
        <v>506576.302845969</v>
      </c>
      <c r="U135" s="22" t="n">
        <f aca="false">IF($A135&gt;=Premissas!$C$18,S135+T135,"")</f>
        <v>342949.97894082</v>
      </c>
      <c r="V135" s="22" t="n">
        <f aca="false">V134*(1+$P135)-R135</f>
        <v>537317.314330543</v>
      </c>
      <c r="W135" s="22" t="n">
        <f aca="false">($A135=Premissas!$C$16)*Premissas!$C$9</f>
        <v>0</v>
      </c>
      <c r="X135" s="22" t="n">
        <f aca="false">L135-M135-N135-W135</f>
        <v>1976.93319596333</v>
      </c>
      <c r="Y135" s="22" t="n">
        <f aca="false">Y134+X135</f>
        <v>-194554.323905149</v>
      </c>
      <c r="Z135" s="22" t="n">
        <f aca="false">IF($A135&gt;=Premissas!$C$18,O135*(1-Premissas!$C$45)-Premissas!$C$46*MAX(0,O135*(1-Premissas!$C$45)-(SUM($W$5:$W$355)+Premissas!$C$26*Premissas!$C$60)),"")</f>
        <v>511215.502845969</v>
      </c>
      <c r="AA135" s="22" t="n">
        <f aca="false">IF($A135&gt;=Premissas!$C$18,Y135+Z135,"")</f>
        <v>316661.17894082</v>
      </c>
      <c r="AB135" s="22" t="n">
        <f aca="false">AB134*(1+$P135)-X135</f>
        <v>614624.521925548</v>
      </c>
      <c r="AC135" s="22" t="n">
        <f aca="false">AND($A135&gt;=Premissas!$C$16,$A135&lt;EDATE(Premissas!$C$16,3))*Premissas!$C$10/3*(1+Premissas!$C$56)^$C135</f>
        <v>0</v>
      </c>
      <c r="AD135" s="22" t="n">
        <f aca="false">L135-M135-N135-AC135</f>
        <v>1976.93319596333</v>
      </c>
      <c r="AE135" s="22" t="n">
        <f aca="false">AE134+AD135</f>
        <v>-202174.787785174</v>
      </c>
      <c r="AF135" s="22" t="n">
        <f aca="false">IF($A135&gt;=Premissas!$C$18,O135*(1-Premissas!$C$45)-Premissas!$C$46*MAX(0,O135*(1-Premissas!$C$45)-(SUM($AC$5:$AC$355)+Premissas!$C$26*Premissas!$C$60)),"")</f>
        <v>512358.572427973</v>
      </c>
      <c r="AG135" s="22" t="n">
        <f aca="false">IF($A135&gt;=Premissas!$C$18,AE135+AF135,"")</f>
        <v>310183.784642799</v>
      </c>
      <c r="AH135" s="22" t="n">
        <f aca="false">AH134*(1+$P135)-AD135</f>
        <v>626947.231172609</v>
      </c>
      <c r="AI135" s="22" t="n">
        <f aca="false">($A135=Premissas!$C$16)*0.2*Premissas!$C$11+AND($A135&gt;Premissas!$C$16,$A135&lt;=EDATE(Premissas!$C$16,43))*0.8*Premissas!$C$11/43*(1+Premissas!$C$56)^$C135</f>
        <v>0</v>
      </c>
      <c r="AJ135" s="22" t="n">
        <f aca="false">L135-M135-N135-AI135</f>
        <v>1976.93319596333</v>
      </c>
      <c r="AK135" s="22" t="n">
        <f aca="false">AK134+AJ135</f>
        <v>-248039.273203236</v>
      </c>
      <c r="AL135" s="22" t="n">
        <f aca="false">IF($A135&gt;=Premissas!$C$18,O135*(1-Premissas!$C$45)-Premissas!$C$46*MAX(0,O135*(1-Premissas!$C$45)-(SUM($AI$5:$AI$355)+Premissas!$C$26*Premissas!$C$60)),"")</f>
        <v>519238.245240682</v>
      </c>
      <c r="AM135" s="22" t="n">
        <f aca="false">IF($A135&gt;=Premissas!$C$18,AK135+AL135,"")</f>
        <v>271198.972037446</v>
      </c>
      <c r="AN135" s="22" t="n">
        <f aca="false">AN134*(1+$P135)-AJ135</f>
        <v>638445.024393215</v>
      </c>
      <c r="AO135" s="22" t="n">
        <f aca="false">V135+S135</f>
        <v>373690.990425393</v>
      </c>
    </row>
    <row r="136" customFormat="false" ht="15" hidden="false" customHeight="false" outlineLevel="0" collapsed="false">
      <c r="A136" s="26" t="n">
        <f aca="false">DATE(YEAR(A135),MONTH(A135)+1,1)</f>
        <v>50284</v>
      </c>
      <c r="B136" s="22" t="str">
        <f aca="false">IF($A136&lt;Premissas!$C$18,"Obra",IF($A136&lt;Premissas!$C$20,"Entrega/mobília","Airbnb"))</f>
        <v>Airbnb</v>
      </c>
      <c r="C136" s="36" t="n">
        <f aca="false">(YEAR($A136)-YEAR(Premissas!$C$16))*12+MONTH($A136)-MONTH(Premissas!$C$16)</f>
        <v>131</v>
      </c>
      <c r="D136" s="33" t="n">
        <f aca="false">IF($A136&gt;=Premissas!$C$20,Premissas!$C$31*IF(((YEAR($A136)-YEAR(Premissas!$C$20))*12+MONTH($A136)-MONTH(Premissas!$C$20))&lt;Premissas!$C$33,Premissas!$C$34,1),0)</f>
        <v>0.62</v>
      </c>
      <c r="E136" s="22" t="n">
        <f aca="false">D136*Premissas!$C$30*Premissas!$C$32*(1+Premissas!$C$58)^$C136</f>
        <v>7135.10289167859</v>
      </c>
      <c r="F136" s="22" t="n">
        <f aca="false">E136*Premissas!$C$35</f>
        <v>1141.61646266857</v>
      </c>
      <c r="G136" s="22" t="n">
        <f aca="false">E136*Premissas!$C$36</f>
        <v>1427.02057833572</v>
      </c>
      <c r="H136" s="22" t="n">
        <f aca="false">IF($A136&gt;=Premissas!$C$18,Premissas!$C$37*(1+Premissas!$C$58)^$C136,0)</f>
        <v>920.658437635947</v>
      </c>
      <c r="I136" s="22" t="n">
        <f aca="false">IF($A136&gt;=Premissas!$C$20,Premissas!$C$38*(1+Premissas!$C$58)^$C136,0)</f>
        <v>429.640604230109</v>
      </c>
      <c r="J136" s="22" t="n">
        <f aca="false">IF($A136&gt;=Premissas!$C$20,Premissas!$C$39*(1+Premissas!$C$58)^$C136,0)</f>
        <v>230.164609408987</v>
      </c>
      <c r="K136" s="22" t="n">
        <f aca="false">IF($A136&gt;=Premissas!$C$20,MAX(0,E136-F136-G136-H136)*Premissas!$C$41,0)</f>
        <v>1002.59703858555</v>
      </c>
      <c r="L136" s="22" t="n">
        <f aca="false">E136-F136-G136-H136-I136-J136-K136</f>
        <v>1983.40516081371</v>
      </c>
      <c r="M136" s="22" t="n">
        <f aca="false">($A136=Premissas!$C$18)*Premissas!$C$26*Premissas!$C$60</f>
        <v>0</v>
      </c>
      <c r="N136" s="22" t="n">
        <f aca="false">IF(AND($A136&gt;=Premissas!$C$18,$A136&lt;Premissas!$C$20),Premissas!$C$27/MAX(1,Premissas!$C$19),0)</f>
        <v>0</v>
      </c>
      <c r="O136" s="22" t="n">
        <f aca="false">IF($A136&gt;=Premissas!$C$18,Premissas!$C$60*(1+Premissas!$C$59)^((YEAR($A136)-YEAR(Premissas!$C$18))*12+MONTH($A136)-MONTH(Premissas!$C$18)),"")</f>
        <v>586367.091741229</v>
      </c>
      <c r="P136" s="31" t="n">
        <f aca="false">(1+IF(YEAR($A136)&lt;=2026,Premissas!$C$49,IF(YEAR($A136)=2027,Premissas!$C$50,IF(YEAR($A136)=2028,Premissas!$C$51,Premissas!$C$52)))*(1-Premissas!$C$53))^(1/12)-1</f>
        <v>0.00682149336596227</v>
      </c>
      <c r="Q136" s="22" t="n">
        <f aca="false">($A136=Premissas!$C$16)*Premissas!$C$13</f>
        <v>0</v>
      </c>
      <c r="R136" s="22" t="n">
        <f aca="false">L136-M136-N136-Q136</f>
        <v>1983.40516081371</v>
      </c>
      <c r="S136" s="22" t="n">
        <f aca="false">S135+R136</f>
        <v>-161642.918744336</v>
      </c>
      <c r="T136" s="22" t="n">
        <f aca="false">IF($A136&gt;=Premissas!$C$18,O136*(1-Premissas!$C$45)-Premissas!$C$46*MAX(0,O136*(1-Premissas!$C$45)-(SUM($Q$5:$Q$355)+Premissas!$C$26*Premissas!$C$60)),"")</f>
        <v>508477.314647988</v>
      </c>
      <c r="U136" s="22" t="n">
        <f aca="false">IF($A136&gt;=Premissas!$C$18,S136+T136,"")</f>
        <v>346834.395903652</v>
      </c>
      <c r="V136" s="22" t="n">
        <f aca="false">V135*(1+$P136)-R136</f>
        <v>538999.215664852</v>
      </c>
      <c r="W136" s="22" t="n">
        <f aca="false">($A136=Premissas!$C$16)*Premissas!$C$9</f>
        <v>0</v>
      </c>
      <c r="X136" s="22" t="n">
        <f aca="false">L136-M136-N136-W136</f>
        <v>1983.40516081371</v>
      </c>
      <c r="Y136" s="22" t="n">
        <f aca="false">Y135+X136</f>
        <v>-192570.918744336</v>
      </c>
      <c r="Z136" s="22" t="n">
        <f aca="false">IF($A136&gt;=Premissas!$C$18,O136*(1-Premissas!$C$45)-Premissas!$C$46*MAX(0,O136*(1-Premissas!$C$45)-(SUM($W$5:$W$355)+Premissas!$C$26*Premissas!$C$60)),"")</f>
        <v>513116.514647988</v>
      </c>
      <c r="AA136" s="22" t="n">
        <f aca="false">IF($A136&gt;=Premissas!$C$18,Y136+Z136,"")</f>
        <v>320545.595903653</v>
      </c>
      <c r="AB136" s="22" t="n">
        <f aca="false">AB135*(1+$P136)-X136</f>
        <v>616833.773863607</v>
      </c>
      <c r="AC136" s="22" t="n">
        <f aca="false">AND($A136&gt;=Premissas!$C$16,$A136&lt;EDATE(Premissas!$C$16,3))*Premissas!$C$10/3*(1+Premissas!$C$56)^$C136</f>
        <v>0</v>
      </c>
      <c r="AD136" s="22" t="n">
        <f aca="false">L136-M136-N136-AC136</f>
        <v>1983.40516081371</v>
      </c>
      <c r="AE136" s="22" t="n">
        <f aca="false">AE135+AD136</f>
        <v>-200191.382624361</v>
      </c>
      <c r="AF136" s="22" t="n">
        <f aca="false">IF($A136&gt;=Premissas!$C$18,O136*(1-Premissas!$C$45)-Premissas!$C$46*MAX(0,O136*(1-Premissas!$C$45)-(SUM($AC$5:$AC$355)+Premissas!$C$26*Premissas!$C$60)),"")</f>
        <v>514259.584229992</v>
      </c>
      <c r="AG136" s="22" t="n">
        <f aca="false">IF($A136&gt;=Premissas!$C$18,AE136+AF136,"")</f>
        <v>314068.201605631</v>
      </c>
      <c r="AH136" s="22" t="n">
        <f aca="false">AH135*(1+$P136)-AD136</f>
        <v>629240.542390047</v>
      </c>
      <c r="AI136" s="22" t="n">
        <f aca="false">($A136=Premissas!$C$16)*0.2*Premissas!$C$11+AND($A136&gt;Premissas!$C$16,$A136&lt;=EDATE(Premissas!$C$16,43))*0.8*Premissas!$C$11/43*(1+Premissas!$C$56)^$C136</f>
        <v>0</v>
      </c>
      <c r="AJ136" s="22" t="n">
        <f aca="false">L136-M136-N136-AI136</f>
        <v>1983.40516081371</v>
      </c>
      <c r="AK136" s="22" t="n">
        <f aca="false">AK135+AJ136</f>
        <v>-246055.868042423</v>
      </c>
      <c r="AL136" s="22" t="n">
        <f aca="false">IF($A136&gt;=Premissas!$C$18,O136*(1-Premissas!$C$45)-Premissas!$C$46*MAX(0,O136*(1-Premissas!$C$45)-(SUM($AI$5:$AI$355)+Premissas!$C$26*Premissas!$C$60)),"")</f>
        <v>521139.257042701</v>
      </c>
      <c r="AM136" s="22" t="n">
        <f aca="false">IF($A136&gt;=Premissas!$C$18,AK136+AL136,"")</f>
        <v>275083.389000279</v>
      </c>
      <c r="AN136" s="22" t="n">
        <f aca="false">AN135*(1+$P136)-AJ136</f>
        <v>640816.767730832</v>
      </c>
      <c r="AO136" s="22" t="n">
        <f aca="false">V136+S136</f>
        <v>377356.296920516</v>
      </c>
    </row>
    <row r="137" customFormat="false" ht="15" hidden="false" customHeight="false" outlineLevel="0" collapsed="false">
      <c r="A137" s="26" t="n">
        <f aca="false">DATE(YEAR(A136),MONTH(A136)+1,1)</f>
        <v>50314</v>
      </c>
      <c r="B137" s="22" t="str">
        <f aca="false">IF($A137&lt;Premissas!$C$18,"Obra",IF($A137&lt;Premissas!$C$20,"Entrega/mobília","Airbnb"))</f>
        <v>Airbnb</v>
      </c>
      <c r="C137" s="36" t="n">
        <f aca="false">(YEAR($A137)-YEAR(Premissas!$C$16))*12+MONTH($A137)-MONTH(Premissas!$C$16)</f>
        <v>132</v>
      </c>
      <c r="D137" s="33" t="n">
        <f aca="false">IF($A137&gt;=Premissas!$C$20,Premissas!$C$31*IF(((YEAR($A137)-YEAR(Premissas!$C$20))*12+MONTH($A137)-MONTH(Premissas!$C$20))&lt;Premissas!$C$33,Premissas!$C$34,1),0)</f>
        <v>0.62</v>
      </c>
      <c r="E137" s="22" t="n">
        <f aca="false">D137*Premissas!$C$30*Premissas!$C$32*(1+Premissas!$C$58)^$C137</f>
        <v>7158.46136186516</v>
      </c>
      <c r="F137" s="22" t="n">
        <f aca="false">E137*Premissas!$C$35</f>
        <v>1145.35381789843</v>
      </c>
      <c r="G137" s="22" t="n">
        <f aca="false">E137*Premissas!$C$36</f>
        <v>1431.69227237303</v>
      </c>
      <c r="H137" s="22" t="n">
        <f aca="false">IF($A137&gt;=Premissas!$C$18,Premissas!$C$37*(1+Premissas!$C$58)^$C137,0)</f>
        <v>923.672433789053</v>
      </c>
      <c r="I137" s="22" t="n">
        <f aca="false">IF($A137&gt;=Premissas!$C$20,Premissas!$C$38*(1+Premissas!$C$58)^$C137,0)</f>
        <v>431.047135768225</v>
      </c>
      <c r="J137" s="22" t="n">
        <f aca="false">IF($A137&gt;=Premissas!$C$20,Premissas!$C$39*(1+Premissas!$C$58)^$C137,0)</f>
        <v>230.918108447263</v>
      </c>
      <c r="K137" s="22" t="n">
        <f aca="false">IF($A137&gt;=Premissas!$C$20,MAX(0,E137-F137-G137-H137)*Premissas!$C$41,0)</f>
        <v>1005.87928039628</v>
      </c>
      <c r="L137" s="22" t="n">
        <f aca="false">E137-F137-G137-H137-I137-J137-K137</f>
        <v>1989.89831319288</v>
      </c>
      <c r="M137" s="22" t="n">
        <f aca="false">($A137=Premissas!$C$18)*Premissas!$C$26*Premissas!$C$60</f>
        <v>0</v>
      </c>
      <c r="N137" s="22" t="n">
        <f aca="false">IF(AND($A137&gt;=Premissas!$C$18,$A137&lt;Premissas!$C$20),Premissas!$C$27/MAX(1,Premissas!$C$19),0)</f>
        <v>0</v>
      </c>
      <c r="O137" s="22" t="n">
        <f aca="false">IF($A137&gt;=Premissas!$C$18,Premissas!$C$60*(1+Premissas!$C$59)^((YEAR($A137)-YEAR(Premissas!$C$18))*12+MONTH($A137)-MONTH(Premissas!$C$18)),"")</f>
        <v>588756.023855641</v>
      </c>
      <c r="P137" s="31" t="n">
        <f aca="false">(1+IF(YEAR($A137)&lt;=2026,Premissas!$C$49,IF(YEAR($A137)=2027,Premissas!$C$50,IF(YEAR($A137)=2028,Premissas!$C$51,Premissas!$C$52)))*(1-Premissas!$C$53))^(1/12)-1</f>
        <v>0.00682149336596227</v>
      </c>
      <c r="Q137" s="22" t="n">
        <f aca="false">($A137=Premissas!$C$16)*Premissas!$C$13</f>
        <v>0</v>
      </c>
      <c r="R137" s="22" t="n">
        <f aca="false">L137-M137-N137-Q137</f>
        <v>1989.89831319288</v>
      </c>
      <c r="S137" s="22" t="n">
        <f aca="false">S136+R137</f>
        <v>-159653.020431143</v>
      </c>
      <c r="T137" s="22" t="n">
        <f aca="false">IF($A137&gt;=Premissas!$C$18,O137*(1-Premissas!$C$45)-Premissas!$C$46*MAX(0,O137*(1-Premissas!$C$45)-(SUM($Q$5:$Q$355)+Premissas!$C$26*Premissas!$C$60)),"")</f>
        <v>510386.071407403</v>
      </c>
      <c r="U137" s="22" t="n">
        <f aca="false">IF($A137&gt;=Premissas!$C$18,S137+T137,"")</f>
        <v>350733.05097626</v>
      </c>
      <c r="V137" s="22" t="n">
        <f aca="false">V136*(1+$P137)-R137</f>
        <v>540686.096925576</v>
      </c>
      <c r="W137" s="22" t="n">
        <f aca="false">($A137=Premissas!$C$16)*Premissas!$C$9</f>
        <v>0</v>
      </c>
      <c r="X137" s="22" t="n">
        <f aca="false">L137-M137-N137-W137</f>
        <v>1989.89831319288</v>
      </c>
      <c r="Y137" s="22" t="n">
        <f aca="false">Y136+X137</f>
        <v>-190581.020431143</v>
      </c>
      <c r="Z137" s="22" t="n">
        <f aca="false">IF($A137&gt;=Premissas!$C$18,O137*(1-Premissas!$C$45)-Premissas!$C$46*MAX(0,O137*(1-Premissas!$C$45)-(SUM($W$5:$W$355)+Premissas!$C$26*Premissas!$C$60)),"")</f>
        <v>515025.271407403</v>
      </c>
      <c r="AA137" s="22" t="n">
        <f aca="false">IF($A137&gt;=Premissas!$C$18,Y137+Z137,"")</f>
        <v>324444.25097626</v>
      </c>
      <c r="AB137" s="22" t="n">
        <f aca="false">AB136*(1+$P137)-X137</f>
        <v>619051.603046726</v>
      </c>
      <c r="AC137" s="22" t="n">
        <f aca="false">AND($A137&gt;=Premissas!$C$16,$A137&lt;EDATE(Premissas!$C$16,3))*Premissas!$C$10/3*(1+Premissas!$C$56)^$C137</f>
        <v>0</v>
      </c>
      <c r="AD137" s="22" t="n">
        <f aca="false">L137-M137-N137-AC137</f>
        <v>1989.89831319288</v>
      </c>
      <c r="AE137" s="22" t="n">
        <f aca="false">AE136+AD137</f>
        <v>-198201.484311168</v>
      </c>
      <c r="AF137" s="22" t="n">
        <f aca="false">IF($A137&gt;=Premissas!$C$18,O137*(1-Premissas!$C$45)-Premissas!$C$46*MAX(0,O137*(1-Premissas!$C$45)-(SUM($AC$5:$AC$355)+Premissas!$C$26*Premissas!$C$60)),"")</f>
        <v>516168.340989407</v>
      </c>
      <c r="AG137" s="22" t="n">
        <f aca="false">IF($A137&gt;=Premissas!$C$18,AE137+AF137,"")</f>
        <v>317966.856678239</v>
      </c>
      <c r="AH137" s="22" t="n">
        <f aca="false">AH136*(1+$P137)-AD137</f>
        <v>631543.004262363</v>
      </c>
      <c r="AI137" s="22" t="n">
        <f aca="false">($A137=Premissas!$C$16)*0.2*Premissas!$C$11+AND($A137&gt;Premissas!$C$16,$A137&lt;=EDATE(Premissas!$C$16,43))*0.8*Premissas!$C$11/43*(1+Premissas!$C$56)^$C137</f>
        <v>0</v>
      </c>
      <c r="AJ137" s="22" t="n">
        <f aca="false">L137-M137-N137-AI137</f>
        <v>1989.89831319288</v>
      </c>
      <c r="AK137" s="22" t="n">
        <f aca="false">AK136+AJ137</f>
        <v>-244065.96972923</v>
      </c>
      <c r="AL137" s="22" t="n">
        <f aca="false">IF($A137&gt;=Premissas!$C$18,O137*(1-Premissas!$C$45)-Premissas!$C$46*MAX(0,O137*(1-Premissas!$C$45)-(SUM($AI$5:$AI$355)+Premissas!$C$26*Premissas!$C$60)),"")</f>
        <v>523048.013802116</v>
      </c>
      <c r="AM137" s="22" t="n">
        <f aca="false">IF($A137&gt;=Premissas!$C$18,AK137+AL137,"")</f>
        <v>278982.044072887</v>
      </c>
      <c r="AN137" s="22" t="n">
        <f aca="false">AN136*(1+$P137)-AJ137</f>
        <v>643198.196747512</v>
      </c>
      <c r="AO137" s="22" t="n">
        <f aca="false">V137+S137</f>
        <v>381033.076494433</v>
      </c>
    </row>
    <row r="138" customFormat="false" ht="15" hidden="false" customHeight="false" outlineLevel="0" collapsed="false">
      <c r="A138" s="26" t="n">
        <f aca="false">DATE(YEAR(A137),MONTH(A137)+1,1)</f>
        <v>50345</v>
      </c>
      <c r="B138" s="22" t="str">
        <f aca="false">IF($A138&lt;Premissas!$C$18,"Obra",IF($A138&lt;Premissas!$C$20,"Entrega/mobília","Airbnb"))</f>
        <v>Airbnb</v>
      </c>
      <c r="C138" s="36" t="n">
        <f aca="false">(YEAR($A138)-YEAR(Premissas!$C$16))*12+MONTH($A138)-MONTH(Premissas!$C$16)</f>
        <v>133</v>
      </c>
      <c r="D138" s="33" t="n">
        <f aca="false">IF($A138&gt;=Premissas!$C$20,Premissas!$C$31*IF(((YEAR($A138)-YEAR(Premissas!$C$20))*12+MONTH($A138)-MONTH(Premissas!$C$20))&lt;Premissas!$C$33,Premissas!$C$34,1),0)</f>
        <v>0.62</v>
      </c>
      <c r="E138" s="22" t="n">
        <f aca="false">D138*Premissas!$C$30*Premissas!$C$32*(1+Premissas!$C$58)^$C138</f>
        <v>7181.89630160483</v>
      </c>
      <c r="F138" s="22" t="n">
        <f aca="false">E138*Premissas!$C$35</f>
        <v>1149.10340825677</v>
      </c>
      <c r="G138" s="22" t="n">
        <f aca="false">E138*Premissas!$C$36</f>
        <v>1436.37926032097</v>
      </c>
      <c r="H138" s="22" t="n">
        <f aca="false">IF($A138&gt;=Premissas!$C$18,Premissas!$C$37*(1+Premissas!$C$58)^$C138,0)</f>
        <v>926.696296981269</v>
      </c>
      <c r="I138" s="22" t="n">
        <f aca="false">IF($A138&gt;=Premissas!$C$20,Premissas!$C$38*(1+Premissas!$C$58)^$C138,0)</f>
        <v>432.458271924592</v>
      </c>
      <c r="J138" s="22" t="n">
        <f aca="false">IF($A138&gt;=Premissas!$C$20,Premissas!$C$39*(1+Premissas!$C$58)^$C138,0)</f>
        <v>231.674074245317</v>
      </c>
      <c r="K138" s="22" t="n">
        <f aca="false">IF($A138&gt;=Premissas!$C$20,MAX(0,E138-F138-G138-H138)*Premissas!$C$41,0)</f>
        <v>1009.1722674126</v>
      </c>
      <c r="L138" s="22" t="n">
        <f aca="false">E138-F138-G138-H138-I138-J138-K138</f>
        <v>1996.41272246331</v>
      </c>
      <c r="M138" s="22" t="n">
        <f aca="false">($A138=Premissas!$C$18)*Premissas!$C$26*Premissas!$C$60</f>
        <v>0</v>
      </c>
      <c r="N138" s="22" t="n">
        <f aca="false">IF(AND($A138&gt;=Premissas!$C$18,$A138&lt;Premissas!$C$20),Premissas!$C$27/MAX(1,Premissas!$C$19),0)</f>
        <v>0</v>
      </c>
      <c r="O138" s="22" t="n">
        <f aca="false">IF($A138&gt;=Premissas!$C$18,Premissas!$C$60*(1+Premissas!$C$59)^((YEAR($A138)-YEAR(Premissas!$C$18))*12+MONTH($A138)-MONTH(Premissas!$C$18)),"")</f>
        <v>591154.688775198</v>
      </c>
      <c r="P138" s="31" t="n">
        <f aca="false">(1+IF(YEAR($A138)&lt;=2026,Premissas!$C$49,IF(YEAR($A138)=2027,Premissas!$C$50,IF(YEAR($A138)=2028,Premissas!$C$51,Premissas!$C$52)))*(1-Premissas!$C$53))^(1/12)-1</f>
        <v>0.00682149336596227</v>
      </c>
      <c r="Q138" s="22" t="n">
        <f aca="false">($A138=Premissas!$C$16)*Premissas!$C$13</f>
        <v>0</v>
      </c>
      <c r="R138" s="22" t="n">
        <f aca="false">L138-M138-N138-Q138</f>
        <v>1996.41272246331</v>
      </c>
      <c r="S138" s="22" t="n">
        <f aca="false">S137+R138</f>
        <v>-157656.60770868</v>
      </c>
      <c r="T138" s="22" t="n">
        <f aca="false">IF($A138&gt;=Premissas!$C$18,O138*(1-Premissas!$C$45)-Premissas!$C$46*MAX(0,O138*(1-Premissas!$C$45)-(SUM($Q$5:$Q$355)+Premissas!$C$26*Premissas!$C$60)),"")</f>
        <v>512302.604678129</v>
      </c>
      <c r="U138" s="22" t="n">
        <f aca="false">IF($A138&gt;=Premissas!$C$18,S138+T138,"")</f>
        <v>354645.996969449</v>
      </c>
      <c r="V138" s="22" t="n">
        <f aca="false">V137*(1+$P138)-R138</f>
        <v>542377.970826358</v>
      </c>
      <c r="W138" s="22" t="n">
        <f aca="false">($A138=Premissas!$C$16)*Premissas!$C$9</f>
        <v>0</v>
      </c>
      <c r="X138" s="22" t="n">
        <f aca="false">L138-M138-N138-W138</f>
        <v>1996.41272246331</v>
      </c>
      <c r="Y138" s="22" t="n">
        <f aca="false">Y137+X138</f>
        <v>-188584.60770868</v>
      </c>
      <c r="Z138" s="22" t="n">
        <f aca="false">IF($A138&gt;=Premissas!$C$18,O138*(1-Premissas!$C$45)-Premissas!$C$46*MAX(0,O138*(1-Premissas!$C$45)-(SUM($W$5:$W$355)+Premissas!$C$26*Premissas!$C$60)),"")</f>
        <v>516941.804678129</v>
      </c>
      <c r="AA138" s="22" t="n">
        <f aca="false">IF($A138&gt;=Premissas!$C$18,Y138+Z138,"")</f>
        <v>328357.196969449</v>
      </c>
      <c r="AB138" s="22" t="n">
        <f aca="false">AB137*(1+$P138)-X138</f>
        <v>621278.046727634</v>
      </c>
      <c r="AC138" s="22" t="n">
        <f aca="false">AND($A138&gt;=Premissas!$C$16,$A138&lt;EDATE(Premissas!$C$16,3))*Premissas!$C$10/3*(1+Premissas!$C$56)^$C138</f>
        <v>0</v>
      </c>
      <c r="AD138" s="22" t="n">
        <f aca="false">L138-M138-N138-AC138</f>
        <v>1996.41272246331</v>
      </c>
      <c r="AE138" s="22" t="n">
        <f aca="false">AE137+AD138</f>
        <v>-196205.071588704</v>
      </c>
      <c r="AF138" s="22" t="n">
        <f aca="false">IF($A138&gt;=Premissas!$C$18,O138*(1-Premissas!$C$45)-Premissas!$C$46*MAX(0,O138*(1-Premissas!$C$45)-(SUM($AC$5:$AC$355)+Premissas!$C$26*Premissas!$C$60)),"")</f>
        <v>518084.874260133</v>
      </c>
      <c r="AG138" s="22" t="n">
        <f aca="false">IF($A138&gt;=Premissas!$C$18,AE138+AF138,"")</f>
        <v>321879.802671428</v>
      </c>
      <c r="AH138" s="22" t="n">
        <f aca="false">AH137*(1+$P138)-AD138</f>
        <v>633854.657953795</v>
      </c>
      <c r="AI138" s="22" t="n">
        <f aca="false">($A138=Premissas!$C$16)*0.2*Premissas!$C$11+AND($A138&gt;Premissas!$C$16,$A138&lt;=EDATE(Premissas!$C$16,43))*0.8*Premissas!$C$11/43*(1+Premissas!$C$56)^$C138</f>
        <v>0</v>
      </c>
      <c r="AJ138" s="22" t="n">
        <f aca="false">L138-M138-N138-AI138</f>
        <v>1996.41272246331</v>
      </c>
      <c r="AK138" s="22" t="n">
        <f aca="false">AK137+AJ138</f>
        <v>-242069.557006766</v>
      </c>
      <c r="AL138" s="22" t="n">
        <f aca="false">IF($A138&gt;=Premissas!$C$18,O138*(1-Premissas!$C$45)-Premissas!$C$46*MAX(0,O138*(1-Premissas!$C$45)-(SUM($AI$5:$AI$355)+Premissas!$C$26*Premissas!$C$60)),"")</f>
        <v>524964.547072842</v>
      </c>
      <c r="AM138" s="22" t="n">
        <f aca="false">IF($A138&gt;=Premissas!$C$18,AK138+AL138,"")</f>
        <v>282894.990066076</v>
      </c>
      <c r="AN138" s="22" t="n">
        <f aca="false">AN137*(1+$P138)-AJ138</f>
        <v>645589.356257161</v>
      </c>
      <c r="AO138" s="22" t="n">
        <f aca="false">V138+S138</f>
        <v>384721.363117678</v>
      </c>
    </row>
    <row r="139" customFormat="false" ht="15" hidden="false" customHeight="false" outlineLevel="0" collapsed="false">
      <c r="A139" s="26" t="n">
        <f aca="false">DATE(YEAR(A138),MONTH(A138)+1,1)</f>
        <v>50375</v>
      </c>
      <c r="B139" s="22" t="str">
        <f aca="false">IF($A139&lt;Premissas!$C$18,"Obra",IF($A139&lt;Premissas!$C$20,"Entrega/mobília","Airbnb"))</f>
        <v>Airbnb</v>
      </c>
      <c r="C139" s="36" t="n">
        <f aca="false">(YEAR($A139)-YEAR(Premissas!$C$16))*12+MONTH($A139)-MONTH(Premissas!$C$16)</f>
        <v>134</v>
      </c>
      <c r="D139" s="33" t="n">
        <f aca="false">IF($A139&gt;=Premissas!$C$20,Premissas!$C$31*IF(((YEAR($A139)-YEAR(Premissas!$C$20))*12+MONTH($A139)-MONTH(Premissas!$C$20))&lt;Premissas!$C$33,Premissas!$C$34,1),0)</f>
        <v>0.62</v>
      </c>
      <c r="E139" s="22" t="n">
        <f aca="false">D139*Premissas!$C$30*Premissas!$C$32*(1+Premissas!$C$58)^$C139</f>
        <v>7205.40796123902</v>
      </c>
      <c r="F139" s="22" t="n">
        <f aca="false">E139*Premissas!$C$35</f>
        <v>1152.86527379824</v>
      </c>
      <c r="G139" s="22" t="n">
        <f aca="false">E139*Premissas!$C$36</f>
        <v>1441.0815922478</v>
      </c>
      <c r="H139" s="22" t="n">
        <f aca="false">IF($A139&gt;=Premissas!$C$18,Premissas!$C$37*(1+Premissas!$C$58)^$C139,0)</f>
        <v>929.730059514713</v>
      </c>
      <c r="I139" s="22" t="n">
        <f aca="false">IF($A139&gt;=Premissas!$C$20,Premissas!$C$38*(1+Premissas!$C$58)^$C139,0)</f>
        <v>433.874027773533</v>
      </c>
      <c r="J139" s="22" t="n">
        <f aca="false">IF($A139&gt;=Premissas!$C$20,Premissas!$C$39*(1+Premissas!$C$58)^$C139,0)</f>
        <v>232.432514878678</v>
      </c>
      <c r="K139" s="22" t="n">
        <f aca="false">IF($A139&gt;=Premissas!$C$20,MAX(0,E139-F139-G139-H139)*Premissas!$C$41,0)</f>
        <v>1012.47603481152</v>
      </c>
      <c r="L139" s="22" t="n">
        <f aca="false">E139-F139-G139-H139-I139-J139-K139</f>
        <v>2002.94845821453</v>
      </c>
      <c r="M139" s="22" t="n">
        <f aca="false">($A139=Premissas!$C$18)*Premissas!$C$26*Premissas!$C$60</f>
        <v>0</v>
      </c>
      <c r="N139" s="22" t="n">
        <f aca="false">IF(AND($A139&gt;=Premissas!$C$18,$A139&lt;Premissas!$C$20),Premissas!$C$27/MAX(1,Premissas!$C$19),0)</f>
        <v>0</v>
      </c>
      <c r="O139" s="22" t="n">
        <f aca="false">IF($A139&gt;=Premissas!$C$18,Premissas!$C$60*(1+Premissas!$C$59)^((YEAR($A139)-YEAR(Premissas!$C$18))*12+MONTH($A139)-MONTH(Premissas!$C$18)),"")</f>
        <v>593563.126152552</v>
      </c>
      <c r="P139" s="31" t="n">
        <f aca="false">(1+IF(YEAR($A139)&lt;=2026,Premissas!$C$49,IF(YEAR($A139)=2027,Premissas!$C$50,IF(YEAR($A139)=2028,Premissas!$C$51,Premissas!$C$52)))*(1-Premissas!$C$53))^(1/12)-1</f>
        <v>0.00682149336596227</v>
      </c>
      <c r="Q139" s="22" t="n">
        <f aca="false">($A139=Premissas!$C$16)*Premissas!$C$13</f>
        <v>0</v>
      </c>
      <c r="R139" s="22" t="n">
        <f aca="false">L139-M139-N139-Q139</f>
        <v>2002.94845821453</v>
      </c>
      <c r="S139" s="22" t="n">
        <f aca="false">S138+R139</f>
        <v>-155653.659250465</v>
      </c>
      <c r="T139" s="22" t="n">
        <f aca="false">IF($A139&gt;=Premissas!$C$18,O139*(1-Premissas!$C$45)-Premissas!$C$46*MAX(0,O139*(1-Premissas!$C$45)-(SUM($Q$5:$Q$355)+Premissas!$C$26*Premissas!$C$60)),"")</f>
        <v>514226.946142635</v>
      </c>
      <c r="U139" s="22" t="n">
        <f aca="false">IF($A139&gt;=Premissas!$C$18,S139+T139,"")</f>
        <v>358573.28689217</v>
      </c>
      <c r="V139" s="22" t="n">
        <f aca="false">V138*(1+$P139)-R139</f>
        <v>544074.85009798</v>
      </c>
      <c r="W139" s="22" t="n">
        <f aca="false">($A139=Premissas!$C$16)*Premissas!$C$9</f>
        <v>0</v>
      </c>
      <c r="X139" s="22" t="n">
        <f aca="false">L139-M139-N139-W139</f>
        <v>2002.94845821453</v>
      </c>
      <c r="Y139" s="22" t="n">
        <f aca="false">Y138+X139</f>
        <v>-186581.659250465</v>
      </c>
      <c r="Z139" s="22" t="n">
        <f aca="false">IF($A139&gt;=Premissas!$C$18,O139*(1-Premissas!$C$45)-Premissas!$C$46*MAX(0,O139*(1-Premissas!$C$45)-(SUM($W$5:$W$355)+Premissas!$C$26*Premissas!$C$60)),"")</f>
        <v>518866.146142635</v>
      </c>
      <c r="AA139" s="22" t="n">
        <f aca="false">IF($A139&gt;=Premissas!$C$18,Y139+Z139,"")</f>
        <v>332284.48689217</v>
      </c>
      <c r="AB139" s="22" t="n">
        <f aca="false">AB138*(1+$P139)-X139</f>
        <v>623513.14234359</v>
      </c>
      <c r="AC139" s="22" t="n">
        <f aca="false">AND($A139&gt;=Premissas!$C$16,$A139&lt;EDATE(Premissas!$C$16,3))*Premissas!$C$10/3*(1+Premissas!$C$56)^$C139</f>
        <v>0</v>
      </c>
      <c r="AD139" s="22" t="n">
        <f aca="false">L139-M139-N139-AC139</f>
        <v>2002.94845821453</v>
      </c>
      <c r="AE139" s="22" t="n">
        <f aca="false">AE138+AD139</f>
        <v>-194202.12313049</v>
      </c>
      <c r="AF139" s="22" t="n">
        <f aca="false">IF($A139&gt;=Premissas!$C$18,O139*(1-Premissas!$C$45)-Premissas!$C$46*MAX(0,O139*(1-Premissas!$C$45)-(SUM($AC$5:$AC$355)+Premissas!$C$26*Premissas!$C$60)),"")</f>
        <v>520009.215724639</v>
      </c>
      <c r="AG139" s="22" t="n">
        <f aca="false">IF($A139&gt;=Premissas!$C$18,AE139+AF139,"")</f>
        <v>325807.092594149</v>
      </c>
      <c r="AH139" s="22" t="n">
        <f aca="false">AH138*(1+$P139)-AD139</f>
        <v>636175.544839797</v>
      </c>
      <c r="AI139" s="22" t="n">
        <f aca="false">($A139=Premissas!$C$16)*0.2*Premissas!$C$11+AND($A139&gt;Premissas!$C$16,$A139&lt;=EDATE(Premissas!$C$16,43))*0.8*Premissas!$C$11/43*(1+Premissas!$C$56)^$C139</f>
        <v>0</v>
      </c>
      <c r="AJ139" s="22" t="n">
        <f aca="false">L139-M139-N139-AI139</f>
        <v>2002.94845821453</v>
      </c>
      <c r="AK139" s="22" t="n">
        <f aca="false">AK138+AJ139</f>
        <v>-240066.608548552</v>
      </c>
      <c r="AL139" s="22" t="n">
        <f aca="false">IF($A139&gt;=Premissas!$C$18,O139*(1-Premissas!$C$45)-Premissas!$C$46*MAX(0,O139*(1-Premissas!$C$45)-(SUM($AI$5:$AI$355)+Premissas!$C$26*Premissas!$C$60)),"")</f>
        <v>526888.888537348</v>
      </c>
      <c r="AM139" s="22" t="n">
        <f aca="false">IF($A139&gt;=Premissas!$C$18,AK139+AL139,"")</f>
        <v>286822.279988796</v>
      </c>
      <c r="AN139" s="22" t="n">
        <f aca="false">AN138*(1+$P139)-AJ139</f>
        <v>647990.29130979</v>
      </c>
      <c r="AO139" s="22" t="n">
        <f aca="false">V139+S139</f>
        <v>388421.190847515</v>
      </c>
    </row>
    <row r="140" customFormat="false" ht="15" hidden="false" customHeight="false" outlineLevel="0" collapsed="false">
      <c r="A140" s="26" t="n">
        <f aca="false">DATE(YEAR(A139),MONTH(A139)+1,1)</f>
        <v>50406</v>
      </c>
      <c r="B140" s="22" t="str">
        <f aca="false">IF($A140&lt;Premissas!$C$18,"Obra",IF($A140&lt;Premissas!$C$20,"Entrega/mobília","Airbnb"))</f>
        <v>Airbnb</v>
      </c>
      <c r="C140" s="36" t="n">
        <f aca="false">(YEAR($A140)-YEAR(Premissas!$C$16))*12+MONTH($A140)-MONTH(Premissas!$C$16)</f>
        <v>135</v>
      </c>
      <c r="D140" s="33" t="n">
        <f aca="false">IF($A140&gt;=Premissas!$C$20,Premissas!$C$31*IF(((YEAR($A140)-YEAR(Premissas!$C$20))*12+MONTH($A140)-MONTH(Premissas!$C$20))&lt;Premissas!$C$33,Premissas!$C$34,1),0)</f>
        <v>0.62</v>
      </c>
      <c r="E140" s="22" t="n">
        <f aca="false">D140*Premissas!$C$30*Premissas!$C$32*(1+Premissas!$C$58)^$C140</f>
        <v>7228.9965919287</v>
      </c>
      <c r="F140" s="22" t="n">
        <f aca="false">E140*Premissas!$C$35</f>
        <v>1156.63945470859</v>
      </c>
      <c r="G140" s="22" t="n">
        <f aca="false">E140*Premissas!$C$36</f>
        <v>1445.79931838574</v>
      </c>
      <c r="H140" s="22" t="n">
        <f aca="false">IF($A140&gt;=Premissas!$C$18,Premissas!$C$37*(1+Premissas!$C$58)^$C140,0)</f>
        <v>932.773753797252</v>
      </c>
      <c r="I140" s="22" t="n">
        <f aca="false">IF($A140&gt;=Premissas!$C$20,Premissas!$C$38*(1+Premissas!$C$58)^$C140,0)</f>
        <v>435.294418438718</v>
      </c>
      <c r="J140" s="22" t="n">
        <f aca="false">IF($A140&gt;=Premissas!$C$20,Premissas!$C$39*(1+Premissas!$C$58)^$C140,0)</f>
        <v>233.193438449313</v>
      </c>
      <c r="K140" s="22" t="n">
        <f aca="false">IF($A140&gt;=Premissas!$C$20,MAX(0,E140-F140-G140-H140)*Premissas!$C$41,0)</f>
        <v>1015.79061788521</v>
      </c>
      <c r="L140" s="22" t="n">
        <f aca="false">E140-F140-G140-H140-I140-J140-K140</f>
        <v>2009.50559026388</v>
      </c>
      <c r="M140" s="22" t="n">
        <f aca="false">($A140=Premissas!$C$18)*Premissas!$C$26*Premissas!$C$60</f>
        <v>0</v>
      </c>
      <c r="N140" s="22" t="n">
        <f aca="false">IF(AND($A140&gt;=Premissas!$C$18,$A140&lt;Premissas!$C$20),Premissas!$C$27/MAX(1,Premissas!$C$19),0)</f>
        <v>0</v>
      </c>
      <c r="O140" s="22" t="n">
        <f aca="false">IF($A140&gt;=Premissas!$C$18,Premissas!$C$60*(1+Premissas!$C$59)^((YEAR($A140)-YEAR(Premissas!$C$18))*12+MONTH($A140)-MONTH(Premissas!$C$18)),"")</f>
        <v>595981.375801907</v>
      </c>
      <c r="P140" s="31" t="n">
        <f aca="false">(1+IF(YEAR($A140)&lt;=2026,Premissas!$C$49,IF(YEAR($A140)=2027,Premissas!$C$50,IF(YEAR($A140)=2028,Premissas!$C$51,Premissas!$C$52)))*(1-Premissas!$C$53))^(1/12)-1</f>
        <v>0.00682149336596227</v>
      </c>
      <c r="Q140" s="22" t="n">
        <f aca="false">($A140=Premissas!$C$16)*Premissas!$C$13</f>
        <v>0</v>
      </c>
      <c r="R140" s="22" t="n">
        <f aca="false">L140-M140-N140-Q140</f>
        <v>2009.50559026388</v>
      </c>
      <c r="S140" s="22" t="n">
        <f aca="false">S139+R140</f>
        <v>-153644.153660201</v>
      </c>
      <c r="T140" s="22" t="n">
        <f aca="false">IF($A140&gt;=Premissas!$C$18,O140*(1-Premissas!$C$45)-Premissas!$C$46*MAX(0,O140*(1-Premissas!$C$45)-(SUM($Q$5:$Q$355)+Premissas!$C$26*Premissas!$C$60)),"")</f>
        <v>516159.12761247</v>
      </c>
      <c r="U140" s="22" t="n">
        <f aca="false">IF($A140&gt;=Premissas!$C$18,S140+T140,"")</f>
        <v>362514.973952268</v>
      </c>
      <c r="V140" s="22" t="n">
        <f aca="false">V139*(1+$P140)-R140</f>
        <v>545776.747488246</v>
      </c>
      <c r="W140" s="22" t="n">
        <f aca="false">($A140=Premissas!$C$16)*Premissas!$C$9</f>
        <v>0</v>
      </c>
      <c r="X140" s="22" t="n">
        <f aca="false">L140-M140-N140-W140</f>
        <v>2009.50559026388</v>
      </c>
      <c r="Y140" s="22" t="n">
        <f aca="false">Y139+X140</f>
        <v>-184572.153660201</v>
      </c>
      <c r="Z140" s="22" t="n">
        <f aca="false">IF($A140&gt;=Premissas!$C$18,O140*(1-Premissas!$C$45)-Premissas!$C$46*MAX(0,O140*(1-Premissas!$C$45)-(SUM($W$5:$W$355)+Premissas!$C$26*Premissas!$C$60)),"")</f>
        <v>520798.32761247</v>
      </c>
      <c r="AA140" s="22" t="n">
        <f aca="false">IF($A140&gt;=Premissas!$C$18,Y140+Z140,"")</f>
        <v>336226.173952268</v>
      </c>
      <c r="AB140" s="22" t="n">
        <f aca="false">AB139*(1+$P140)-X140</f>
        <v>625756.927517413</v>
      </c>
      <c r="AC140" s="22" t="n">
        <f aca="false">AND($A140&gt;=Premissas!$C$16,$A140&lt;EDATE(Premissas!$C$16,3))*Premissas!$C$10/3*(1+Premissas!$C$56)^$C140</f>
        <v>0</v>
      </c>
      <c r="AD140" s="22" t="n">
        <f aca="false">L140-M140-N140-AC140</f>
        <v>2009.50559026388</v>
      </c>
      <c r="AE140" s="22" t="n">
        <f aca="false">AE139+AD140</f>
        <v>-192192.617540226</v>
      </c>
      <c r="AF140" s="22" t="n">
        <f aca="false">IF($A140&gt;=Premissas!$C$18,O140*(1-Premissas!$C$45)-Premissas!$C$46*MAX(0,O140*(1-Premissas!$C$45)-(SUM($AC$5:$AC$355)+Premissas!$C$26*Premissas!$C$60)),"")</f>
        <v>521941.397194473</v>
      </c>
      <c r="AG140" s="22" t="n">
        <f aca="false">IF($A140&gt;=Premissas!$C$18,AE140+AF140,"")</f>
        <v>329748.779654247</v>
      </c>
      <c r="AH140" s="22" t="n">
        <f aca="false">AH139*(1+$P140)-AD140</f>
        <v>638505.706508245</v>
      </c>
      <c r="AI140" s="22" t="n">
        <f aca="false">($A140=Premissas!$C$16)*0.2*Premissas!$C$11+AND($A140&gt;Premissas!$C$16,$A140&lt;=EDATE(Premissas!$C$16,43))*0.8*Premissas!$C$11/43*(1+Premissas!$C$56)^$C140</f>
        <v>0</v>
      </c>
      <c r="AJ140" s="22" t="n">
        <f aca="false">L140-M140-N140-AI140</f>
        <v>2009.50559026388</v>
      </c>
      <c r="AK140" s="22" t="n">
        <f aca="false">AK139+AJ140</f>
        <v>-238057.102958288</v>
      </c>
      <c r="AL140" s="22" t="n">
        <f aca="false">IF($A140&gt;=Premissas!$C$18,O140*(1-Premissas!$C$45)-Premissas!$C$46*MAX(0,O140*(1-Premissas!$C$45)-(SUM($AI$5:$AI$355)+Premissas!$C$26*Premissas!$C$60)),"")</f>
        <v>528821.070007183</v>
      </c>
      <c r="AM140" s="22" t="n">
        <f aca="false">IF($A140&gt;=Premissas!$C$18,AK140+AL140,"")</f>
        <v>290763.967048895</v>
      </c>
      <c r="AN140" s="22" t="n">
        <f aca="false">AN139*(1+$P140)-AJ140</f>
        <v>650401.047192904</v>
      </c>
      <c r="AO140" s="22" t="n">
        <f aca="false">V140+S140</f>
        <v>392132.593828045</v>
      </c>
    </row>
    <row r="141" customFormat="false" ht="15" hidden="false" customHeight="false" outlineLevel="0" collapsed="false">
      <c r="A141" s="26" t="n">
        <f aca="false">DATE(YEAR(A140),MONTH(A140)+1,1)</f>
        <v>50437</v>
      </c>
      <c r="B141" s="22" t="str">
        <f aca="false">IF($A141&lt;Premissas!$C$18,"Obra",IF($A141&lt;Premissas!$C$20,"Entrega/mobília","Airbnb"))</f>
        <v>Airbnb</v>
      </c>
      <c r="C141" s="36" t="n">
        <f aca="false">(YEAR($A141)-YEAR(Premissas!$C$16))*12+MONTH($A141)-MONTH(Premissas!$C$16)</f>
        <v>136</v>
      </c>
      <c r="D141" s="33" t="n">
        <f aca="false">IF($A141&gt;=Premissas!$C$20,Premissas!$C$31*IF(((YEAR($A141)-YEAR(Premissas!$C$20))*12+MONTH($A141)-MONTH(Premissas!$C$20))&lt;Premissas!$C$33,Premissas!$C$34,1),0)</f>
        <v>0.62</v>
      </c>
      <c r="E141" s="22" t="n">
        <f aca="false">D141*Premissas!$C$30*Premissas!$C$32*(1+Premissas!$C$58)^$C141</f>
        <v>7252.66244565708</v>
      </c>
      <c r="F141" s="22" t="n">
        <f aca="false">E141*Premissas!$C$35</f>
        <v>1160.42599130513</v>
      </c>
      <c r="G141" s="22" t="n">
        <f aca="false">E141*Premissas!$C$36</f>
        <v>1450.53248913142</v>
      </c>
      <c r="H141" s="22" t="n">
        <f aca="false">IF($A141&gt;=Premissas!$C$18,Premissas!$C$37*(1+Premissas!$C$58)^$C141,0)</f>
        <v>935.827412342849</v>
      </c>
      <c r="I141" s="22" t="n">
        <f aca="false">IF($A141&gt;=Premissas!$C$20,Premissas!$C$38*(1+Premissas!$C$58)^$C141,0)</f>
        <v>436.71945909333</v>
      </c>
      <c r="J141" s="22" t="n">
        <f aca="false">IF($A141&gt;=Premissas!$C$20,Premissas!$C$39*(1+Premissas!$C$58)^$C141,0)</f>
        <v>233.956853085712</v>
      </c>
      <c r="K141" s="22" t="n">
        <f aca="false">IF($A141&gt;=Premissas!$C$20,MAX(0,E141-F141-G141-H141)*Premissas!$C$41,0)</f>
        <v>1019.11605204136</v>
      </c>
      <c r="L141" s="22" t="n">
        <f aca="false">E141-F141-G141-H141-I141-J141-K141</f>
        <v>2016.08418865728</v>
      </c>
      <c r="M141" s="22" t="n">
        <f aca="false">($A141=Premissas!$C$18)*Premissas!$C$26*Premissas!$C$60</f>
        <v>0</v>
      </c>
      <c r="N141" s="22" t="n">
        <f aca="false">IF(AND($A141&gt;=Premissas!$C$18,$A141&lt;Premissas!$C$20),Premissas!$C$27/MAX(1,Premissas!$C$19),0)</f>
        <v>0</v>
      </c>
      <c r="O141" s="22" t="n">
        <f aca="false">IF($A141&gt;=Premissas!$C$18,Premissas!$C$60*(1+Premissas!$C$59)^((YEAR($A141)-YEAR(Premissas!$C$18))*12+MONTH($A141)-MONTH(Premissas!$C$18)),"")</f>
        <v>598409.477699673</v>
      </c>
      <c r="P141" s="31" t="n">
        <f aca="false">(1+IF(YEAR($A141)&lt;=2026,Premissas!$C$49,IF(YEAR($A141)=2027,Premissas!$C$50,IF(YEAR($A141)=2028,Premissas!$C$51,Premissas!$C$52)))*(1-Premissas!$C$53))^(1/12)-1</f>
        <v>0.00682149336596227</v>
      </c>
      <c r="Q141" s="22" t="n">
        <f aca="false">($A141=Premissas!$C$16)*Premissas!$C$13</f>
        <v>0</v>
      </c>
      <c r="R141" s="22" t="n">
        <f aca="false">L141-M141-N141-Q141</f>
        <v>2016.08418865728</v>
      </c>
      <c r="S141" s="22" t="n">
        <f aca="false">S140+R141</f>
        <v>-151628.069471544</v>
      </c>
      <c r="T141" s="22" t="n">
        <f aca="false">IF($A141&gt;=Premissas!$C$18,O141*(1-Premissas!$C$45)-Premissas!$C$46*MAX(0,O141*(1-Premissas!$C$45)-(SUM($Q$5:$Q$355)+Premissas!$C$26*Premissas!$C$60)),"")</f>
        <v>518099.181028785</v>
      </c>
      <c r="U141" s="22" t="n">
        <f aca="false">IF($A141&gt;=Premissas!$C$18,S141+T141,"")</f>
        <v>366471.111557241</v>
      </c>
      <c r="V141" s="22" t="n">
        <f aca="false">V140*(1+$P141)-R141</f>
        <v>547483.675761877</v>
      </c>
      <c r="W141" s="22" t="n">
        <f aca="false">($A141=Premissas!$C$16)*Premissas!$C$9</f>
        <v>0</v>
      </c>
      <c r="X141" s="22" t="n">
        <f aca="false">L141-M141-N141-W141</f>
        <v>2016.08418865728</v>
      </c>
      <c r="Y141" s="22" t="n">
        <f aca="false">Y140+X141</f>
        <v>-182556.069471544</v>
      </c>
      <c r="Z141" s="22" t="n">
        <f aca="false">IF($A141&gt;=Premissas!$C$18,O141*(1-Premissas!$C$45)-Premissas!$C$46*MAX(0,O141*(1-Premissas!$C$45)-(SUM($W$5:$W$355)+Premissas!$C$26*Premissas!$C$60)),"")</f>
        <v>522738.381028785</v>
      </c>
      <c r="AA141" s="22" t="n">
        <f aca="false">IF($A141&gt;=Premissas!$C$18,Y141+Z141,"")</f>
        <v>340182.311557241</v>
      </c>
      <c r="AB141" s="22" t="n">
        <f aca="false">AB140*(1+$P141)-X141</f>
        <v>628009.440058521</v>
      </c>
      <c r="AC141" s="22" t="n">
        <f aca="false">AND($A141&gt;=Premissas!$C$16,$A141&lt;EDATE(Premissas!$C$16,3))*Premissas!$C$10/3*(1+Premissas!$C$56)^$C141</f>
        <v>0</v>
      </c>
      <c r="AD141" s="22" t="n">
        <f aca="false">L141-M141-N141-AC141</f>
        <v>2016.08418865728</v>
      </c>
      <c r="AE141" s="22" t="n">
        <f aca="false">AE140+AD141</f>
        <v>-190176.533351569</v>
      </c>
      <c r="AF141" s="22" t="n">
        <f aca="false">IF($A141&gt;=Premissas!$C$18,O141*(1-Premissas!$C$45)-Premissas!$C$46*MAX(0,O141*(1-Premissas!$C$45)-(SUM($AC$5:$AC$355)+Premissas!$C$26*Premissas!$C$60)),"")</f>
        <v>523881.450610788</v>
      </c>
      <c r="AG141" s="22" t="n">
        <f aca="false">IF($A141&gt;=Premissas!$C$18,AE141+AF141,"")</f>
        <v>333704.91725922</v>
      </c>
      <c r="AH141" s="22" t="n">
        <f aca="false">AH140*(1+$P141)-AD141</f>
        <v>640845.184760663</v>
      </c>
      <c r="AI141" s="22" t="n">
        <f aca="false">($A141=Premissas!$C$16)*0.2*Premissas!$C$11+AND($A141&gt;Premissas!$C$16,$A141&lt;=EDATE(Premissas!$C$16,43))*0.8*Premissas!$C$11/43*(1+Premissas!$C$56)^$C141</f>
        <v>0</v>
      </c>
      <c r="AJ141" s="22" t="n">
        <f aca="false">L141-M141-N141-AI141</f>
        <v>2016.08418865728</v>
      </c>
      <c r="AK141" s="22" t="n">
        <f aca="false">AK140+AJ141</f>
        <v>-236041.018769631</v>
      </c>
      <c r="AL141" s="22" t="n">
        <f aca="false">IF($A141&gt;=Premissas!$C$18,O141*(1-Premissas!$C$45)-Premissas!$C$46*MAX(0,O141*(1-Premissas!$C$45)-(SUM($AI$5:$AI$355)+Premissas!$C$26*Premissas!$C$60)),"")</f>
        <v>530761.123423498</v>
      </c>
      <c r="AM141" s="22" t="n">
        <f aca="false">IF($A141&gt;=Premissas!$C$18,AK141+AL141,"")</f>
        <v>294720.104653867</v>
      </c>
      <c r="AN141" s="22" t="n">
        <f aca="false">AN140*(1+$P141)-AJ141</f>
        <v>652821.669432888</v>
      </c>
      <c r="AO141" s="22" t="n">
        <f aca="false">V141+S141</f>
        <v>395855.606290332</v>
      </c>
    </row>
    <row r="142" customFormat="false" ht="15" hidden="false" customHeight="false" outlineLevel="0" collapsed="false">
      <c r="A142" s="26" t="n">
        <f aca="false">DATE(YEAR(A141),MONTH(A141)+1,1)</f>
        <v>50465</v>
      </c>
      <c r="B142" s="22" t="str">
        <f aca="false">IF($A142&lt;Premissas!$C$18,"Obra",IF($A142&lt;Premissas!$C$20,"Entrega/mobília","Airbnb"))</f>
        <v>Airbnb</v>
      </c>
      <c r="C142" s="36" t="n">
        <f aca="false">(YEAR($A142)-YEAR(Premissas!$C$16))*12+MONTH($A142)-MONTH(Premissas!$C$16)</f>
        <v>137</v>
      </c>
      <c r="D142" s="33" t="n">
        <f aca="false">IF($A142&gt;=Premissas!$C$20,Premissas!$C$31*IF(((YEAR($A142)-YEAR(Premissas!$C$20))*12+MONTH($A142)-MONTH(Premissas!$C$20))&lt;Premissas!$C$33,Premissas!$C$34,1),0)</f>
        <v>0.62</v>
      </c>
      <c r="E142" s="22" t="n">
        <f aca="false">D142*Premissas!$C$30*Premissas!$C$32*(1+Premissas!$C$58)^$C142</f>
        <v>7276.40577523229</v>
      </c>
      <c r="F142" s="22" t="n">
        <f aca="false">E142*Premissas!$C$35</f>
        <v>1164.22492403717</v>
      </c>
      <c r="G142" s="22" t="n">
        <f aca="false">E142*Premissas!$C$36</f>
        <v>1455.28115504646</v>
      </c>
      <c r="H142" s="22" t="n">
        <f aca="false">IF($A142&gt;=Premissas!$C$18,Premissas!$C$37*(1+Premissas!$C$58)^$C142,0)</f>
        <v>938.891067771908</v>
      </c>
      <c r="I142" s="22" t="n">
        <f aca="false">IF($A142&gt;=Premissas!$C$20,Premissas!$C$38*(1+Premissas!$C$58)^$C142,0)</f>
        <v>438.149164960224</v>
      </c>
      <c r="J142" s="22" t="n">
        <f aca="false">IF($A142&gt;=Premissas!$C$20,Premissas!$C$39*(1+Premissas!$C$58)^$C142,0)</f>
        <v>234.722766942977</v>
      </c>
      <c r="K142" s="22" t="n">
        <f aca="false">IF($A142&gt;=Premissas!$C$20,MAX(0,E142-F142-G142-H142)*Premissas!$C$41,0)</f>
        <v>1022.45237280361</v>
      </c>
      <c r="L142" s="22" t="n">
        <f aca="false">E142-F142-G142-H142-I142-J142-K142</f>
        <v>2022.68432366995</v>
      </c>
      <c r="M142" s="22" t="n">
        <f aca="false">($A142=Premissas!$C$18)*Premissas!$C$26*Premissas!$C$60</f>
        <v>0</v>
      </c>
      <c r="N142" s="22" t="n">
        <f aca="false">IF(AND($A142&gt;=Premissas!$C$18,$A142&lt;Premissas!$C$20),Premissas!$C$27/MAX(1,Premissas!$C$19),0)</f>
        <v>0</v>
      </c>
      <c r="O142" s="22" t="n">
        <f aca="false">IF($A142&gt;=Premissas!$C$18,Premissas!$C$60*(1+Premissas!$C$59)^((YEAR($A142)-YEAR(Premissas!$C$18))*12+MONTH($A142)-MONTH(Premissas!$C$18)),"")</f>
        <v>600847.471985129</v>
      </c>
      <c r="P142" s="31" t="n">
        <f aca="false">(1+IF(YEAR($A142)&lt;=2026,Premissas!$C$49,IF(YEAR($A142)=2027,Premissas!$C$50,IF(YEAR($A142)=2028,Premissas!$C$51,Premissas!$C$52)))*(1-Premissas!$C$53))^(1/12)-1</f>
        <v>0.00682149336596227</v>
      </c>
      <c r="Q142" s="22" t="n">
        <f aca="false">($A142=Premissas!$C$16)*Premissas!$C$13</f>
        <v>0</v>
      </c>
      <c r="R142" s="22" t="n">
        <f aca="false">L142-M142-N142-Q142</f>
        <v>2022.68432366995</v>
      </c>
      <c r="S142" s="22" t="n">
        <f aca="false">S141+R142</f>
        <v>-149605.385147874</v>
      </c>
      <c r="T142" s="22" t="n">
        <f aca="false">IF($A142&gt;=Premissas!$C$18,O142*(1-Premissas!$C$45)-Premissas!$C$46*MAX(0,O142*(1-Premissas!$C$45)-(SUM($Q$5:$Q$355)+Premissas!$C$26*Premissas!$C$60)),"")</f>
        <v>520047.138462865</v>
      </c>
      <c r="U142" s="22" t="n">
        <f aca="false">IF($A142&gt;=Premissas!$C$18,S142+T142,"")</f>
        <v>370441.75331499</v>
      </c>
      <c r="V142" s="22" t="n">
        <f aca="false">V141*(1+$P142)-R142</f>
        <v>549195.647700389</v>
      </c>
      <c r="W142" s="22" t="n">
        <f aca="false">($A142=Premissas!$C$16)*Premissas!$C$9</f>
        <v>0</v>
      </c>
      <c r="X142" s="22" t="n">
        <f aca="false">L142-M142-N142-W142</f>
        <v>2022.68432366995</v>
      </c>
      <c r="Y142" s="22" t="n">
        <f aca="false">Y141+X142</f>
        <v>-180533.385147874</v>
      </c>
      <c r="Z142" s="22" t="n">
        <f aca="false">IF($A142&gt;=Premissas!$C$18,O142*(1-Premissas!$C$45)-Premissas!$C$46*MAX(0,O142*(1-Premissas!$C$45)-(SUM($W$5:$W$355)+Premissas!$C$26*Premissas!$C$60)),"")</f>
        <v>524686.338462865</v>
      </c>
      <c r="AA142" s="22" t="n">
        <f aca="false">IF($A142&gt;=Premissas!$C$18,Y142+Z142,"")</f>
        <v>344152.953314991</v>
      </c>
      <c r="AB142" s="22" t="n">
        <f aca="false">AB141*(1+$P142)-X142</f>
        <v>630270.717963972</v>
      </c>
      <c r="AC142" s="22" t="n">
        <f aca="false">AND($A142&gt;=Premissas!$C$16,$A142&lt;EDATE(Premissas!$C$16,3))*Premissas!$C$10/3*(1+Premissas!$C$56)^$C142</f>
        <v>0</v>
      </c>
      <c r="AD142" s="22" t="n">
        <f aca="false">L142-M142-N142-AC142</f>
        <v>2022.68432366995</v>
      </c>
      <c r="AE142" s="22" t="n">
        <f aca="false">AE141+AD142</f>
        <v>-188153.849027899</v>
      </c>
      <c r="AF142" s="22" t="n">
        <f aca="false">IF($A142&gt;=Premissas!$C$18,O142*(1-Premissas!$C$45)-Premissas!$C$46*MAX(0,O142*(1-Premissas!$C$45)-(SUM($AC$5:$AC$355)+Premissas!$C$26*Premissas!$C$60)),"")</f>
        <v>525829.408044868</v>
      </c>
      <c r="AG142" s="22" t="n">
        <f aca="false">IF($A142&gt;=Premissas!$C$18,AE142+AF142,"")</f>
        <v>337675.559016969</v>
      </c>
      <c r="AH142" s="22" t="n">
        <f aca="false">AH141*(1+$P142)-AD142</f>
        <v>643194.021613446</v>
      </c>
      <c r="AI142" s="22" t="n">
        <f aca="false">($A142=Premissas!$C$16)*0.2*Premissas!$C$11+AND($A142&gt;Premissas!$C$16,$A142&lt;=EDATE(Premissas!$C$16,43))*0.8*Premissas!$C$11/43*(1+Premissas!$C$56)^$C142</f>
        <v>0</v>
      </c>
      <c r="AJ142" s="22" t="n">
        <f aca="false">L142-M142-N142-AI142</f>
        <v>2022.68432366995</v>
      </c>
      <c r="AK142" s="22" t="n">
        <f aca="false">AK141+AJ142</f>
        <v>-234018.334445961</v>
      </c>
      <c r="AL142" s="22" t="n">
        <f aca="false">IF($A142&gt;=Premissas!$C$18,O142*(1-Premissas!$C$45)-Premissas!$C$46*MAX(0,O142*(1-Premissas!$C$45)-(SUM($AI$5:$AI$355)+Premissas!$C$26*Premissas!$C$60)),"")</f>
        <v>532709.080857578</v>
      </c>
      <c r="AM142" s="22" t="n">
        <f aca="false">IF($A142&gt;=Premissas!$C$18,AK142+AL142,"")</f>
        <v>298690.746411617</v>
      </c>
      <c r="AN142" s="22" t="n">
        <f aca="false">AN141*(1+$P142)-AJ142</f>
        <v>655252.203796411</v>
      </c>
      <c r="AO142" s="22" t="n">
        <f aca="false">V142+S142</f>
        <v>399590.262552515</v>
      </c>
    </row>
    <row r="143" customFormat="false" ht="15" hidden="false" customHeight="false" outlineLevel="0" collapsed="false">
      <c r="A143" s="26" t="n">
        <f aca="false">DATE(YEAR(A142),MONTH(A142)+1,1)</f>
        <v>50496</v>
      </c>
      <c r="B143" s="22" t="str">
        <f aca="false">IF($A143&lt;Premissas!$C$18,"Obra",IF($A143&lt;Premissas!$C$20,"Entrega/mobília","Airbnb"))</f>
        <v>Airbnb</v>
      </c>
      <c r="C143" s="36" t="n">
        <f aca="false">(YEAR($A143)-YEAR(Premissas!$C$16))*12+MONTH($A143)-MONTH(Premissas!$C$16)</f>
        <v>138</v>
      </c>
      <c r="D143" s="33" t="n">
        <f aca="false">IF($A143&gt;=Premissas!$C$20,Premissas!$C$31*IF(((YEAR($A143)-YEAR(Premissas!$C$20))*12+MONTH($A143)-MONTH(Premissas!$C$20))&lt;Premissas!$C$33,Premissas!$C$34,1),0)</f>
        <v>0.62</v>
      </c>
      <c r="E143" s="22" t="n">
        <f aca="false">D143*Premissas!$C$30*Premissas!$C$32*(1+Premissas!$C$58)^$C143</f>
        <v>7300.22683429009</v>
      </c>
      <c r="F143" s="22" t="n">
        <f aca="false">E143*Premissas!$C$35</f>
        <v>1168.03629348641</v>
      </c>
      <c r="G143" s="22" t="n">
        <f aca="false">E143*Premissas!$C$36</f>
        <v>1460.04536685802</v>
      </c>
      <c r="H143" s="22" t="n">
        <f aca="false">IF($A143&gt;=Premissas!$C$18,Premissas!$C$37*(1+Premissas!$C$58)^$C143,0)</f>
        <v>941.964752811624</v>
      </c>
      <c r="I143" s="22" t="n">
        <f aca="false">IF($A143&gt;=Premissas!$C$20,Premissas!$C$38*(1+Premissas!$C$58)^$C143,0)</f>
        <v>439.583551312091</v>
      </c>
      <c r="J143" s="22" t="n">
        <f aca="false">IF($A143&gt;=Premissas!$C$20,Premissas!$C$39*(1+Premissas!$C$58)^$C143,0)</f>
        <v>235.491188202906</v>
      </c>
      <c r="K143" s="22" t="n">
        <f aca="false">IF($A143&gt;=Premissas!$C$20,MAX(0,E143-F143-G143-H143)*Premissas!$C$41,0)</f>
        <v>1025.79961581186</v>
      </c>
      <c r="L143" s="22" t="n">
        <f aca="false">E143-F143-G143-H143-I143-J143-K143</f>
        <v>2029.30606580718</v>
      </c>
      <c r="M143" s="22" t="n">
        <f aca="false">($A143=Premissas!$C$18)*Premissas!$C$26*Premissas!$C$60</f>
        <v>0</v>
      </c>
      <c r="N143" s="22" t="n">
        <f aca="false">IF(AND($A143&gt;=Premissas!$C$18,$A143&lt;Premissas!$C$20),Premissas!$C$27/MAX(1,Premissas!$C$19),0)</f>
        <v>0</v>
      </c>
      <c r="O143" s="22" t="n">
        <f aca="false">IF($A143&gt;=Premissas!$C$18,Premissas!$C$60*(1+Premissas!$C$59)^((YEAR($A143)-YEAR(Premissas!$C$18))*12+MONTH($A143)-MONTH(Premissas!$C$18)),"")</f>
        <v>603295.398961089</v>
      </c>
      <c r="P143" s="31" t="n">
        <f aca="false">(1+IF(YEAR($A143)&lt;=2026,Premissas!$C$49,IF(YEAR($A143)=2027,Premissas!$C$50,IF(YEAR($A143)=2028,Premissas!$C$51,Premissas!$C$52)))*(1-Premissas!$C$53))^(1/12)-1</f>
        <v>0.00682149336596227</v>
      </c>
      <c r="Q143" s="22" t="n">
        <f aca="false">($A143=Premissas!$C$16)*Premissas!$C$13</f>
        <v>0</v>
      </c>
      <c r="R143" s="22" t="n">
        <f aca="false">L143-M143-N143-Q143</f>
        <v>2029.30606580718</v>
      </c>
      <c r="S143" s="22" t="n">
        <f aca="false">S142+R143</f>
        <v>-147576.079082067</v>
      </c>
      <c r="T143" s="22" t="n">
        <f aca="false">IF($A143&gt;=Premissas!$C$18,O143*(1-Premissas!$C$45)-Premissas!$C$46*MAX(0,O143*(1-Premissas!$C$45)-(SUM($Q$5:$Q$355)+Premissas!$C$26*Premissas!$C$60)),"")</f>
        <v>522003.032116656</v>
      </c>
      <c r="U143" s="22" t="n">
        <f aca="false">IF($A143&gt;=Premissas!$C$18,S143+T143,"")</f>
        <v>374426.953034589</v>
      </c>
      <c r="V143" s="22" t="n">
        <f aca="false">V142*(1+$P143)-R143</f>
        <v>550912.676101985</v>
      </c>
      <c r="W143" s="22" t="n">
        <f aca="false">($A143=Premissas!$C$16)*Premissas!$C$9</f>
        <v>0</v>
      </c>
      <c r="X143" s="22" t="n">
        <f aca="false">L143-M143-N143-W143</f>
        <v>2029.30606580718</v>
      </c>
      <c r="Y143" s="22" t="n">
        <f aca="false">Y142+X143</f>
        <v>-178504.079082067</v>
      </c>
      <c r="Z143" s="22" t="n">
        <f aca="false">IF($A143&gt;=Premissas!$C$18,O143*(1-Premissas!$C$45)-Premissas!$C$46*MAX(0,O143*(1-Premissas!$C$45)-(SUM($W$5:$W$355)+Premissas!$C$26*Premissas!$C$60)),"")</f>
        <v>526642.232116656</v>
      </c>
      <c r="AA143" s="22" t="n">
        <f aca="false">IF($A143&gt;=Premissas!$C$18,Y143+Z143,"")</f>
        <v>348138.15303459</v>
      </c>
      <c r="AB143" s="22" t="n">
        <f aca="false">AB142*(1+$P143)-X143</f>
        <v>632540.799419517</v>
      </c>
      <c r="AC143" s="22" t="n">
        <f aca="false">AND($A143&gt;=Premissas!$C$16,$A143&lt;EDATE(Premissas!$C$16,3))*Premissas!$C$10/3*(1+Premissas!$C$56)^$C143</f>
        <v>0</v>
      </c>
      <c r="AD143" s="22" t="n">
        <f aca="false">L143-M143-N143-AC143</f>
        <v>2029.30606580718</v>
      </c>
      <c r="AE143" s="22" t="n">
        <f aca="false">AE142+AD143</f>
        <v>-186124.542962092</v>
      </c>
      <c r="AF143" s="22" t="n">
        <f aca="false">IF($A143&gt;=Premissas!$C$18,O143*(1-Premissas!$C$45)-Premissas!$C$46*MAX(0,O143*(1-Premissas!$C$45)-(SUM($AC$5:$AC$355)+Premissas!$C$26*Premissas!$C$60)),"")</f>
        <v>527785.30169866</v>
      </c>
      <c r="AG143" s="22" t="n">
        <f aca="false">IF($A143&gt;=Premissas!$C$18,AE143+AF143,"")</f>
        <v>341660.758736568</v>
      </c>
      <c r="AH143" s="22" t="n">
        <f aca="false">AH142*(1+$P143)-AD143</f>
        <v>645552.259299102</v>
      </c>
      <c r="AI143" s="22" t="n">
        <f aca="false">($A143=Premissas!$C$16)*0.2*Premissas!$C$11+AND($A143&gt;Premissas!$C$16,$A143&lt;=EDATE(Premissas!$C$16,43))*0.8*Premissas!$C$11/43*(1+Premissas!$C$56)^$C143</f>
        <v>0</v>
      </c>
      <c r="AJ143" s="22" t="n">
        <f aca="false">L143-M143-N143-AI143</f>
        <v>2029.30606580718</v>
      </c>
      <c r="AK143" s="22" t="n">
        <f aca="false">AK142+AJ143</f>
        <v>-231989.028380154</v>
      </c>
      <c r="AL143" s="22" t="n">
        <f aca="false">IF($A143&gt;=Premissas!$C$18,O143*(1-Premissas!$C$45)-Premissas!$C$46*MAX(0,O143*(1-Premissas!$C$45)-(SUM($AI$5:$AI$355)+Premissas!$C$26*Premissas!$C$60)),"")</f>
        <v>534664.974511369</v>
      </c>
      <c r="AM143" s="22" t="n">
        <f aca="false">IF($A143&gt;=Premissas!$C$18,AK143+AL143,"")</f>
        <v>302675.946131216</v>
      </c>
      <c r="AN143" s="22" t="n">
        <f aca="false">AN142*(1+$P143)-AJ143</f>
        <v>657692.696291833</v>
      </c>
      <c r="AO143" s="22" t="n">
        <f aca="false">V143+S143</f>
        <v>403336.597019918</v>
      </c>
    </row>
    <row r="144" customFormat="false" ht="15" hidden="false" customHeight="false" outlineLevel="0" collapsed="false">
      <c r="A144" s="26" t="n">
        <f aca="false">DATE(YEAR(A143),MONTH(A143)+1,1)</f>
        <v>50526</v>
      </c>
      <c r="B144" s="22" t="str">
        <f aca="false">IF($A144&lt;Premissas!$C$18,"Obra",IF($A144&lt;Premissas!$C$20,"Entrega/mobília","Airbnb"))</f>
        <v>Airbnb</v>
      </c>
      <c r="C144" s="36" t="n">
        <f aca="false">(YEAR($A144)-YEAR(Premissas!$C$16))*12+MONTH($A144)-MONTH(Premissas!$C$16)</f>
        <v>139</v>
      </c>
      <c r="D144" s="33" t="n">
        <f aca="false">IF($A144&gt;=Premissas!$C$20,Premissas!$C$31*IF(((YEAR($A144)-YEAR(Premissas!$C$20))*12+MONTH($A144)-MONTH(Premissas!$C$20))&lt;Premissas!$C$33,Premissas!$C$34,1),0)</f>
        <v>0.62</v>
      </c>
      <c r="E144" s="22" t="n">
        <f aca="false">D144*Premissas!$C$30*Premissas!$C$32*(1+Premissas!$C$58)^$C144</f>
        <v>7324.12587729658</v>
      </c>
      <c r="F144" s="22" t="n">
        <f aca="false">E144*Premissas!$C$35</f>
        <v>1171.86014036745</v>
      </c>
      <c r="G144" s="22" t="n">
        <f aca="false">E144*Premissas!$C$36</f>
        <v>1464.82517545932</v>
      </c>
      <c r="H144" s="22" t="n">
        <f aca="false">IF($A144&gt;=Premissas!$C$18,Premissas!$C$37*(1+Premissas!$C$58)^$C144,0)</f>
        <v>945.048500296333</v>
      </c>
      <c r="I144" s="22" t="n">
        <f aca="false">IF($A144&gt;=Premissas!$C$20,Premissas!$C$38*(1+Premissas!$C$58)^$C144,0)</f>
        <v>441.022633471622</v>
      </c>
      <c r="J144" s="22" t="n">
        <f aca="false">IF($A144&gt;=Premissas!$C$20,Premissas!$C$39*(1+Premissas!$C$58)^$C144,0)</f>
        <v>236.262125074083</v>
      </c>
      <c r="K144" s="22" t="n">
        <f aca="false">IF($A144&gt;=Premissas!$C$20,MAX(0,E144-F144-G144-H144)*Premissas!$C$41,0)</f>
        <v>1029.15781682271</v>
      </c>
      <c r="L144" s="22" t="n">
        <f aca="false">E144-F144-G144-H144-I144-J144-K144</f>
        <v>2035.94948580507</v>
      </c>
      <c r="M144" s="22" t="n">
        <f aca="false">($A144=Premissas!$C$18)*Premissas!$C$26*Premissas!$C$60</f>
        <v>0</v>
      </c>
      <c r="N144" s="22" t="n">
        <f aca="false">IF(AND($A144&gt;=Premissas!$C$18,$A144&lt;Premissas!$C$20),Premissas!$C$27/MAX(1,Premissas!$C$19),0)</f>
        <v>0</v>
      </c>
      <c r="O144" s="22" t="n">
        <f aca="false">IF($A144&gt;=Premissas!$C$18,Premissas!$C$60*(1+Premissas!$C$59)^((YEAR($A144)-YEAR(Premissas!$C$18))*12+MONTH($A144)-MONTH(Premissas!$C$18)),"")</f>
        <v>605753.299094562</v>
      </c>
      <c r="P144" s="31" t="n">
        <f aca="false">(1+IF(YEAR($A144)&lt;=2026,Premissas!$C$49,IF(YEAR($A144)=2027,Premissas!$C$50,IF(YEAR($A144)=2028,Premissas!$C$51,Premissas!$C$52)))*(1-Premissas!$C$53))^(1/12)-1</f>
        <v>0.00682149336596227</v>
      </c>
      <c r="Q144" s="22" t="n">
        <f aca="false">($A144=Premissas!$C$16)*Premissas!$C$13</f>
        <v>0</v>
      </c>
      <c r="R144" s="22" t="n">
        <f aca="false">L144-M144-N144-Q144</f>
        <v>2035.94948580507</v>
      </c>
      <c r="S144" s="22" t="n">
        <f aca="false">S143+R144</f>
        <v>-145540.129596262</v>
      </c>
      <c r="T144" s="22" t="n">
        <f aca="false">IF($A144&gt;=Premissas!$C$18,O144*(1-Premissas!$C$45)-Premissas!$C$46*MAX(0,O144*(1-Premissas!$C$45)-(SUM($Q$5:$Q$355)+Premissas!$C$26*Premissas!$C$60)),"")</f>
        <v>523966.894323301</v>
      </c>
      <c r="U144" s="22" t="n">
        <f aca="false">IF($A144&gt;=Premissas!$C$18,S144+T144,"")</f>
        <v>378426.764727039</v>
      </c>
      <c r="V144" s="22" t="n">
        <f aca="false">V143*(1+$P144)-R144</f>
        <v>552634.773781434</v>
      </c>
      <c r="W144" s="22" t="n">
        <f aca="false">($A144=Premissas!$C$16)*Premissas!$C$9</f>
        <v>0</v>
      </c>
      <c r="X144" s="22" t="n">
        <f aca="false">L144-M144-N144-W144</f>
        <v>2035.94948580507</v>
      </c>
      <c r="Y144" s="22" t="n">
        <f aca="false">Y143+X144</f>
        <v>-176468.129596262</v>
      </c>
      <c r="Z144" s="22" t="n">
        <f aca="false">IF($A144&gt;=Premissas!$C$18,O144*(1-Premissas!$C$45)-Premissas!$C$46*MAX(0,O144*(1-Premissas!$C$45)-(SUM($W$5:$W$355)+Premissas!$C$26*Premissas!$C$60)),"")</f>
        <v>528606.094323301</v>
      </c>
      <c r="AA144" s="22" t="n">
        <f aca="false">IF($A144&gt;=Premissas!$C$18,Y144+Z144,"")</f>
        <v>352137.96472704</v>
      </c>
      <c r="AB144" s="22" t="n">
        <f aca="false">AB143*(1+$P144)-X144</f>
        <v>634819.722800652</v>
      </c>
      <c r="AC144" s="22" t="n">
        <f aca="false">AND($A144&gt;=Premissas!$C$16,$A144&lt;EDATE(Premissas!$C$16,3))*Premissas!$C$10/3*(1+Premissas!$C$56)^$C144</f>
        <v>0</v>
      </c>
      <c r="AD144" s="22" t="n">
        <f aca="false">L144-M144-N144-AC144</f>
        <v>2035.94948580507</v>
      </c>
      <c r="AE144" s="22" t="n">
        <f aca="false">AE143+AD144</f>
        <v>-184088.593476287</v>
      </c>
      <c r="AF144" s="22" t="n">
        <f aca="false">IF($A144&gt;=Premissas!$C$18,O144*(1-Premissas!$C$45)-Premissas!$C$46*MAX(0,O144*(1-Premissas!$C$45)-(SUM($AC$5:$AC$355)+Premissas!$C$26*Premissas!$C$60)),"")</f>
        <v>529749.163905305</v>
      </c>
      <c r="AG144" s="22" t="n">
        <f aca="false">IF($A144&gt;=Premissas!$C$18,AE144+AF144,"")</f>
        <v>345660.570429018</v>
      </c>
      <c r="AH144" s="22" t="n">
        <f aca="false">AH143*(1+$P144)-AD144</f>
        <v>647919.940267487</v>
      </c>
      <c r="AI144" s="22" t="n">
        <f aca="false">($A144=Premissas!$C$16)*0.2*Premissas!$C$11+AND($A144&gt;Premissas!$C$16,$A144&lt;=EDATE(Premissas!$C$16,43))*0.8*Premissas!$C$11/43*(1+Premissas!$C$56)^$C144</f>
        <v>0</v>
      </c>
      <c r="AJ144" s="22" t="n">
        <f aca="false">L144-M144-N144-AI144</f>
        <v>2035.94948580507</v>
      </c>
      <c r="AK144" s="22" t="n">
        <f aca="false">AK143+AJ144</f>
        <v>-229953.078894349</v>
      </c>
      <c r="AL144" s="22" t="n">
        <f aca="false">IF($A144&gt;=Premissas!$C$18,O144*(1-Premissas!$C$45)-Premissas!$C$46*MAX(0,O144*(1-Premissas!$C$45)-(SUM($AI$5:$AI$355)+Premissas!$C$26*Premissas!$C$60)),"")</f>
        <v>536628.836718014</v>
      </c>
      <c r="AM144" s="22" t="n">
        <f aca="false">IF($A144&gt;=Premissas!$C$18,AK144+AL144,"")</f>
        <v>306675.757823666</v>
      </c>
      <c r="AN144" s="22" t="n">
        <f aca="false">AN143*(1+$P144)-AJ144</f>
        <v>660143.193170625</v>
      </c>
      <c r="AO144" s="22" t="n">
        <f aca="false">V144+S144</f>
        <v>407094.644185173</v>
      </c>
    </row>
    <row r="145" customFormat="false" ht="15" hidden="false" customHeight="false" outlineLevel="0" collapsed="false">
      <c r="A145" s="26" t="n">
        <f aca="false">DATE(YEAR(A144),MONTH(A144)+1,1)</f>
        <v>50557</v>
      </c>
      <c r="B145" s="22" t="str">
        <f aca="false">IF($A145&lt;Premissas!$C$18,"Obra",IF($A145&lt;Premissas!$C$20,"Entrega/mobília","Airbnb"))</f>
        <v>Airbnb</v>
      </c>
      <c r="C145" s="36" t="n">
        <f aca="false">(YEAR($A145)-YEAR(Premissas!$C$16))*12+MONTH($A145)-MONTH(Premissas!$C$16)</f>
        <v>140</v>
      </c>
      <c r="D145" s="33" t="n">
        <f aca="false">IF($A145&gt;=Premissas!$C$20,Premissas!$C$31*IF(((YEAR($A145)-YEAR(Premissas!$C$20))*12+MONTH($A145)-MONTH(Premissas!$C$20))&lt;Premissas!$C$33,Premissas!$C$34,1),0)</f>
        <v>0.62</v>
      </c>
      <c r="E145" s="22" t="n">
        <f aca="false">D145*Premissas!$C$30*Premissas!$C$32*(1+Premissas!$C$58)^$C145</f>
        <v>7348.10315955092</v>
      </c>
      <c r="F145" s="22" t="n">
        <f aca="false">E145*Premissas!$C$35</f>
        <v>1175.69650552815</v>
      </c>
      <c r="G145" s="22" t="n">
        <f aca="false">E145*Premissas!$C$36</f>
        <v>1469.62063191018</v>
      </c>
      <c r="H145" s="22" t="n">
        <f aca="false">IF($A145&gt;=Premissas!$C$18,Premissas!$C$37*(1+Premissas!$C$58)^$C145,0)</f>
        <v>948.14234316786</v>
      </c>
      <c r="I145" s="22" t="n">
        <f aca="false">IF($A145&gt;=Premissas!$C$20,Premissas!$C$38*(1+Premissas!$C$58)^$C145,0)</f>
        <v>442.466426811668</v>
      </c>
      <c r="J145" s="22" t="n">
        <f aca="false">IF($A145&gt;=Premissas!$C$20,Premissas!$C$39*(1+Premissas!$C$58)^$C145,0)</f>
        <v>237.035585791965</v>
      </c>
      <c r="K145" s="22" t="n">
        <f aca="false">IF($A145&gt;=Premissas!$C$20,MAX(0,E145-F145-G145-H145)*Premissas!$C$41,0)</f>
        <v>1032.5270117098</v>
      </c>
      <c r="L145" s="22" t="n">
        <f aca="false">E145-F145-G145-H145-I145-J145-K145</f>
        <v>2042.61465463129</v>
      </c>
      <c r="M145" s="22" t="n">
        <f aca="false">($A145=Premissas!$C$18)*Premissas!$C$26*Premissas!$C$60</f>
        <v>0</v>
      </c>
      <c r="N145" s="22" t="n">
        <f aca="false">IF(AND($A145&gt;=Premissas!$C$18,$A145&lt;Premissas!$C$20),Premissas!$C$27/MAX(1,Premissas!$C$19),0)</f>
        <v>0</v>
      </c>
      <c r="O145" s="22" t="n">
        <f aca="false">IF($A145&gt;=Premissas!$C$18,Premissas!$C$60*(1+Premissas!$C$59)^((YEAR($A145)-YEAR(Premissas!$C$18))*12+MONTH($A145)-MONTH(Premissas!$C$18)),"")</f>
        <v>608221.213017427</v>
      </c>
      <c r="P145" s="31" t="n">
        <f aca="false">(1+IF(YEAR($A145)&lt;=2026,Premissas!$C$49,IF(YEAR($A145)=2027,Premissas!$C$50,IF(YEAR($A145)=2028,Premissas!$C$51,Premissas!$C$52)))*(1-Premissas!$C$53))^(1/12)-1</f>
        <v>0.00682149336596227</v>
      </c>
      <c r="Q145" s="22" t="n">
        <f aca="false">($A145=Premissas!$C$16)*Premissas!$C$13</f>
        <v>0</v>
      </c>
      <c r="R145" s="22" t="n">
        <f aca="false">L145-M145-N145-Q145</f>
        <v>2042.61465463129</v>
      </c>
      <c r="S145" s="22" t="n">
        <f aca="false">S144+R145</f>
        <v>-143497.514941631</v>
      </c>
      <c r="T145" s="22" t="n">
        <f aca="false">IF($A145&gt;=Premissas!$C$18,O145*(1-Premissas!$C$45)-Premissas!$C$46*MAX(0,O145*(1-Premissas!$C$45)-(SUM($Q$5:$Q$355)+Premissas!$C$26*Premissas!$C$60)),"")</f>
        <v>525938.75754767</v>
      </c>
      <c r="U145" s="22" t="n">
        <f aca="false">IF($A145&gt;=Premissas!$C$18,S145+T145,"")</f>
        <v>382441.242606039</v>
      </c>
      <c r="V145" s="22" t="n">
        <f aca="false">V144*(1+$P145)-R145</f>
        <v>554361.953569953</v>
      </c>
      <c r="W145" s="22" t="n">
        <f aca="false">($A145=Premissas!$C$16)*Premissas!$C$9</f>
        <v>0</v>
      </c>
      <c r="X145" s="22" t="n">
        <f aca="false">L145-M145-N145-W145</f>
        <v>2042.61465463129</v>
      </c>
      <c r="Y145" s="22" t="n">
        <f aca="false">Y144+X145</f>
        <v>-174425.51494163</v>
      </c>
      <c r="Z145" s="22" t="n">
        <f aca="false">IF($A145&gt;=Premissas!$C$18,O145*(1-Premissas!$C$45)-Premissas!$C$46*MAX(0,O145*(1-Premissas!$C$45)-(SUM($W$5:$W$355)+Premissas!$C$26*Premissas!$C$60)),"")</f>
        <v>530577.95754767</v>
      </c>
      <c r="AA145" s="22" t="n">
        <f aca="false">IF($A145&gt;=Premissas!$C$18,Y145+Z145,"")</f>
        <v>356152.44260604</v>
      </c>
      <c r="AB145" s="22" t="n">
        <f aca="false">AB144*(1+$P145)-X145</f>
        <v>637107.526673688</v>
      </c>
      <c r="AC145" s="22" t="n">
        <f aca="false">AND($A145&gt;=Premissas!$C$16,$A145&lt;EDATE(Premissas!$C$16,3))*Premissas!$C$10/3*(1+Premissas!$C$56)^$C145</f>
        <v>0</v>
      </c>
      <c r="AD145" s="22" t="n">
        <f aca="false">L145-M145-N145-AC145</f>
        <v>2042.61465463129</v>
      </c>
      <c r="AE145" s="22" t="n">
        <f aca="false">AE144+AD145</f>
        <v>-182045.978821655</v>
      </c>
      <c r="AF145" s="22" t="n">
        <f aca="false">IF($A145&gt;=Premissas!$C$18,O145*(1-Premissas!$C$45)-Premissas!$C$46*MAX(0,O145*(1-Premissas!$C$45)-(SUM($AC$5:$AC$355)+Premissas!$C$26*Premissas!$C$60)),"")</f>
        <v>531721.027129674</v>
      </c>
      <c r="AG145" s="22" t="n">
        <f aca="false">IF($A145&gt;=Premissas!$C$18,AE145+AF145,"")</f>
        <v>349675.048308019</v>
      </c>
      <c r="AH145" s="22" t="n">
        <f aca="false">AH144*(1+$P145)-AD145</f>
        <v>650297.107187066</v>
      </c>
      <c r="AI145" s="22" t="n">
        <f aca="false">($A145=Premissas!$C$16)*0.2*Premissas!$C$11+AND($A145&gt;Premissas!$C$16,$A145&lt;=EDATE(Premissas!$C$16,43))*0.8*Premissas!$C$11/43*(1+Premissas!$C$56)^$C145</f>
        <v>0</v>
      </c>
      <c r="AJ145" s="22" t="n">
        <f aca="false">L145-M145-N145-AI145</f>
        <v>2042.61465463129</v>
      </c>
      <c r="AK145" s="22" t="n">
        <f aca="false">AK144+AJ145</f>
        <v>-227910.464239717</v>
      </c>
      <c r="AL145" s="22" t="n">
        <f aca="false">IF($A145&gt;=Premissas!$C$18,O145*(1-Premissas!$C$45)-Premissas!$C$46*MAX(0,O145*(1-Premissas!$C$45)-(SUM($AI$5:$AI$355)+Premissas!$C$26*Premissas!$C$60)),"")</f>
        <v>538600.699942383</v>
      </c>
      <c r="AM145" s="22" t="n">
        <f aca="false">IF($A145&gt;=Premissas!$C$18,AK145+AL145,"")</f>
        <v>310690.235702666</v>
      </c>
      <c r="AN145" s="22" t="n">
        <f aca="false">AN144*(1+$P145)-AJ145</f>
        <v>662603.740928792</v>
      </c>
      <c r="AO145" s="22" t="n">
        <f aca="false">V145+S145</f>
        <v>410864.438628323</v>
      </c>
    </row>
    <row r="146" customFormat="false" ht="15" hidden="false" customHeight="false" outlineLevel="0" collapsed="false">
      <c r="A146" s="26" t="n">
        <f aca="false">DATE(YEAR(A145),MONTH(A145)+1,1)</f>
        <v>50587</v>
      </c>
      <c r="B146" s="22" t="str">
        <f aca="false">IF($A146&lt;Premissas!$C$18,"Obra",IF($A146&lt;Premissas!$C$20,"Entrega/mobília","Airbnb"))</f>
        <v>Airbnb</v>
      </c>
      <c r="C146" s="36" t="n">
        <f aca="false">(YEAR($A146)-YEAR(Premissas!$C$16))*12+MONTH($A146)-MONTH(Premissas!$C$16)</f>
        <v>141</v>
      </c>
      <c r="D146" s="33" t="n">
        <f aca="false">IF($A146&gt;=Premissas!$C$20,Premissas!$C$31*IF(((YEAR($A146)-YEAR(Premissas!$C$20))*12+MONTH($A146)-MONTH(Premissas!$C$20))&lt;Premissas!$C$33,Premissas!$C$34,1),0)</f>
        <v>0.62</v>
      </c>
      <c r="E146" s="22" t="n">
        <f aca="false">D146*Premissas!$C$30*Premissas!$C$32*(1+Premissas!$C$58)^$C146</f>
        <v>7372.15893718804</v>
      </c>
      <c r="F146" s="22" t="n">
        <f aca="false">E146*Premissas!$C$35</f>
        <v>1179.54542995009</v>
      </c>
      <c r="G146" s="22" t="n">
        <f aca="false">E146*Premissas!$C$36</f>
        <v>1474.43178743761</v>
      </c>
      <c r="H146" s="22" t="n">
        <f aca="false">IF($A146&gt;=Premissas!$C$18,Premissas!$C$37*(1+Premissas!$C$58)^$C146,0)</f>
        <v>951.246314475876</v>
      </c>
      <c r="I146" s="22" t="n">
        <f aca="false">IF($A146&gt;=Premissas!$C$20,Premissas!$C$38*(1+Premissas!$C$58)^$C146,0)</f>
        <v>443.914946755409</v>
      </c>
      <c r="J146" s="22" t="n">
        <f aca="false">IF($A146&gt;=Premissas!$C$20,Premissas!$C$39*(1+Premissas!$C$58)^$C146,0)</f>
        <v>237.811578618969</v>
      </c>
      <c r="K146" s="22" t="n">
        <f aca="false">IF($A146&gt;=Premissas!$C$20,MAX(0,E146-F146-G146-H146)*Premissas!$C$41,0)</f>
        <v>1035.90723646423</v>
      </c>
      <c r="L146" s="22" t="n">
        <f aca="false">E146-F146-G146-H146-I146-J146-K146</f>
        <v>2049.30164348586</v>
      </c>
      <c r="M146" s="22" t="n">
        <f aca="false">($A146=Premissas!$C$18)*Premissas!$C$26*Premissas!$C$60</f>
        <v>0</v>
      </c>
      <c r="N146" s="22" t="n">
        <f aca="false">IF(AND($A146&gt;=Premissas!$C$18,$A146&lt;Premissas!$C$20),Premissas!$C$27/MAX(1,Premissas!$C$19),0)</f>
        <v>0</v>
      </c>
      <c r="O146" s="22" t="n">
        <f aca="false">IF($A146&gt;=Premissas!$C$18,Premissas!$C$60*(1+Premissas!$C$59)^((YEAR($A146)-YEAR(Premissas!$C$18))*12+MONTH($A146)-MONTH(Premissas!$C$18)),"")</f>
        <v>610699.1815271</v>
      </c>
      <c r="P146" s="31" t="n">
        <f aca="false">(1+IF(YEAR($A146)&lt;=2026,Premissas!$C$49,IF(YEAR($A146)=2027,Premissas!$C$50,IF(YEAR($A146)=2028,Premissas!$C$51,Premissas!$C$52)))*(1-Premissas!$C$53))^(1/12)-1</f>
        <v>0.00682149336596227</v>
      </c>
      <c r="Q146" s="22" t="n">
        <f aca="false">($A146=Premissas!$C$16)*Premissas!$C$13</f>
        <v>0</v>
      </c>
      <c r="R146" s="22" t="n">
        <f aca="false">L146-M146-N146-Q146</f>
        <v>2049.30164348586</v>
      </c>
      <c r="S146" s="22" t="n">
        <f aca="false">S145+R146</f>
        <v>-141448.213298145</v>
      </c>
      <c r="T146" s="22" t="n">
        <f aca="false">IF($A146&gt;=Premissas!$C$18,O146*(1-Premissas!$C$45)-Premissas!$C$46*MAX(0,O146*(1-Premissas!$C$45)-(SUM($Q$5:$Q$355)+Premissas!$C$26*Premissas!$C$60)),"")</f>
        <v>527918.654386899</v>
      </c>
      <c r="U146" s="22" t="n">
        <f aca="false">IF($A146&gt;=Premissas!$C$18,S146+T146,"")</f>
        <v>386470.441088755</v>
      </c>
      <c r="V146" s="22" t="n">
        <f aca="false">V145*(1+$P146)-R146</f>
        <v>556094.228315087</v>
      </c>
      <c r="W146" s="22" t="n">
        <f aca="false">($A146=Premissas!$C$16)*Premissas!$C$9</f>
        <v>0</v>
      </c>
      <c r="X146" s="22" t="n">
        <f aca="false">L146-M146-N146-W146</f>
        <v>2049.30164348586</v>
      </c>
      <c r="Y146" s="22" t="n">
        <f aca="false">Y145+X146</f>
        <v>-172376.213298145</v>
      </c>
      <c r="Z146" s="22" t="n">
        <f aca="false">IF($A146&gt;=Premissas!$C$18,O146*(1-Premissas!$C$45)-Premissas!$C$46*MAX(0,O146*(1-Premissas!$C$45)-(SUM($W$5:$W$355)+Premissas!$C$26*Premissas!$C$60)),"")</f>
        <v>532557.854386899</v>
      </c>
      <c r="AA146" s="22" t="n">
        <f aca="false">IF($A146&gt;=Premissas!$C$18,Y146+Z146,"")</f>
        <v>360181.641088755</v>
      </c>
      <c r="AB146" s="22" t="n">
        <f aca="false">AB145*(1+$P146)-X146</f>
        <v>639404.249796811</v>
      </c>
      <c r="AC146" s="22" t="n">
        <f aca="false">AND($A146&gt;=Premissas!$C$16,$A146&lt;EDATE(Premissas!$C$16,3))*Premissas!$C$10/3*(1+Premissas!$C$56)^$C146</f>
        <v>0</v>
      </c>
      <c r="AD146" s="22" t="n">
        <f aca="false">L146-M146-N146-AC146</f>
        <v>2049.30164348586</v>
      </c>
      <c r="AE146" s="22" t="n">
        <f aca="false">AE145+AD146</f>
        <v>-179996.677178169</v>
      </c>
      <c r="AF146" s="22" t="n">
        <f aca="false">IF($A146&gt;=Premissas!$C$18,O146*(1-Premissas!$C$45)-Premissas!$C$46*MAX(0,O146*(1-Premissas!$C$45)-(SUM($AC$5:$AC$355)+Premissas!$C$26*Premissas!$C$60)),"")</f>
        <v>533700.923968903</v>
      </c>
      <c r="AG146" s="22" t="n">
        <f aca="false">IF($A146&gt;=Premissas!$C$18,AE146+AF146,"")</f>
        <v>353704.246790734</v>
      </c>
      <c r="AH146" s="22" t="n">
        <f aca="false">AH145*(1+$P146)-AD146</f>
        <v>652683.802946161</v>
      </c>
      <c r="AI146" s="22" t="n">
        <f aca="false">($A146=Premissas!$C$16)*0.2*Premissas!$C$11+AND($A146&gt;Premissas!$C$16,$A146&lt;=EDATE(Premissas!$C$16,43))*0.8*Premissas!$C$11/43*(1+Premissas!$C$56)^$C146</f>
        <v>0</v>
      </c>
      <c r="AJ146" s="22" t="n">
        <f aca="false">L146-M146-N146-AI146</f>
        <v>2049.30164348586</v>
      </c>
      <c r="AK146" s="22" t="n">
        <f aca="false">AK145+AJ146</f>
        <v>-225861.162596231</v>
      </c>
      <c r="AL146" s="22" t="n">
        <f aca="false">IF($A146&gt;=Premissas!$C$18,O146*(1-Premissas!$C$45)-Premissas!$C$46*MAX(0,O146*(1-Premissas!$C$45)-(SUM($AI$5:$AI$355)+Premissas!$C$26*Premissas!$C$60)),"")</f>
        <v>540580.596781612</v>
      </c>
      <c r="AM146" s="22" t="n">
        <f aca="false">IF($A146&gt;=Premissas!$C$18,AK146+AL146,"")</f>
        <v>314719.434185381</v>
      </c>
      <c r="AN146" s="22" t="n">
        <f aca="false">AN145*(1+$P146)-AJ146</f>
        <v>665074.386308314</v>
      </c>
      <c r="AO146" s="22" t="n">
        <f aca="false">V146+S146</f>
        <v>414646.015016942</v>
      </c>
    </row>
    <row r="147" customFormat="false" ht="15" hidden="false" customHeight="false" outlineLevel="0" collapsed="false">
      <c r="A147" s="26" t="n">
        <f aca="false">DATE(YEAR(A146),MONTH(A146)+1,1)</f>
        <v>50618</v>
      </c>
      <c r="B147" s="22" t="str">
        <f aca="false">IF($A147&lt;Premissas!$C$18,"Obra",IF($A147&lt;Premissas!$C$20,"Entrega/mobília","Airbnb"))</f>
        <v>Airbnb</v>
      </c>
      <c r="C147" s="36" t="n">
        <f aca="false">(YEAR($A147)-YEAR(Premissas!$C$16))*12+MONTH($A147)-MONTH(Premissas!$C$16)</f>
        <v>142</v>
      </c>
      <c r="D147" s="33" t="n">
        <f aca="false">IF($A147&gt;=Premissas!$C$20,Premissas!$C$31*IF(((YEAR($A147)-YEAR(Premissas!$C$20))*12+MONTH($A147)-MONTH(Premissas!$C$20))&lt;Premissas!$C$33,Premissas!$C$34,1),0)</f>
        <v>0.62</v>
      </c>
      <c r="E147" s="22" t="n">
        <f aca="false">D147*Premissas!$C$30*Premissas!$C$32*(1+Premissas!$C$58)^$C147</f>
        <v>7396.29346718141</v>
      </c>
      <c r="F147" s="22" t="n">
        <f aca="false">E147*Premissas!$C$35</f>
        <v>1183.40695474903</v>
      </c>
      <c r="G147" s="22" t="n">
        <f aca="false">E147*Premissas!$C$36</f>
        <v>1479.25869343628</v>
      </c>
      <c r="H147" s="22" t="n">
        <f aca="false">IF($A147&gt;=Premissas!$C$18,Premissas!$C$37*(1+Premissas!$C$58)^$C147,0)</f>
        <v>954.360447378246</v>
      </c>
      <c r="I147" s="22" t="n">
        <f aca="false">IF($A147&gt;=Premissas!$C$20,Premissas!$C$38*(1+Premissas!$C$58)^$C147,0)</f>
        <v>445.368208776515</v>
      </c>
      <c r="J147" s="22" t="n">
        <f aca="false">IF($A147&gt;=Premissas!$C$20,Premissas!$C$39*(1+Premissas!$C$58)^$C147,0)</f>
        <v>238.590111844562</v>
      </c>
      <c r="K147" s="22" t="n">
        <f aca="false">IF($A147&gt;=Premissas!$C$20,MAX(0,E147-F147-G147-H147)*Premissas!$C$41,0)</f>
        <v>1039.29852719491</v>
      </c>
      <c r="L147" s="22" t="n">
        <f aca="false">E147-F147-G147-H147-I147-J147-K147</f>
        <v>2056.01052380187</v>
      </c>
      <c r="M147" s="22" t="n">
        <f aca="false">($A147=Premissas!$C$18)*Premissas!$C$26*Premissas!$C$60</f>
        <v>0</v>
      </c>
      <c r="N147" s="22" t="n">
        <f aca="false">IF(AND($A147&gt;=Premissas!$C$18,$A147&lt;Premissas!$C$20),Premissas!$C$27/MAX(1,Premissas!$C$19),0)</f>
        <v>0</v>
      </c>
      <c r="O147" s="22" t="n">
        <f aca="false">IF($A147&gt;=Premissas!$C$18,Premissas!$C$60*(1+Premissas!$C$59)^((YEAR($A147)-YEAR(Premissas!$C$18))*12+MONTH($A147)-MONTH(Premissas!$C$18)),"")</f>
        <v>613187.245587215</v>
      </c>
      <c r="P147" s="31" t="n">
        <f aca="false">(1+IF(YEAR($A147)&lt;=2026,Premissas!$C$49,IF(YEAR($A147)=2027,Premissas!$C$50,IF(YEAR($A147)=2028,Premissas!$C$51,Premissas!$C$52)))*(1-Premissas!$C$53))^(1/12)-1</f>
        <v>0.00682149336596227</v>
      </c>
      <c r="Q147" s="22" t="n">
        <f aca="false">($A147=Premissas!$C$16)*Premissas!$C$13</f>
        <v>0</v>
      </c>
      <c r="R147" s="22" t="n">
        <f aca="false">L147-M147-N147-Q147</f>
        <v>2056.01052380187</v>
      </c>
      <c r="S147" s="22" t="n">
        <f aca="false">S146+R147</f>
        <v>-139392.202774343</v>
      </c>
      <c r="T147" s="22" t="n">
        <f aca="false">IF($A147&gt;=Premissas!$C$18,O147*(1-Premissas!$C$45)-Premissas!$C$46*MAX(0,O147*(1-Premissas!$C$45)-(SUM($Q$5:$Q$355)+Premissas!$C$26*Premissas!$C$60)),"")</f>
        <v>529906.617570931</v>
      </c>
      <c r="U147" s="22" t="n">
        <f aca="false">IF($A147&gt;=Premissas!$C$18,S147+T147,"")</f>
        <v>390514.414796588</v>
      </c>
      <c r="V147" s="22" t="n">
        <f aca="false">V146*(1+$P147)-R147</f>
        <v>557831.610880586</v>
      </c>
      <c r="W147" s="22" t="n">
        <f aca="false">($A147=Premissas!$C$16)*Premissas!$C$9</f>
        <v>0</v>
      </c>
      <c r="X147" s="22" t="n">
        <f aca="false">L147-M147-N147-W147</f>
        <v>2056.01052380187</v>
      </c>
      <c r="Y147" s="22" t="n">
        <f aca="false">Y146+X147</f>
        <v>-170320.202774343</v>
      </c>
      <c r="Z147" s="22" t="n">
        <f aca="false">IF($A147&gt;=Premissas!$C$18,O147*(1-Premissas!$C$45)-Premissas!$C$46*MAX(0,O147*(1-Premissas!$C$45)-(SUM($W$5:$W$355)+Premissas!$C$26*Premissas!$C$60)),"")</f>
        <v>534545.817570931</v>
      </c>
      <c r="AA147" s="22" t="n">
        <f aca="false">IF($A147&gt;=Premissas!$C$18,Y147+Z147,"")</f>
        <v>364225.614796588</v>
      </c>
      <c r="AB147" s="22" t="n">
        <f aca="false">AB146*(1+$P147)-X147</f>
        <v>641709.931121166</v>
      </c>
      <c r="AC147" s="22" t="n">
        <f aca="false">AND($A147&gt;=Premissas!$C$16,$A147&lt;EDATE(Premissas!$C$16,3))*Premissas!$C$10/3*(1+Premissas!$C$56)^$C147</f>
        <v>0</v>
      </c>
      <c r="AD147" s="22" t="n">
        <f aca="false">L147-M147-N147-AC147</f>
        <v>2056.01052380187</v>
      </c>
      <c r="AE147" s="22" t="n">
        <f aca="false">AE146+AD147</f>
        <v>-177940.666654368</v>
      </c>
      <c r="AF147" s="22" t="n">
        <f aca="false">IF($A147&gt;=Premissas!$C$18,O147*(1-Premissas!$C$45)-Premissas!$C$46*MAX(0,O147*(1-Premissas!$C$45)-(SUM($AC$5:$AC$355)+Premissas!$C$26*Premissas!$C$60)),"")</f>
        <v>535688.887152934</v>
      </c>
      <c r="AG147" s="22" t="n">
        <f aca="false">IF($A147&gt;=Premissas!$C$18,AE147+AF147,"")</f>
        <v>357748.220498567</v>
      </c>
      <c r="AH147" s="22" t="n">
        <f aca="false">AH146*(1+$P147)-AD147</f>
        <v>655080.070654227</v>
      </c>
      <c r="AI147" s="22" t="n">
        <f aca="false">($A147=Premissas!$C$16)*0.2*Premissas!$C$11+AND($A147&gt;Premissas!$C$16,$A147&lt;=EDATE(Premissas!$C$16,43))*0.8*Premissas!$C$11/43*(1+Premissas!$C$56)^$C147</f>
        <v>0</v>
      </c>
      <c r="AJ147" s="22" t="n">
        <f aca="false">L147-M147-N147-AI147</f>
        <v>2056.01052380187</v>
      </c>
      <c r="AK147" s="22" t="n">
        <f aca="false">AK146+AJ147</f>
        <v>-223805.152072429</v>
      </c>
      <c r="AL147" s="22" t="n">
        <f aca="false">IF($A147&gt;=Premissas!$C$18,O147*(1-Premissas!$C$45)-Premissas!$C$46*MAX(0,O147*(1-Premissas!$C$45)-(SUM($AI$5:$AI$355)+Premissas!$C$26*Premissas!$C$60)),"")</f>
        <v>542568.559965644</v>
      </c>
      <c r="AM147" s="22" t="n">
        <f aca="false">IF($A147&gt;=Premissas!$C$18,AK147+AL147,"")</f>
        <v>318763.407893214</v>
      </c>
      <c r="AN147" s="22" t="n">
        <f aca="false">AN146*(1+$P147)-AJ147</f>
        <v>667555.176298585</v>
      </c>
      <c r="AO147" s="22" t="n">
        <f aca="false">V147+S147</f>
        <v>418439.408106243</v>
      </c>
    </row>
    <row r="148" customFormat="false" ht="15" hidden="false" customHeight="false" outlineLevel="0" collapsed="false">
      <c r="A148" s="26" t="n">
        <f aca="false">DATE(YEAR(A147),MONTH(A147)+1,1)</f>
        <v>50649</v>
      </c>
      <c r="B148" s="22" t="str">
        <f aca="false">IF($A148&lt;Premissas!$C$18,"Obra",IF($A148&lt;Premissas!$C$20,"Entrega/mobília","Airbnb"))</f>
        <v>Airbnb</v>
      </c>
      <c r="C148" s="36" t="n">
        <f aca="false">(YEAR($A148)-YEAR(Premissas!$C$16))*12+MONTH($A148)-MONTH(Premissas!$C$16)</f>
        <v>143</v>
      </c>
      <c r="D148" s="33" t="n">
        <f aca="false">IF($A148&gt;=Premissas!$C$20,Premissas!$C$31*IF(((YEAR($A148)-YEAR(Premissas!$C$20))*12+MONTH($A148)-MONTH(Premissas!$C$20))&lt;Premissas!$C$33,Premissas!$C$34,1),0)</f>
        <v>0.62</v>
      </c>
      <c r="E148" s="22" t="n">
        <f aca="false">D148*Premissas!$C$30*Premissas!$C$32*(1+Premissas!$C$58)^$C148</f>
        <v>7420.50700734574</v>
      </c>
      <c r="F148" s="22" t="n">
        <f aca="false">E148*Premissas!$C$35</f>
        <v>1187.28112117532</v>
      </c>
      <c r="G148" s="22" t="n">
        <f aca="false">E148*Premissas!$C$36</f>
        <v>1484.10140146915</v>
      </c>
      <c r="H148" s="22" t="n">
        <f aca="false">IF($A148&gt;=Premissas!$C$18,Premissas!$C$37*(1+Premissas!$C$58)^$C148,0)</f>
        <v>957.484775141385</v>
      </c>
      <c r="I148" s="22" t="n">
        <f aca="false">IF($A148&gt;=Premissas!$C$20,Premissas!$C$38*(1+Premissas!$C$58)^$C148,0)</f>
        <v>446.826228399313</v>
      </c>
      <c r="J148" s="22" t="n">
        <f aca="false">IF($A148&gt;=Premissas!$C$20,Premissas!$C$39*(1+Premissas!$C$58)^$C148,0)</f>
        <v>239.371193785346</v>
      </c>
      <c r="K148" s="22" t="n">
        <f aca="false">IF($A148&gt;=Premissas!$C$20,MAX(0,E148-F148-G148-H148)*Premissas!$C$41,0)</f>
        <v>1042.70092012897</v>
      </c>
      <c r="L148" s="22" t="n">
        <f aca="false">E148-F148-G148-H148-I148-J148-K148</f>
        <v>2062.74136724626</v>
      </c>
      <c r="M148" s="22" t="n">
        <f aca="false">($A148=Premissas!$C$18)*Premissas!$C$26*Premissas!$C$60</f>
        <v>0</v>
      </c>
      <c r="N148" s="22" t="n">
        <f aca="false">IF(AND($A148&gt;=Premissas!$C$18,$A148&lt;Premissas!$C$20),Premissas!$C$27/MAX(1,Premissas!$C$19),0)</f>
        <v>0</v>
      </c>
      <c r="O148" s="22" t="n">
        <f aca="false">IF($A148&gt;=Premissas!$C$18,Premissas!$C$60*(1+Premissas!$C$59)^((YEAR($A148)-YEAR(Premissas!$C$18))*12+MONTH($A148)-MONTH(Premissas!$C$18)),"")</f>
        <v>615685.446328291</v>
      </c>
      <c r="P148" s="31" t="n">
        <f aca="false">(1+IF(YEAR($A148)&lt;=2026,Premissas!$C$49,IF(YEAR($A148)=2027,Premissas!$C$50,IF(YEAR($A148)=2028,Premissas!$C$51,Premissas!$C$52)))*(1-Premissas!$C$53))^(1/12)-1</f>
        <v>0.00682149336596227</v>
      </c>
      <c r="Q148" s="22" t="n">
        <f aca="false">($A148=Premissas!$C$16)*Premissas!$C$13</f>
        <v>0</v>
      </c>
      <c r="R148" s="22" t="n">
        <f aca="false">L148-M148-N148-Q148</f>
        <v>2062.74136724626</v>
      </c>
      <c r="S148" s="22" t="n">
        <f aca="false">S147+R148</f>
        <v>-137329.461407097</v>
      </c>
      <c r="T148" s="22" t="n">
        <f aca="false">IF($A148&gt;=Premissas!$C$18,O148*(1-Premissas!$C$45)-Premissas!$C$46*MAX(0,O148*(1-Premissas!$C$45)-(SUM($Q$5:$Q$355)+Premissas!$C$26*Premissas!$C$60)),"")</f>
        <v>531902.679963051</v>
      </c>
      <c r="U148" s="22" t="n">
        <f aca="false">IF($A148&gt;=Premissas!$C$18,S148+T148,"")</f>
        <v>394573.218555954</v>
      </c>
      <c r="V148" s="22" t="n">
        <f aca="false">V147*(1+$P148)-R148</f>
        <v>559574.114146286</v>
      </c>
      <c r="W148" s="22" t="n">
        <f aca="false">($A148=Premissas!$C$16)*Premissas!$C$9</f>
        <v>0</v>
      </c>
      <c r="X148" s="22" t="n">
        <f aca="false">L148-M148-N148-W148</f>
        <v>2062.74136724626</v>
      </c>
      <c r="Y148" s="22" t="n">
        <f aca="false">Y147+X148</f>
        <v>-168257.461407096</v>
      </c>
      <c r="Z148" s="22" t="n">
        <f aca="false">IF($A148&gt;=Premissas!$C$18,O148*(1-Premissas!$C$45)-Premissas!$C$46*MAX(0,O148*(1-Premissas!$C$45)-(SUM($W$5:$W$355)+Premissas!$C$26*Premissas!$C$60)),"")</f>
        <v>536541.879963051</v>
      </c>
      <c r="AA148" s="22" t="n">
        <f aca="false">IF($A148&gt;=Premissas!$C$18,Y148+Z148,"")</f>
        <v>368284.418555954</v>
      </c>
      <c r="AB148" s="22" t="n">
        <f aca="false">AB147*(1+$P148)-X148</f>
        <v>644024.609791935</v>
      </c>
      <c r="AC148" s="22" t="n">
        <f aca="false">AND($A148&gt;=Premissas!$C$16,$A148&lt;EDATE(Premissas!$C$16,3))*Premissas!$C$10/3*(1+Premissas!$C$56)^$C148</f>
        <v>0</v>
      </c>
      <c r="AD148" s="22" t="n">
        <f aca="false">L148-M148-N148-AC148</f>
        <v>2062.74136724626</v>
      </c>
      <c r="AE148" s="22" t="n">
        <f aca="false">AE147+AD148</f>
        <v>-175877.925287121</v>
      </c>
      <c r="AF148" s="22" t="n">
        <f aca="false">IF($A148&gt;=Premissas!$C$18,O148*(1-Premissas!$C$45)-Premissas!$C$46*MAX(0,O148*(1-Premissas!$C$45)-(SUM($AC$5:$AC$355)+Premissas!$C$26*Premissas!$C$60)),"")</f>
        <v>537684.949545055</v>
      </c>
      <c r="AG148" s="22" t="n">
        <f aca="false">IF($A148&gt;=Premissas!$C$18,AE148+AF148,"")</f>
        <v>361807.024257933</v>
      </c>
      <c r="AH148" s="22" t="n">
        <f aca="false">AH147*(1+$P148)-AD148</f>
        <v>657485.953643123</v>
      </c>
      <c r="AI148" s="22" t="n">
        <f aca="false">($A148=Premissas!$C$16)*0.2*Premissas!$C$11+AND($A148&gt;Premissas!$C$16,$A148&lt;=EDATE(Premissas!$C$16,43))*0.8*Premissas!$C$11/43*(1+Premissas!$C$56)^$C148</f>
        <v>0</v>
      </c>
      <c r="AJ148" s="22" t="n">
        <f aca="false">L148-M148-N148-AI148</f>
        <v>2062.74136724626</v>
      </c>
      <c r="AK148" s="22" t="n">
        <f aca="false">AK147+AJ148</f>
        <v>-221742.410705183</v>
      </c>
      <c r="AL148" s="22" t="n">
        <f aca="false">IF($A148&gt;=Premissas!$C$18,O148*(1-Premissas!$C$45)-Premissas!$C$46*MAX(0,O148*(1-Premissas!$C$45)-(SUM($AI$5:$AI$355)+Premissas!$C$26*Premissas!$C$60)),"")</f>
        <v>544564.622357764</v>
      </c>
      <c r="AM148" s="22" t="n">
        <f aca="false">IF($A148&gt;=Premissas!$C$18,AK148+AL148,"")</f>
        <v>322822.211652581</v>
      </c>
      <c r="AN148" s="22" t="n">
        <f aca="false">AN147*(1+$P148)-AJ148</f>
        <v>670046.158137874</v>
      </c>
      <c r="AO148" s="22" t="n">
        <f aca="false">V148+S148</f>
        <v>422244.652739189</v>
      </c>
    </row>
    <row r="149" customFormat="false" ht="15" hidden="false" customHeight="false" outlineLevel="0" collapsed="false">
      <c r="A149" s="26" t="n">
        <f aca="false">DATE(YEAR(A148),MONTH(A148)+1,1)</f>
        <v>50679</v>
      </c>
      <c r="B149" s="22" t="str">
        <f aca="false">IF($A149&lt;Premissas!$C$18,"Obra",IF($A149&lt;Premissas!$C$20,"Entrega/mobília","Airbnb"))</f>
        <v>Airbnb</v>
      </c>
      <c r="C149" s="36" t="n">
        <f aca="false">(YEAR($A149)-YEAR(Premissas!$C$16))*12+MONTH($A149)-MONTH(Premissas!$C$16)</f>
        <v>144</v>
      </c>
      <c r="D149" s="33" t="n">
        <f aca="false">IF($A149&gt;=Premissas!$C$20,Premissas!$C$31*IF(((YEAR($A149)-YEAR(Premissas!$C$20))*12+MONTH($A149)-MONTH(Premissas!$C$20))&lt;Premissas!$C$33,Premissas!$C$34,1),0)</f>
        <v>0.62</v>
      </c>
      <c r="E149" s="22" t="n">
        <f aca="false">D149*Premissas!$C$30*Premissas!$C$32*(1+Premissas!$C$58)^$C149</f>
        <v>7444.79981633977</v>
      </c>
      <c r="F149" s="22" t="n">
        <f aca="false">E149*Premissas!$C$35</f>
        <v>1191.16797061436</v>
      </c>
      <c r="G149" s="22" t="n">
        <f aca="false">E149*Premissas!$C$36</f>
        <v>1488.95996326795</v>
      </c>
      <c r="H149" s="22" t="n">
        <f aca="false">IF($A149&gt;=Premissas!$C$18,Premissas!$C$37*(1+Premissas!$C$58)^$C149,0)</f>
        <v>960.619331140616</v>
      </c>
      <c r="I149" s="22" t="n">
        <f aca="false">IF($A149&gt;=Premissas!$C$20,Premissas!$C$38*(1+Premissas!$C$58)^$C149,0)</f>
        <v>448.289021198954</v>
      </c>
      <c r="J149" s="22" t="n">
        <f aca="false">IF($A149&gt;=Premissas!$C$20,Premissas!$C$39*(1+Premissas!$C$58)^$C149,0)</f>
        <v>240.154832785154</v>
      </c>
      <c r="K149" s="22" t="n">
        <f aca="false">IF($A149&gt;=Premissas!$C$20,MAX(0,E149-F149-G149-H149)*Premissas!$C$41,0)</f>
        <v>1046.11445161213</v>
      </c>
      <c r="L149" s="22" t="n">
        <f aca="false">E149-F149-G149-H149-I149-J149-K149</f>
        <v>2069.4942457206</v>
      </c>
      <c r="M149" s="22" t="n">
        <f aca="false">($A149=Premissas!$C$18)*Premissas!$C$26*Premissas!$C$60</f>
        <v>0</v>
      </c>
      <c r="N149" s="22" t="n">
        <f aca="false">IF(AND($A149&gt;=Premissas!$C$18,$A149&lt;Premissas!$C$20),Premissas!$C$27/MAX(1,Premissas!$C$19),0)</f>
        <v>0</v>
      </c>
      <c r="O149" s="22" t="n">
        <f aca="false">IF($A149&gt;=Premissas!$C$18,Premissas!$C$60*(1+Premissas!$C$59)^((YEAR($A149)-YEAR(Premissas!$C$18))*12+MONTH($A149)-MONTH(Premissas!$C$18)),"")</f>
        <v>618193.825048424</v>
      </c>
      <c r="P149" s="31" t="n">
        <f aca="false">(1+IF(YEAR($A149)&lt;=2026,Premissas!$C$49,IF(YEAR($A149)=2027,Premissas!$C$50,IF(YEAR($A149)=2028,Premissas!$C$51,Premissas!$C$52)))*(1-Premissas!$C$53))^(1/12)-1</f>
        <v>0.00682149336596227</v>
      </c>
      <c r="Q149" s="22" t="n">
        <f aca="false">($A149=Premissas!$C$16)*Premissas!$C$13</f>
        <v>0</v>
      </c>
      <c r="R149" s="22" t="n">
        <f aca="false">L149-M149-N149-Q149</f>
        <v>2069.4942457206</v>
      </c>
      <c r="S149" s="22" t="n">
        <f aca="false">S148+R149</f>
        <v>-135259.967161376</v>
      </c>
      <c r="T149" s="22" t="n">
        <f aca="false">IF($A149&gt;=Premissas!$C$18,O149*(1-Premissas!$C$45)-Premissas!$C$46*MAX(0,O149*(1-Premissas!$C$45)-(SUM($Q$5:$Q$355)+Premissas!$C$26*Premissas!$C$60)),"")</f>
        <v>533906.874560437</v>
      </c>
      <c r="U149" s="22" t="n">
        <f aca="false">IF($A149&gt;=Premissas!$C$18,S149+T149,"")</f>
        <v>398646.90739906</v>
      </c>
      <c r="V149" s="22" t="n">
        <f aca="false">V148*(1+$P149)-R149</f>
        <v>561321.751007979</v>
      </c>
      <c r="W149" s="22" t="n">
        <f aca="false">($A149=Premissas!$C$16)*Premissas!$C$9</f>
        <v>0</v>
      </c>
      <c r="X149" s="22" t="n">
        <f aca="false">L149-M149-N149-W149</f>
        <v>2069.4942457206</v>
      </c>
      <c r="Y149" s="22" t="n">
        <f aca="false">Y148+X149</f>
        <v>-166187.967161376</v>
      </c>
      <c r="Z149" s="22" t="n">
        <f aca="false">IF($A149&gt;=Premissas!$C$18,O149*(1-Premissas!$C$45)-Premissas!$C$46*MAX(0,O149*(1-Premissas!$C$45)-(SUM($W$5:$W$355)+Premissas!$C$26*Premissas!$C$60)),"")</f>
        <v>538546.074560437</v>
      </c>
      <c r="AA149" s="22" t="n">
        <f aca="false">IF($A149&gt;=Premissas!$C$18,Y149+Z149,"")</f>
        <v>372358.107399061</v>
      </c>
      <c r="AB149" s="22" t="n">
        <f aca="false">AB148*(1+$P149)-X149</f>
        <v>646348.325149426</v>
      </c>
      <c r="AC149" s="22" t="n">
        <f aca="false">AND($A149&gt;=Premissas!$C$16,$A149&lt;EDATE(Premissas!$C$16,3))*Premissas!$C$10/3*(1+Premissas!$C$56)^$C149</f>
        <v>0</v>
      </c>
      <c r="AD149" s="22" t="n">
        <f aca="false">L149-M149-N149-AC149</f>
        <v>2069.4942457206</v>
      </c>
      <c r="AE149" s="22" t="n">
        <f aca="false">AE148+AD149</f>
        <v>-173808.431041401</v>
      </c>
      <c r="AF149" s="22" t="n">
        <f aca="false">IF($A149&gt;=Premissas!$C$18,O149*(1-Premissas!$C$45)-Premissas!$C$46*MAX(0,O149*(1-Premissas!$C$45)-(SUM($AC$5:$AC$355)+Premissas!$C$26*Premissas!$C$60)),"")</f>
        <v>539689.14414244</v>
      </c>
      <c r="AG149" s="22" t="n">
        <f aca="false">IF($A149&gt;=Premissas!$C$18,AE149+AF149,"")</f>
        <v>365880.71310104</v>
      </c>
      <c r="AH149" s="22" t="n">
        <f aca="false">AH148*(1+$P149)-AD149</f>
        <v>659901.495468392</v>
      </c>
      <c r="AI149" s="22" t="n">
        <f aca="false">($A149=Premissas!$C$16)*0.2*Premissas!$C$11+AND($A149&gt;Premissas!$C$16,$A149&lt;=EDATE(Premissas!$C$16,43))*0.8*Premissas!$C$11/43*(1+Premissas!$C$56)^$C149</f>
        <v>0</v>
      </c>
      <c r="AJ149" s="22" t="n">
        <f aca="false">L149-M149-N149-AI149</f>
        <v>2069.4942457206</v>
      </c>
      <c r="AK149" s="22" t="n">
        <f aca="false">AK148+AJ149</f>
        <v>-219672.916459463</v>
      </c>
      <c r="AL149" s="22" t="n">
        <f aca="false">IF($A149&gt;=Premissas!$C$18,O149*(1-Premissas!$C$45)-Premissas!$C$46*MAX(0,O149*(1-Premissas!$C$45)-(SUM($AI$5:$AI$355)+Premissas!$C$26*Premissas!$C$60)),"")</f>
        <v>546568.81695515</v>
      </c>
      <c r="AM149" s="22" t="n">
        <f aca="false">IF($A149&gt;=Premissas!$C$18,AK149+AL149,"")</f>
        <v>326895.900495687</v>
      </c>
      <c r="AN149" s="22" t="n">
        <f aca="false">AN148*(1+$P149)-AJ149</f>
        <v>672547.379314779</v>
      </c>
      <c r="AO149" s="22" t="n">
        <f aca="false">V149+S149</f>
        <v>426061.783846602</v>
      </c>
    </row>
    <row r="150" customFormat="false" ht="15" hidden="false" customHeight="false" outlineLevel="0" collapsed="false">
      <c r="A150" s="26" t="n">
        <f aca="false">DATE(YEAR(A149),MONTH(A149)+1,1)</f>
        <v>50710</v>
      </c>
      <c r="B150" s="22" t="str">
        <f aca="false">IF($A150&lt;Premissas!$C$18,"Obra",IF($A150&lt;Premissas!$C$20,"Entrega/mobília","Airbnb"))</f>
        <v>Airbnb</v>
      </c>
      <c r="C150" s="36" t="n">
        <f aca="false">(YEAR($A150)-YEAR(Premissas!$C$16))*12+MONTH($A150)-MONTH(Premissas!$C$16)</f>
        <v>145</v>
      </c>
      <c r="D150" s="33" t="n">
        <f aca="false">IF($A150&gt;=Premissas!$C$20,Premissas!$C$31*IF(((YEAR($A150)-YEAR(Premissas!$C$20))*12+MONTH($A150)-MONTH(Premissas!$C$20))&lt;Premissas!$C$33,Premissas!$C$34,1),0)</f>
        <v>0.62</v>
      </c>
      <c r="E150" s="22" t="n">
        <f aca="false">D150*Premissas!$C$30*Premissas!$C$32*(1+Premissas!$C$58)^$C150</f>
        <v>7469.17215366903</v>
      </c>
      <c r="F150" s="22" t="n">
        <f aca="false">E150*Premissas!$C$35</f>
        <v>1195.06754458704</v>
      </c>
      <c r="G150" s="22" t="n">
        <f aca="false">E150*Premissas!$C$36</f>
        <v>1493.83443073381</v>
      </c>
      <c r="H150" s="22" t="n">
        <f aca="false">IF($A150&gt;=Premissas!$C$18,Premissas!$C$37*(1+Premissas!$C$58)^$C150,0)</f>
        <v>963.76414886052</v>
      </c>
      <c r="I150" s="22" t="n">
        <f aca="false">IF($A150&gt;=Premissas!$C$20,Premissas!$C$38*(1+Premissas!$C$58)^$C150,0)</f>
        <v>449.756602801576</v>
      </c>
      <c r="J150" s="22" t="n">
        <f aca="false">IF($A150&gt;=Premissas!$C$20,Premissas!$C$39*(1+Premissas!$C$58)^$C150,0)</f>
        <v>240.94103721513</v>
      </c>
      <c r="K150" s="22" t="n">
        <f aca="false">IF($A150&gt;=Premissas!$C$20,MAX(0,E150-F150-G150-H150)*Premissas!$C$41,0)</f>
        <v>1049.53915810911</v>
      </c>
      <c r="L150" s="22" t="n">
        <f aca="false">E150-F150-G150-H150-I150-J150-K150</f>
        <v>2076.26923136185</v>
      </c>
      <c r="M150" s="22" t="n">
        <f aca="false">($A150=Premissas!$C$18)*Premissas!$C$26*Premissas!$C$60</f>
        <v>0</v>
      </c>
      <c r="N150" s="22" t="n">
        <f aca="false">IF(AND($A150&gt;=Premissas!$C$18,$A150&lt;Premissas!$C$20),Premissas!$C$27/MAX(1,Premissas!$C$19),0)</f>
        <v>0</v>
      </c>
      <c r="O150" s="22" t="n">
        <f aca="false">IF($A150&gt;=Premissas!$C$18,Premissas!$C$60*(1+Premissas!$C$59)^((YEAR($A150)-YEAR(Premissas!$C$18))*12+MONTH($A150)-MONTH(Premissas!$C$18)),"")</f>
        <v>620712.423213958</v>
      </c>
      <c r="P150" s="31" t="n">
        <f aca="false">(1+IF(YEAR($A150)&lt;=2026,Premissas!$C$49,IF(YEAR($A150)=2027,Premissas!$C$50,IF(YEAR($A150)=2028,Premissas!$C$51,Premissas!$C$52)))*(1-Premissas!$C$53))^(1/12)-1</f>
        <v>0.00682149336596227</v>
      </c>
      <c r="Q150" s="22" t="n">
        <f aca="false">($A150=Premissas!$C$16)*Premissas!$C$13</f>
        <v>0</v>
      </c>
      <c r="R150" s="22" t="n">
        <f aca="false">L150-M150-N150-Q150</f>
        <v>2076.26923136185</v>
      </c>
      <c r="S150" s="22" t="n">
        <f aca="false">S149+R150</f>
        <v>-133183.697930014</v>
      </c>
      <c r="T150" s="22" t="n">
        <f aca="false">IF($A150&gt;=Premissas!$C$18,O150*(1-Premissas!$C$45)-Premissas!$C$46*MAX(0,O150*(1-Premissas!$C$45)-(SUM($Q$5:$Q$355)+Premissas!$C$26*Premissas!$C$60)),"")</f>
        <v>535919.234494699</v>
      </c>
      <c r="U150" s="22" t="n">
        <f aca="false">IF($A150&gt;=Premissas!$C$18,S150+T150,"")</f>
        <v>402735.536564684</v>
      </c>
      <c r="V150" s="22" t="n">
        <f aca="false">V149*(1+$P150)-R150</f>
        <v>563074.534377288</v>
      </c>
      <c r="W150" s="22" t="n">
        <f aca="false">($A150=Premissas!$C$16)*Premissas!$C$9</f>
        <v>0</v>
      </c>
      <c r="X150" s="22" t="n">
        <f aca="false">L150-M150-N150-W150</f>
        <v>2076.26923136185</v>
      </c>
      <c r="Y150" s="22" t="n">
        <f aca="false">Y149+X150</f>
        <v>-164111.697930014</v>
      </c>
      <c r="Z150" s="22" t="n">
        <f aca="false">IF($A150&gt;=Premissas!$C$18,O150*(1-Premissas!$C$45)-Premissas!$C$46*MAX(0,O150*(1-Premissas!$C$45)-(SUM($W$5:$W$355)+Premissas!$C$26*Premissas!$C$60)),"")</f>
        <v>540558.434494698</v>
      </c>
      <c r="AA150" s="22" t="n">
        <f aca="false">IF($A150&gt;=Premissas!$C$18,Y150+Z150,"")</f>
        <v>376446.736564684</v>
      </c>
      <c r="AB150" s="22" t="n">
        <f aca="false">AB149*(1+$P150)-X150</f>
        <v>648681.116730172</v>
      </c>
      <c r="AC150" s="22" t="n">
        <f aca="false">AND($A150&gt;=Premissas!$C$16,$A150&lt;EDATE(Premissas!$C$16,3))*Premissas!$C$10/3*(1+Premissas!$C$56)^$C150</f>
        <v>0</v>
      </c>
      <c r="AD150" s="22" t="n">
        <f aca="false">L150-M150-N150-AC150</f>
        <v>2076.26923136185</v>
      </c>
      <c r="AE150" s="22" t="n">
        <f aca="false">AE149+AD150</f>
        <v>-171732.161810039</v>
      </c>
      <c r="AF150" s="22" t="n">
        <f aca="false">IF($A150&gt;=Premissas!$C$18,O150*(1-Premissas!$C$45)-Premissas!$C$46*MAX(0,O150*(1-Premissas!$C$45)-(SUM($AC$5:$AC$355)+Premissas!$C$26*Premissas!$C$60)),"")</f>
        <v>541701.504076702</v>
      </c>
      <c r="AG150" s="22" t="n">
        <f aca="false">IF($A150&gt;=Premissas!$C$18,AE150+AF150,"")</f>
        <v>369969.342266663</v>
      </c>
      <c r="AH150" s="22" t="n">
        <f aca="false">AH149*(1+$P150)-AD150</f>
        <v>662326.739910557</v>
      </c>
      <c r="AI150" s="22" t="n">
        <f aca="false">($A150=Premissas!$C$16)*0.2*Premissas!$C$11+AND($A150&gt;Premissas!$C$16,$A150&lt;=EDATE(Premissas!$C$16,43))*0.8*Premissas!$C$11/43*(1+Premissas!$C$56)^$C150</f>
        <v>0</v>
      </c>
      <c r="AJ150" s="22" t="n">
        <f aca="false">L150-M150-N150-AI150</f>
        <v>2076.26923136185</v>
      </c>
      <c r="AK150" s="22" t="n">
        <f aca="false">AK149+AJ150</f>
        <v>-217596.647228101</v>
      </c>
      <c r="AL150" s="22" t="n">
        <f aca="false">IF($A150&gt;=Premissas!$C$18,O150*(1-Premissas!$C$45)-Premissas!$C$46*MAX(0,O150*(1-Premissas!$C$45)-(SUM($AI$5:$AI$355)+Premissas!$C$26*Premissas!$C$60)),"")</f>
        <v>548581.176889412</v>
      </c>
      <c r="AM150" s="22" t="n">
        <f aca="false">IF($A150&gt;=Premissas!$C$18,AK150+AL150,"")</f>
        <v>330984.529661311</v>
      </c>
      <c r="AN150" s="22" t="n">
        <f aca="false">AN149*(1+$P150)-AJ150</f>
        <v>675058.887569709</v>
      </c>
      <c r="AO150" s="22" t="n">
        <f aca="false">V150+S150</f>
        <v>429890.836447274</v>
      </c>
    </row>
    <row r="151" customFormat="false" ht="15" hidden="false" customHeight="false" outlineLevel="0" collapsed="false">
      <c r="A151" s="26" t="n">
        <f aca="false">DATE(YEAR(A150),MONTH(A150)+1,1)</f>
        <v>50740</v>
      </c>
      <c r="B151" s="22" t="str">
        <f aca="false">IF($A151&lt;Premissas!$C$18,"Obra",IF($A151&lt;Premissas!$C$20,"Entrega/mobília","Airbnb"))</f>
        <v>Airbnb</v>
      </c>
      <c r="C151" s="36" t="n">
        <f aca="false">(YEAR($A151)-YEAR(Premissas!$C$16))*12+MONTH($A151)-MONTH(Premissas!$C$16)</f>
        <v>146</v>
      </c>
      <c r="D151" s="33" t="n">
        <f aca="false">IF($A151&gt;=Premissas!$C$20,Premissas!$C$31*IF(((YEAR($A151)-YEAR(Premissas!$C$20))*12+MONTH($A151)-MONTH(Premissas!$C$20))&lt;Premissas!$C$33,Premissas!$C$34,1),0)</f>
        <v>0.62</v>
      </c>
      <c r="E151" s="22" t="n">
        <f aca="false">D151*Premissas!$C$30*Premissas!$C$32*(1+Premissas!$C$58)^$C151</f>
        <v>7493.62427968859</v>
      </c>
      <c r="F151" s="22" t="n">
        <f aca="false">E151*Premissas!$C$35</f>
        <v>1198.97988475017</v>
      </c>
      <c r="G151" s="22" t="n">
        <f aca="false">E151*Premissas!$C$36</f>
        <v>1498.72485593772</v>
      </c>
      <c r="H151" s="22" t="n">
        <f aca="false">IF($A151&gt;=Premissas!$C$18,Premissas!$C$37*(1+Premissas!$C$58)^$C151,0)</f>
        <v>966.919261895302</v>
      </c>
      <c r="I151" s="22" t="n">
        <f aca="false">IF($A151&gt;=Premissas!$C$20,Premissas!$C$38*(1+Premissas!$C$58)^$C151,0)</f>
        <v>451.228988884474</v>
      </c>
      <c r="J151" s="22" t="n">
        <f aca="false">IF($A151&gt;=Premissas!$C$20,Premissas!$C$39*(1+Premissas!$C$58)^$C151,0)</f>
        <v>241.729815473825</v>
      </c>
      <c r="K151" s="22" t="n">
        <f aca="false">IF($A151&gt;=Premissas!$C$20,MAX(0,E151-F151-G151-H151)*Premissas!$C$41,0)</f>
        <v>1052.97507620398</v>
      </c>
      <c r="L151" s="22" t="n">
        <f aca="false">E151-F151-G151-H151-I151-J151-K151</f>
        <v>2083.06639654311</v>
      </c>
      <c r="M151" s="22" t="n">
        <f aca="false">($A151=Premissas!$C$18)*Premissas!$C$26*Premissas!$C$60</f>
        <v>0</v>
      </c>
      <c r="N151" s="22" t="n">
        <f aca="false">IF(AND($A151&gt;=Premissas!$C$18,$A151&lt;Premissas!$C$20),Premissas!$C$27/MAX(1,Premissas!$C$19),0)</f>
        <v>0</v>
      </c>
      <c r="O151" s="22" t="n">
        <f aca="false">IF($A151&gt;=Premissas!$C$18,Premissas!$C$60*(1+Premissas!$C$59)^((YEAR($A151)-YEAR(Premissas!$C$18))*12+MONTH($A151)-MONTH(Premissas!$C$18)),"")</f>
        <v>623241.28246018</v>
      </c>
      <c r="P151" s="31" t="n">
        <f aca="false">(1+IF(YEAR($A151)&lt;=2026,Premissas!$C$49,IF(YEAR($A151)=2027,Premissas!$C$50,IF(YEAR($A151)=2028,Premissas!$C$51,Premissas!$C$52)))*(1-Premissas!$C$53))^(1/12)-1</f>
        <v>0.00682149336596227</v>
      </c>
      <c r="Q151" s="22" t="n">
        <f aca="false">($A151=Premissas!$C$16)*Premissas!$C$13</f>
        <v>0</v>
      </c>
      <c r="R151" s="22" t="n">
        <f aca="false">L151-M151-N151-Q151</f>
        <v>2083.06639654311</v>
      </c>
      <c r="S151" s="22" t="n">
        <f aca="false">S150+R151</f>
        <v>-131100.631533471</v>
      </c>
      <c r="T151" s="22" t="n">
        <f aca="false">IF($A151&gt;=Premissas!$C$18,O151*(1-Premissas!$C$45)-Premissas!$C$46*MAX(0,O151*(1-Premissas!$C$45)-(SUM($Q$5:$Q$355)+Premissas!$C$26*Premissas!$C$60)),"")</f>
        <v>537939.79303243</v>
      </c>
      <c r="U151" s="22" t="n">
        <f aca="false">IF($A151&gt;=Premissas!$C$18,S151+T151,"")</f>
        <v>406839.161498959</v>
      </c>
      <c r="V151" s="22" t="n">
        <f aca="false">V150*(1+$P151)-R151</f>
        <v>564832.477181542</v>
      </c>
      <c r="W151" s="22" t="n">
        <f aca="false">($A151=Premissas!$C$16)*Premissas!$C$9</f>
        <v>0</v>
      </c>
      <c r="X151" s="22" t="n">
        <f aca="false">L151-M151-N151-W151</f>
        <v>2083.06639654311</v>
      </c>
      <c r="Y151" s="22" t="n">
        <f aca="false">Y150+X151</f>
        <v>-162028.631533471</v>
      </c>
      <c r="Z151" s="22" t="n">
        <f aca="false">IF($A151&gt;=Premissas!$C$18,O151*(1-Premissas!$C$45)-Premissas!$C$46*MAX(0,O151*(1-Premissas!$C$45)-(SUM($W$5:$W$355)+Premissas!$C$26*Premissas!$C$60)),"")</f>
        <v>542578.99303243</v>
      </c>
      <c r="AA151" s="22" t="n">
        <f aca="false">IF($A151&gt;=Premissas!$C$18,Y151+Z151,"")</f>
        <v>380550.361498959</v>
      </c>
      <c r="AB151" s="22" t="n">
        <f aca="false">AB150*(1+$P151)-X151</f>
        <v>651023.024268029</v>
      </c>
      <c r="AC151" s="22" t="n">
        <f aca="false">AND($A151&gt;=Premissas!$C$16,$A151&lt;EDATE(Premissas!$C$16,3))*Premissas!$C$10/3*(1+Premissas!$C$56)^$C151</f>
        <v>0</v>
      </c>
      <c r="AD151" s="22" t="n">
        <f aca="false">L151-M151-N151-AC151</f>
        <v>2083.06639654311</v>
      </c>
      <c r="AE151" s="22" t="n">
        <f aca="false">AE150+AD151</f>
        <v>-169649.095413496</v>
      </c>
      <c r="AF151" s="22" t="n">
        <f aca="false">IF($A151&gt;=Premissas!$C$18,O151*(1-Premissas!$C$45)-Premissas!$C$46*MAX(0,O151*(1-Premissas!$C$45)-(SUM($AC$5:$AC$355)+Premissas!$C$26*Premissas!$C$60)),"")</f>
        <v>543722.062614434</v>
      </c>
      <c r="AG151" s="22" t="n">
        <f aca="false">IF($A151&gt;=Premissas!$C$18,AE151+AF151,"")</f>
        <v>374072.967200938</v>
      </c>
      <c r="AH151" s="22" t="n">
        <f aca="false">AH150*(1+$P151)-AD151</f>
        <v>664761.730976413</v>
      </c>
      <c r="AI151" s="22" t="n">
        <f aca="false">($A151=Premissas!$C$16)*0.2*Premissas!$C$11+AND($A151&gt;Premissas!$C$16,$A151&lt;=EDATE(Premissas!$C$16,43))*0.8*Premissas!$C$11/43*(1+Premissas!$C$56)^$C151</f>
        <v>0</v>
      </c>
      <c r="AJ151" s="22" t="n">
        <f aca="false">L151-M151-N151-AI151</f>
        <v>2083.06639654311</v>
      </c>
      <c r="AK151" s="22" t="n">
        <f aca="false">AK150+AJ151</f>
        <v>-215513.580831558</v>
      </c>
      <c r="AL151" s="22" t="n">
        <f aca="false">IF($A151&gt;=Premissas!$C$18,O151*(1-Premissas!$C$45)-Premissas!$C$46*MAX(0,O151*(1-Premissas!$C$45)-(SUM($AI$5:$AI$355)+Premissas!$C$26*Premissas!$C$60)),"")</f>
        <v>550601.735427143</v>
      </c>
      <c r="AM151" s="22" t="n">
        <f aca="false">IF($A151&gt;=Premissas!$C$18,AK151+AL151,"")</f>
        <v>335088.154595585</v>
      </c>
      <c r="AN151" s="22" t="n">
        <f aca="false">AN150*(1+$P151)-AJ151</f>
        <v>677580.730896356</v>
      </c>
      <c r="AO151" s="22" t="n">
        <f aca="false">V151+S151</f>
        <v>433731.845648071</v>
      </c>
    </row>
    <row r="152" customFormat="false" ht="15" hidden="false" customHeight="false" outlineLevel="0" collapsed="false">
      <c r="A152" s="26" t="n">
        <f aca="false">DATE(YEAR(A151),MONTH(A151)+1,1)</f>
        <v>50771</v>
      </c>
      <c r="B152" s="22" t="str">
        <f aca="false">IF($A152&lt;Premissas!$C$18,"Obra",IF($A152&lt;Premissas!$C$20,"Entrega/mobília","Airbnb"))</f>
        <v>Airbnb</v>
      </c>
      <c r="C152" s="36" t="n">
        <f aca="false">(YEAR($A152)-YEAR(Premissas!$C$16))*12+MONTH($A152)-MONTH(Premissas!$C$16)</f>
        <v>147</v>
      </c>
      <c r="D152" s="33" t="n">
        <f aca="false">IF($A152&gt;=Premissas!$C$20,Premissas!$C$31*IF(((YEAR($A152)-YEAR(Premissas!$C$20))*12+MONTH($A152)-MONTH(Premissas!$C$20))&lt;Premissas!$C$33,Premissas!$C$34,1),0)</f>
        <v>0.62</v>
      </c>
      <c r="E152" s="22" t="n">
        <f aca="false">D152*Premissas!$C$30*Premissas!$C$32*(1+Premissas!$C$58)^$C152</f>
        <v>7518.15645560586</v>
      </c>
      <c r="F152" s="22" t="n">
        <f aca="false">E152*Premissas!$C$35</f>
        <v>1202.90503289694</v>
      </c>
      <c r="G152" s="22" t="n">
        <f aca="false">E152*Premissas!$C$36</f>
        <v>1503.63129112117</v>
      </c>
      <c r="H152" s="22" t="n">
        <f aca="false">IF($A152&gt;=Premissas!$C$18,Premissas!$C$37*(1+Premissas!$C$58)^$C152,0)</f>
        <v>970.084703949143</v>
      </c>
      <c r="I152" s="22" t="n">
        <f aca="false">IF($A152&gt;=Premissas!$C$20,Premissas!$C$38*(1+Premissas!$C$58)^$C152,0)</f>
        <v>452.706195176267</v>
      </c>
      <c r="J152" s="22" t="n">
        <f aca="false">IF($A152&gt;=Premissas!$C$20,Premissas!$C$39*(1+Premissas!$C$58)^$C152,0)</f>
        <v>242.521175987286</v>
      </c>
      <c r="K152" s="22" t="n">
        <f aca="false">IF($A152&gt;=Premissas!$C$20,MAX(0,E152-F152-G152-H152)*Premissas!$C$41,0)</f>
        <v>1056.42224260062</v>
      </c>
      <c r="L152" s="22" t="n">
        <f aca="false">E152-F152-G152-H152-I152-J152-K152</f>
        <v>2089.88581387444</v>
      </c>
      <c r="M152" s="22" t="n">
        <f aca="false">($A152=Premissas!$C$18)*Premissas!$C$26*Premissas!$C$60</f>
        <v>0</v>
      </c>
      <c r="N152" s="22" t="n">
        <f aca="false">IF(AND($A152&gt;=Premissas!$C$18,$A152&lt;Premissas!$C$20),Premissas!$C$27/MAX(1,Premissas!$C$19),0)</f>
        <v>0</v>
      </c>
      <c r="O152" s="22" t="n">
        <f aca="false">IF($A152&gt;=Premissas!$C$18,Premissas!$C$60*(1+Premissas!$C$59)^((YEAR($A152)-YEAR(Premissas!$C$18))*12+MONTH($A152)-MONTH(Premissas!$C$18)),"")</f>
        <v>625780.444592002</v>
      </c>
      <c r="P152" s="31" t="n">
        <f aca="false">(1+IF(YEAR($A152)&lt;=2026,Premissas!$C$49,IF(YEAR($A152)=2027,Premissas!$C$50,IF(YEAR($A152)=2028,Premissas!$C$51,Premissas!$C$52)))*(1-Premissas!$C$53))^(1/12)-1</f>
        <v>0.00682149336596227</v>
      </c>
      <c r="Q152" s="22" t="n">
        <f aca="false">($A152=Premissas!$C$16)*Premissas!$C$13</f>
        <v>0</v>
      </c>
      <c r="R152" s="22" t="n">
        <f aca="false">L152-M152-N152-Q152</f>
        <v>2089.88581387444</v>
      </c>
      <c r="S152" s="22" t="n">
        <f aca="false">S151+R152</f>
        <v>-129010.745719597</v>
      </c>
      <c r="T152" s="22" t="n">
        <f aca="false">IF($A152&gt;=Premissas!$C$18,O152*(1-Premissas!$C$45)-Premissas!$C$46*MAX(0,O152*(1-Premissas!$C$45)-(SUM($Q$5:$Q$355)+Premissas!$C$26*Premissas!$C$60)),"")</f>
        <v>539968.583575756</v>
      </c>
      <c r="U152" s="22" t="n">
        <f aca="false">IF($A152&gt;=Premissas!$C$18,S152+T152,"")</f>
        <v>410957.837856159</v>
      </c>
      <c r="V152" s="22" t="n">
        <f aca="false">V151*(1+$P152)-R152</f>
        <v>566595.592363641</v>
      </c>
      <c r="W152" s="22" t="n">
        <f aca="false">($A152=Premissas!$C$16)*Premissas!$C$9</f>
        <v>0</v>
      </c>
      <c r="X152" s="22" t="n">
        <f aca="false">L152-M152-N152-W152</f>
        <v>2089.88581387444</v>
      </c>
      <c r="Y152" s="22" t="n">
        <f aca="false">Y151+X152</f>
        <v>-159938.745719596</v>
      </c>
      <c r="Z152" s="22" t="n">
        <f aca="false">IF($A152&gt;=Premissas!$C$18,O152*(1-Premissas!$C$45)-Premissas!$C$46*MAX(0,O152*(1-Premissas!$C$45)-(SUM($W$5:$W$355)+Premissas!$C$26*Premissas!$C$60)),"")</f>
        <v>544607.783575756</v>
      </c>
      <c r="AA152" s="22" t="n">
        <f aca="false">IF($A152&gt;=Premissas!$C$18,Y152+Z152,"")</f>
        <v>384669.037856159</v>
      </c>
      <c r="AB152" s="22" t="n">
        <f aca="false">AB151*(1+$P152)-X152</f>
        <v>653374.087695288</v>
      </c>
      <c r="AC152" s="22" t="n">
        <f aca="false">AND($A152&gt;=Premissas!$C$16,$A152&lt;EDATE(Premissas!$C$16,3))*Premissas!$C$10/3*(1+Premissas!$C$56)^$C152</f>
        <v>0</v>
      </c>
      <c r="AD152" s="22" t="n">
        <f aca="false">L152-M152-N152-AC152</f>
        <v>2089.88581387444</v>
      </c>
      <c r="AE152" s="22" t="n">
        <f aca="false">AE151+AD152</f>
        <v>-167559.209599621</v>
      </c>
      <c r="AF152" s="22" t="n">
        <f aca="false">IF($A152&gt;=Premissas!$C$18,O152*(1-Premissas!$C$45)-Premissas!$C$46*MAX(0,O152*(1-Premissas!$C$45)-(SUM($AC$5:$AC$355)+Premissas!$C$26*Premissas!$C$60)),"")</f>
        <v>545750.85315776</v>
      </c>
      <c r="AG152" s="22" t="n">
        <f aca="false">IF($A152&gt;=Premissas!$C$18,AE152+AF152,"")</f>
        <v>378191.643558138</v>
      </c>
      <c r="AH152" s="22" t="n">
        <f aca="false">AH151*(1+$P152)-AD152</f>
        <v>667206.512900339</v>
      </c>
      <c r="AI152" s="22" t="n">
        <f aca="false">($A152=Premissas!$C$16)*0.2*Premissas!$C$11+AND($A152&gt;Premissas!$C$16,$A152&lt;=EDATE(Premissas!$C$16,43))*0.8*Premissas!$C$11/43*(1+Premissas!$C$56)^$C152</f>
        <v>0</v>
      </c>
      <c r="AJ152" s="22" t="n">
        <f aca="false">L152-M152-N152-AI152</f>
        <v>2089.88581387444</v>
      </c>
      <c r="AK152" s="22" t="n">
        <f aca="false">AK151+AJ152</f>
        <v>-213423.695017683</v>
      </c>
      <c r="AL152" s="22" t="n">
        <f aca="false">IF($A152&gt;=Premissas!$C$18,O152*(1-Premissas!$C$45)-Premissas!$C$46*MAX(0,O152*(1-Premissas!$C$45)-(SUM($AI$5:$AI$355)+Premissas!$C$26*Premissas!$C$60)),"")</f>
        <v>552630.525970469</v>
      </c>
      <c r="AM152" s="22" t="n">
        <f aca="false">IF($A152&gt;=Premissas!$C$18,AK152+AL152,"")</f>
        <v>339206.830952786</v>
      </c>
      <c r="AN152" s="22" t="n">
        <f aca="false">AN151*(1+$P152)-AJ152</f>
        <v>680112.957543195</v>
      </c>
      <c r="AO152" s="22" t="n">
        <f aca="false">V152+S152</f>
        <v>437584.846644045</v>
      </c>
    </row>
    <row r="153" customFormat="false" ht="15" hidden="false" customHeight="false" outlineLevel="0" collapsed="false">
      <c r="A153" s="26" t="n">
        <f aca="false">DATE(YEAR(A152),MONTH(A152)+1,1)</f>
        <v>50802</v>
      </c>
      <c r="B153" s="22" t="str">
        <f aca="false">IF($A153&lt;Premissas!$C$18,"Obra",IF($A153&lt;Premissas!$C$20,"Entrega/mobília","Airbnb"))</f>
        <v>Airbnb</v>
      </c>
      <c r="C153" s="36" t="n">
        <f aca="false">(YEAR($A153)-YEAR(Premissas!$C$16))*12+MONTH($A153)-MONTH(Premissas!$C$16)</f>
        <v>148</v>
      </c>
      <c r="D153" s="33" t="n">
        <f aca="false">IF($A153&gt;=Premissas!$C$20,Premissas!$C$31*IF(((YEAR($A153)-YEAR(Premissas!$C$20))*12+MONTH($A153)-MONTH(Premissas!$C$20))&lt;Premissas!$C$33,Premissas!$C$34,1),0)</f>
        <v>0.62</v>
      </c>
      <c r="E153" s="22" t="n">
        <f aca="false">D153*Premissas!$C$30*Premissas!$C$32*(1+Premissas!$C$58)^$C153</f>
        <v>7542.76894348337</v>
      </c>
      <c r="F153" s="22" t="n">
        <f aca="false">E153*Premissas!$C$35</f>
        <v>1206.84303095734</v>
      </c>
      <c r="G153" s="22" t="n">
        <f aca="false">E153*Premissas!$C$36</f>
        <v>1508.55378869667</v>
      </c>
      <c r="H153" s="22" t="n">
        <f aca="false">IF($A153&gt;=Premissas!$C$18,Premissas!$C$37*(1+Premissas!$C$58)^$C153,0)</f>
        <v>973.260508836564</v>
      </c>
      <c r="I153" s="22" t="n">
        <f aca="false">IF($A153&gt;=Premissas!$C$20,Premissas!$C$38*(1+Premissas!$C$58)^$C153,0)</f>
        <v>454.188237457063</v>
      </c>
      <c r="J153" s="22" t="n">
        <f aca="false">IF($A153&gt;=Premissas!$C$20,Premissas!$C$39*(1+Premissas!$C$58)^$C153,0)</f>
        <v>243.315127209141</v>
      </c>
      <c r="K153" s="22" t="n">
        <f aca="false">IF($A153&gt;=Premissas!$C$20,MAX(0,E153-F153-G153-H153)*Premissas!$C$41,0)</f>
        <v>1059.88069412302</v>
      </c>
      <c r="L153" s="22" t="n">
        <f aca="false">E153-F153-G153-H153-I153-J153-K153</f>
        <v>2096.72755620357</v>
      </c>
      <c r="M153" s="22" t="n">
        <f aca="false">($A153=Premissas!$C$18)*Premissas!$C$26*Premissas!$C$60</f>
        <v>0</v>
      </c>
      <c r="N153" s="22" t="n">
        <f aca="false">IF(AND($A153&gt;=Premissas!$C$18,$A153&lt;Premissas!$C$20),Premissas!$C$27/MAX(1,Premissas!$C$19),0)</f>
        <v>0</v>
      </c>
      <c r="O153" s="22" t="n">
        <f aca="false">IF($A153&gt;=Premissas!$C$18,Premissas!$C$60*(1+Premissas!$C$59)^((YEAR($A153)-YEAR(Premissas!$C$18))*12+MONTH($A153)-MONTH(Premissas!$C$18)),"")</f>
        <v>628329.951584657</v>
      </c>
      <c r="P153" s="31" t="n">
        <f aca="false">(1+IF(YEAR($A153)&lt;=2026,Premissas!$C$49,IF(YEAR($A153)=2027,Premissas!$C$50,IF(YEAR($A153)=2028,Premissas!$C$51,Premissas!$C$52)))*(1-Premissas!$C$53))^(1/12)-1</f>
        <v>0.00682149336596227</v>
      </c>
      <c r="Q153" s="22" t="n">
        <f aca="false">($A153=Premissas!$C$16)*Premissas!$C$13</f>
        <v>0</v>
      </c>
      <c r="R153" s="22" t="n">
        <f aca="false">L153-M153-N153-Q153</f>
        <v>2096.72755620357</v>
      </c>
      <c r="S153" s="22" t="n">
        <f aca="false">S152+R153</f>
        <v>-126914.018163393</v>
      </c>
      <c r="T153" s="22" t="n">
        <f aca="false">IF($A153&gt;=Premissas!$C$18,O153*(1-Premissas!$C$45)-Premissas!$C$46*MAX(0,O153*(1-Premissas!$C$45)-(SUM($Q$5:$Q$355)+Premissas!$C$26*Premissas!$C$60)),"")</f>
        <v>542005.639662887</v>
      </c>
      <c r="U153" s="22" t="n">
        <f aca="false">IF($A153&gt;=Premissas!$C$18,S153+T153,"")</f>
        <v>415091.621499494</v>
      </c>
      <c r="V153" s="22" t="n">
        <f aca="false">V152*(1+$P153)-R153</f>
        <v>568363.89288193</v>
      </c>
      <c r="W153" s="22" t="n">
        <f aca="false">($A153=Premissas!$C$16)*Premissas!$C$9</f>
        <v>0</v>
      </c>
      <c r="X153" s="22" t="n">
        <f aca="false">L153-M153-N153-W153</f>
        <v>2096.72755620357</v>
      </c>
      <c r="Y153" s="22" t="n">
        <f aca="false">Y152+X153</f>
        <v>-157842.018163393</v>
      </c>
      <c r="Z153" s="22" t="n">
        <f aca="false">IF($A153&gt;=Premissas!$C$18,O153*(1-Premissas!$C$45)-Premissas!$C$46*MAX(0,O153*(1-Premissas!$C$45)-(SUM($W$5:$W$355)+Premissas!$C$26*Premissas!$C$60)),"")</f>
        <v>546644.839662887</v>
      </c>
      <c r="AA153" s="22" t="n">
        <f aca="false">IF($A153&gt;=Premissas!$C$18,Y153+Z153,"")</f>
        <v>388802.821499494</v>
      </c>
      <c r="AB153" s="22" t="n">
        <f aca="false">AB152*(1+$P153)-X153</f>
        <v>655734.347143789</v>
      </c>
      <c r="AC153" s="22" t="n">
        <f aca="false">AND($A153&gt;=Premissas!$C$16,$A153&lt;EDATE(Premissas!$C$16,3))*Premissas!$C$10/3*(1+Premissas!$C$56)^$C153</f>
        <v>0</v>
      </c>
      <c r="AD153" s="22" t="n">
        <f aca="false">L153-M153-N153-AC153</f>
        <v>2096.72755620357</v>
      </c>
      <c r="AE153" s="22" t="n">
        <f aca="false">AE152+AD153</f>
        <v>-165462.482043418</v>
      </c>
      <c r="AF153" s="22" t="n">
        <f aca="false">IF($A153&gt;=Premissas!$C$18,O153*(1-Premissas!$C$45)-Premissas!$C$46*MAX(0,O153*(1-Premissas!$C$45)-(SUM($AC$5:$AC$355)+Premissas!$C$26*Premissas!$C$60)),"")</f>
        <v>547787.90924489</v>
      </c>
      <c r="AG153" s="22" t="n">
        <f aca="false">IF($A153&gt;=Premissas!$C$18,AE153+AF153,"")</f>
        <v>382325.427201473</v>
      </c>
      <c r="AH153" s="22" t="n">
        <f aca="false">AH152*(1+$P153)-AD153</f>
        <v>669661.130145612</v>
      </c>
      <c r="AI153" s="22" t="n">
        <f aca="false">($A153=Premissas!$C$16)*0.2*Premissas!$C$11+AND($A153&gt;Premissas!$C$16,$A153&lt;=EDATE(Premissas!$C$16,43))*0.8*Premissas!$C$11/43*(1+Premissas!$C$56)^$C153</f>
        <v>0</v>
      </c>
      <c r="AJ153" s="22" t="n">
        <f aca="false">L153-M153-N153-AI153</f>
        <v>2096.72755620357</v>
      </c>
      <c r="AK153" s="22" t="n">
        <f aca="false">AK152+AJ153</f>
        <v>-211326.96746148</v>
      </c>
      <c r="AL153" s="22" t="n">
        <f aca="false">IF($A153&gt;=Premissas!$C$18,O153*(1-Premissas!$C$45)-Premissas!$C$46*MAX(0,O153*(1-Premissas!$C$45)-(SUM($AI$5:$AI$355)+Premissas!$C$26*Premissas!$C$60)),"")</f>
        <v>554667.5820576</v>
      </c>
      <c r="AM153" s="22" t="n">
        <f aca="false">IF($A153&gt;=Premissas!$C$18,AK153+AL153,"")</f>
        <v>343340.61459612</v>
      </c>
      <c r="AN153" s="22" t="n">
        <f aca="false">AN152*(1+$P153)-AJ153</f>
        <v>682655.616014977</v>
      </c>
      <c r="AO153" s="22" t="n">
        <f aca="false">V153+S153</f>
        <v>441449.874718537</v>
      </c>
    </row>
    <row r="154" customFormat="false" ht="15" hidden="false" customHeight="false" outlineLevel="0" collapsed="false">
      <c r="A154" s="26" t="n">
        <f aca="false">DATE(YEAR(A153),MONTH(A153)+1,1)</f>
        <v>50830</v>
      </c>
      <c r="B154" s="22" t="str">
        <f aca="false">IF($A154&lt;Premissas!$C$18,"Obra",IF($A154&lt;Premissas!$C$20,"Entrega/mobília","Airbnb"))</f>
        <v>Airbnb</v>
      </c>
      <c r="C154" s="36" t="n">
        <f aca="false">(YEAR($A154)-YEAR(Premissas!$C$16))*12+MONTH($A154)-MONTH(Premissas!$C$16)</f>
        <v>149</v>
      </c>
      <c r="D154" s="33" t="n">
        <f aca="false">IF($A154&gt;=Premissas!$C$20,Premissas!$C$31*IF(((YEAR($A154)-YEAR(Premissas!$C$20))*12+MONTH($A154)-MONTH(Premissas!$C$20))&lt;Premissas!$C$33,Premissas!$C$34,1),0)</f>
        <v>0.62</v>
      </c>
      <c r="E154" s="22" t="n">
        <f aca="false">D154*Premissas!$C$30*Premissas!$C$32*(1+Premissas!$C$58)^$C154</f>
        <v>7567.46200624158</v>
      </c>
      <c r="F154" s="22" t="n">
        <f aca="false">E154*Premissas!$C$35</f>
        <v>1210.79392099865</v>
      </c>
      <c r="G154" s="22" t="n">
        <f aca="false">E154*Premissas!$C$36</f>
        <v>1513.49240124832</v>
      </c>
      <c r="H154" s="22" t="n">
        <f aca="false">IF($A154&gt;=Premissas!$C$18,Premissas!$C$37*(1+Premissas!$C$58)^$C154,0)</f>
        <v>976.446710482785</v>
      </c>
      <c r="I154" s="22" t="n">
        <f aca="false">IF($A154&gt;=Premissas!$C$20,Premissas!$C$38*(1+Premissas!$C$58)^$C154,0)</f>
        <v>455.675131558633</v>
      </c>
      <c r="J154" s="22" t="n">
        <f aca="false">IF($A154&gt;=Premissas!$C$20,Premissas!$C$39*(1+Premissas!$C$58)^$C154,0)</f>
        <v>244.111677620696</v>
      </c>
      <c r="K154" s="22" t="n">
        <f aca="false">IF($A154&gt;=Premissas!$C$20,MAX(0,E154-F154-G154-H154)*Premissas!$C$41,0)</f>
        <v>1063.35046771575</v>
      </c>
      <c r="L154" s="22" t="n">
        <f aca="false">E154-F154-G154-H154-I154-J154-K154</f>
        <v>2103.59169661675</v>
      </c>
      <c r="M154" s="22" t="n">
        <f aca="false">($A154=Premissas!$C$18)*Premissas!$C$26*Premissas!$C$60</f>
        <v>0</v>
      </c>
      <c r="N154" s="22" t="n">
        <f aca="false">IF(AND($A154&gt;=Premissas!$C$18,$A154&lt;Premissas!$C$20),Premissas!$C$27/MAX(1,Premissas!$C$19),0)</f>
        <v>0</v>
      </c>
      <c r="O154" s="22" t="n">
        <f aca="false">IF($A154&gt;=Premissas!$C$18,Premissas!$C$60*(1+Premissas!$C$59)^((YEAR($A154)-YEAR(Premissas!$C$18))*12+MONTH($A154)-MONTH(Premissas!$C$18)),"")</f>
        <v>630889.845584386</v>
      </c>
      <c r="P154" s="31" t="n">
        <f aca="false">(1+IF(YEAR($A154)&lt;=2026,Premissas!$C$49,IF(YEAR($A154)=2027,Premissas!$C$50,IF(YEAR($A154)=2028,Premissas!$C$51,Premissas!$C$52)))*(1-Premissas!$C$53))^(1/12)-1</f>
        <v>0.00682149336596227</v>
      </c>
      <c r="Q154" s="22" t="n">
        <f aca="false">($A154=Premissas!$C$16)*Premissas!$C$13</f>
        <v>0</v>
      </c>
      <c r="R154" s="22" t="n">
        <f aca="false">L154-M154-N154-Q154</f>
        <v>2103.59169661675</v>
      </c>
      <c r="S154" s="22" t="n">
        <f aca="false">S153+R154</f>
        <v>-124810.426466776</v>
      </c>
      <c r="T154" s="22" t="n">
        <f aca="false">IF($A154&gt;=Premissas!$C$18,O154*(1-Premissas!$C$45)-Premissas!$C$46*MAX(0,O154*(1-Premissas!$C$45)-(SUM($Q$5:$Q$355)+Premissas!$C$26*Premissas!$C$60)),"")</f>
        <v>544050.994968671</v>
      </c>
      <c r="U154" s="22" t="n">
        <f aca="false">IF($A154&gt;=Premissas!$C$18,S154+T154,"")</f>
        <v>419240.568501895</v>
      </c>
      <c r="V154" s="22" t="n">
        <f aca="false">V153*(1+$P154)-R154</f>
        <v>570137.39171006</v>
      </c>
      <c r="W154" s="22" t="n">
        <f aca="false">($A154=Premissas!$C$16)*Premissas!$C$9</f>
        <v>0</v>
      </c>
      <c r="X154" s="22" t="n">
        <f aca="false">L154-M154-N154-W154</f>
        <v>2103.59169661675</v>
      </c>
      <c r="Y154" s="22" t="n">
        <f aca="false">Y153+X154</f>
        <v>-155738.426466776</v>
      </c>
      <c r="Z154" s="22" t="n">
        <f aca="false">IF($A154&gt;=Premissas!$C$18,O154*(1-Premissas!$C$45)-Premissas!$C$46*MAX(0,O154*(1-Premissas!$C$45)-(SUM($W$5:$W$355)+Premissas!$C$26*Premissas!$C$60)),"")</f>
        <v>548690.194968671</v>
      </c>
      <c r="AA154" s="22" t="n">
        <f aca="false">IF($A154&gt;=Premissas!$C$18,Y154+Z154,"")</f>
        <v>392951.768501895</v>
      </c>
      <c r="AB154" s="22" t="n">
        <f aca="false">AB153*(1+$P154)-X154</f>
        <v>658103.842946047</v>
      </c>
      <c r="AC154" s="22" t="n">
        <f aca="false">AND($A154&gt;=Premissas!$C$16,$A154&lt;EDATE(Premissas!$C$16,3))*Premissas!$C$10/3*(1+Premissas!$C$56)^$C154</f>
        <v>0</v>
      </c>
      <c r="AD154" s="22" t="n">
        <f aca="false">L154-M154-N154-AC154</f>
        <v>2103.59169661675</v>
      </c>
      <c r="AE154" s="22" t="n">
        <f aca="false">AE153+AD154</f>
        <v>-163358.890346801</v>
      </c>
      <c r="AF154" s="22" t="n">
        <f aca="false">IF($A154&gt;=Premissas!$C$18,O154*(1-Premissas!$C$45)-Premissas!$C$46*MAX(0,O154*(1-Premissas!$C$45)-(SUM($AC$5:$AC$355)+Premissas!$C$26*Premissas!$C$60)),"")</f>
        <v>549833.264550675</v>
      </c>
      <c r="AG154" s="22" t="n">
        <f aca="false">IF($A154&gt;=Premissas!$C$18,AE154+AF154,"")</f>
        <v>386474.374203874</v>
      </c>
      <c r="AH154" s="22" t="n">
        <f aca="false">AH153*(1+$P154)-AD154</f>
        <v>672125.627405727</v>
      </c>
      <c r="AI154" s="22" t="n">
        <f aca="false">($A154=Premissas!$C$16)*0.2*Premissas!$C$11+AND($A154&gt;Premissas!$C$16,$A154&lt;=EDATE(Premissas!$C$16,43))*0.8*Premissas!$C$11/43*(1+Premissas!$C$56)^$C154</f>
        <v>0</v>
      </c>
      <c r="AJ154" s="22" t="n">
        <f aca="false">L154-M154-N154-AI154</f>
        <v>2103.59169661675</v>
      </c>
      <c r="AK154" s="22" t="n">
        <f aca="false">AK153+AJ154</f>
        <v>-209223.375764863</v>
      </c>
      <c r="AL154" s="22" t="n">
        <f aca="false">IF($A154&gt;=Premissas!$C$18,O154*(1-Premissas!$C$45)-Premissas!$C$46*MAX(0,O154*(1-Premissas!$C$45)-(SUM($AI$5:$AI$355)+Premissas!$C$26*Premissas!$C$60)),"")</f>
        <v>556712.937363384</v>
      </c>
      <c r="AM154" s="22" t="n">
        <f aca="false">IF($A154&gt;=Premissas!$C$18,AK154+AL154,"")</f>
        <v>347489.561598521</v>
      </c>
      <c r="AN154" s="22" t="n">
        <f aca="false">AN153*(1+$P154)-AJ154</f>
        <v>685208.755074244</v>
      </c>
      <c r="AO154" s="22" t="n">
        <f aca="false">V154+S154</f>
        <v>445326.965243283</v>
      </c>
    </row>
    <row r="155" customFormat="false" ht="15" hidden="false" customHeight="false" outlineLevel="0" collapsed="false">
      <c r="A155" s="26" t="n">
        <f aca="false">DATE(YEAR(A154),MONTH(A154)+1,1)</f>
        <v>50861</v>
      </c>
      <c r="B155" s="22" t="str">
        <f aca="false">IF($A155&lt;Premissas!$C$18,"Obra",IF($A155&lt;Premissas!$C$20,"Entrega/mobília","Airbnb"))</f>
        <v>Airbnb</v>
      </c>
      <c r="C155" s="36" t="n">
        <f aca="false">(YEAR($A155)-YEAR(Premissas!$C$16))*12+MONTH($A155)-MONTH(Premissas!$C$16)</f>
        <v>150</v>
      </c>
      <c r="D155" s="33" t="n">
        <f aca="false">IF($A155&gt;=Premissas!$C$20,Premissas!$C$31*IF(((YEAR($A155)-YEAR(Premissas!$C$20))*12+MONTH($A155)-MONTH(Premissas!$C$20))&lt;Premissas!$C$33,Premissas!$C$34,1),0)</f>
        <v>0.62</v>
      </c>
      <c r="E155" s="22" t="n">
        <f aca="false">D155*Premissas!$C$30*Premissas!$C$32*(1+Premissas!$C$58)^$C155</f>
        <v>7592.2359076617</v>
      </c>
      <c r="F155" s="22" t="n">
        <f aca="false">E155*Premissas!$C$35</f>
        <v>1214.75774522587</v>
      </c>
      <c r="G155" s="22" t="n">
        <f aca="false">E155*Premissas!$C$36</f>
        <v>1518.44718153234</v>
      </c>
      <c r="H155" s="22" t="n">
        <f aca="false">IF($A155&gt;=Premissas!$C$18,Premissas!$C$37*(1+Premissas!$C$58)^$C155,0)</f>
        <v>979.64334292409</v>
      </c>
      <c r="I155" s="22" t="n">
        <f aca="false">IF($A155&gt;=Premissas!$C$20,Premissas!$C$38*(1+Premissas!$C$58)^$C155,0)</f>
        <v>457.166893364575</v>
      </c>
      <c r="J155" s="22" t="n">
        <f aca="false">IF($A155&gt;=Premissas!$C$20,Premissas!$C$39*(1+Premissas!$C$58)^$C155,0)</f>
        <v>244.910835731022</v>
      </c>
      <c r="K155" s="22" t="n">
        <f aca="false">IF($A155&gt;=Premissas!$C$20,MAX(0,E155-F155-G155-H155)*Premissas!$C$41,0)</f>
        <v>1066.83160044433</v>
      </c>
      <c r="L155" s="22" t="n">
        <f aca="false">E155-F155-G155-H155-I155-J155-K155</f>
        <v>2110.47830843946</v>
      </c>
      <c r="M155" s="22" t="n">
        <f aca="false">($A155=Premissas!$C$18)*Premissas!$C$26*Premissas!$C$60</f>
        <v>0</v>
      </c>
      <c r="N155" s="22" t="n">
        <f aca="false">IF(AND($A155&gt;=Premissas!$C$18,$A155&lt;Premissas!$C$20),Premissas!$C$27/MAX(1,Premissas!$C$19),0)</f>
        <v>0</v>
      </c>
      <c r="O155" s="22" t="n">
        <f aca="false">IF($A155&gt;=Premissas!$C$18,Premissas!$C$60*(1+Premissas!$C$59)^((YEAR($A155)-YEAR(Premissas!$C$18))*12+MONTH($A155)-MONTH(Premissas!$C$18)),"")</f>
        <v>633460.168909144</v>
      </c>
      <c r="P155" s="31" t="n">
        <f aca="false">(1+IF(YEAR($A155)&lt;=2026,Premissas!$C$49,IF(YEAR($A155)=2027,Premissas!$C$50,IF(YEAR($A155)=2028,Premissas!$C$51,Premissas!$C$52)))*(1-Premissas!$C$53))^(1/12)-1</f>
        <v>0.00682149336596227</v>
      </c>
      <c r="Q155" s="22" t="n">
        <f aca="false">($A155=Premissas!$C$16)*Premissas!$C$13</f>
        <v>0</v>
      </c>
      <c r="R155" s="22" t="n">
        <f aca="false">L155-M155-N155-Q155</f>
        <v>2110.47830843946</v>
      </c>
      <c r="S155" s="22" t="n">
        <f aca="false">S154+R155</f>
        <v>-122699.948158337</v>
      </c>
      <c r="T155" s="22" t="n">
        <f aca="false">IF($A155&gt;=Premissas!$C$18,O155*(1-Premissas!$C$45)-Premissas!$C$46*MAX(0,O155*(1-Premissas!$C$45)-(SUM($Q$5:$Q$355)+Premissas!$C$26*Premissas!$C$60)),"")</f>
        <v>546104.683305152</v>
      </c>
      <c r="U155" s="22" t="n">
        <f aca="false">IF($A155&gt;=Premissas!$C$18,S155+T155,"")</f>
        <v>423404.735146815</v>
      </c>
      <c r="V155" s="22" t="n">
        <f aca="false">V154*(1+$P155)-R155</f>
        <v>571916.101836857</v>
      </c>
      <c r="W155" s="22" t="n">
        <f aca="false">($A155=Premissas!$C$16)*Premissas!$C$9</f>
        <v>0</v>
      </c>
      <c r="X155" s="22" t="n">
        <f aca="false">L155-M155-N155-W155</f>
        <v>2110.47830843946</v>
      </c>
      <c r="Y155" s="22" t="n">
        <f aca="false">Y154+X155</f>
        <v>-153627.948158337</v>
      </c>
      <c r="Z155" s="22" t="n">
        <f aca="false">IF($A155&gt;=Premissas!$C$18,O155*(1-Premissas!$C$45)-Premissas!$C$46*MAX(0,O155*(1-Premissas!$C$45)-(SUM($W$5:$W$355)+Premissas!$C$26*Premissas!$C$60)),"")</f>
        <v>550743.883305152</v>
      </c>
      <c r="AA155" s="22" t="n">
        <f aca="false">IF($A155&gt;=Premissas!$C$18,Y155+Z155,"")</f>
        <v>397115.935146816</v>
      </c>
      <c r="AB155" s="22" t="n">
        <f aca="false">AB154*(1+$P155)-X155</f>
        <v>660482.615636378</v>
      </c>
      <c r="AC155" s="22" t="n">
        <f aca="false">AND($A155&gt;=Premissas!$C$16,$A155&lt;EDATE(Premissas!$C$16,3))*Premissas!$C$10/3*(1+Premissas!$C$56)^$C155</f>
        <v>0</v>
      </c>
      <c r="AD155" s="22" t="n">
        <f aca="false">L155-M155-N155-AC155</f>
        <v>2110.47830843946</v>
      </c>
      <c r="AE155" s="22" t="n">
        <f aca="false">AE154+AD155</f>
        <v>-161248.412038362</v>
      </c>
      <c r="AF155" s="22" t="n">
        <f aca="false">IF($A155&gt;=Premissas!$C$18,O155*(1-Premissas!$C$45)-Premissas!$C$46*MAX(0,O155*(1-Premissas!$C$45)-(SUM($AC$5:$AC$355)+Premissas!$C$26*Premissas!$C$60)),"")</f>
        <v>551886.952887156</v>
      </c>
      <c r="AG155" s="22" t="n">
        <f aca="false">IF($A155&gt;=Premissas!$C$18,AE155+AF155,"")</f>
        <v>390638.540848794</v>
      </c>
      <c r="AH155" s="22" t="n">
        <f aca="false">AH154*(1+$P155)-AD155</f>
        <v>674600.049605729</v>
      </c>
      <c r="AI155" s="22" t="n">
        <f aca="false">($A155=Premissas!$C$16)*0.2*Premissas!$C$11+AND($A155&gt;Premissas!$C$16,$A155&lt;=EDATE(Premissas!$C$16,43))*0.8*Premissas!$C$11/43*(1+Premissas!$C$56)^$C155</f>
        <v>0</v>
      </c>
      <c r="AJ155" s="22" t="n">
        <f aca="false">L155-M155-N155-AI155</f>
        <v>2110.47830843946</v>
      </c>
      <c r="AK155" s="22" t="n">
        <f aca="false">AK154+AJ155</f>
        <v>-207112.897456423</v>
      </c>
      <c r="AL155" s="22" t="n">
        <f aca="false">IF($A155&gt;=Premissas!$C$18,O155*(1-Premissas!$C$45)-Premissas!$C$46*MAX(0,O155*(1-Premissas!$C$45)-(SUM($AI$5:$AI$355)+Premissas!$C$26*Premissas!$C$60)),"")</f>
        <v>558766.625699865</v>
      </c>
      <c r="AM155" s="22" t="n">
        <f aca="false">IF($A155&gt;=Premissas!$C$18,AK155+AL155,"")</f>
        <v>351653.728243442</v>
      </c>
      <c r="AN155" s="22" t="n">
        <f aca="false">AN154*(1+$P155)-AJ155</f>
        <v>687772.423742842</v>
      </c>
      <c r="AO155" s="22" t="n">
        <f aca="false">V155+S155</f>
        <v>449216.15367852</v>
      </c>
    </row>
    <row r="156" customFormat="false" ht="15" hidden="false" customHeight="false" outlineLevel="0" collapsed="false">
      <c r="A156" s="26" t="n">
        <f aca="false">DATE(YEAR(A155),MONTH(A155)+1,1)</f>
        <v>50891</v>
      </c>
      <c r="B156" s="22" t="str">
        <f aca="false">IF($A156&lt;Premissas!$C$18,"Obra",IF($A156&lt;Premissas!$C$20,"Entrega/mobília","Airbnb"))</f>
        <v>Airbnb</v>
      </c>
      <c r="C156" s="36" t="n">
        <f aca="false">(YEAR($A156)-YEAR(Premissas!$C$16))*12+MONTH($A156)-MONTH(Premissas!$C$16)</f>
        <v>151</v>
      </c>
      <c r="D156" s="33" t="n">
        <f aca="false">IF($A156&gt;=Premissas!$C$20,Premissas!$C$31*IF(((YEAR($A156)-YEAR(Premissas!$C$20))*12+MONTH($A156)-MONTH(Premissas!$C$20))&lt;Premissas!$C$33,Premissas!$C$34,1),0)</f>
        <v>0.62</v>
      </c>
      <c r="E156" s="22" t="n">
        <f aca="false">D156*Premissas!$C$30*Premissas!$C$32*(1+Premissas!$C$58)^$C156</f>
        <v>7617.09091238845</v>
      </c>
      <c r="F156" s="22" t="n">
        <f aca="false">E156*Premissas!$C$35</f>
        <v>1218.73454598215</v>
      </c>
      <c r="G156" s="22" t="n">
        <f aca="false">E156*Premissas!$C$36</f>
        <v>1523.41818247769</v>
      </c>
      <c r="H156" s="22" t="n">
        <f aca="false">IF($A156&gt;=Premissas!$C$18,Premissas!$C$37*(1+Premissas!$C$58)^$C156,0)</f>
        <v>982.850440308187</v>
      </c>
      <c r="I156" s="22" t="n">
        <f aca="false">IF($A156&gt;=Premissas!$C$20,Premissas!$C$38*(1+Premissas!$C$58)^$C156,0)</f>
        <v>458.663538810487</v>
      </c>
      <c r="J156" s="22" t="n">
        <f aca="false">IF($A156&gt;=Premissas!$C$20,Premissas!$C$39*(1+Premissas!$C$58)^$C156,0)</f>
        <v>245.712610077047</v>
      </c>
      <c r="K156" s="22" t="n">
        <f aca="false">IF($A156&gt;=Premissas!$C$20,MAX(0,E156-F156-G156-H156)*Premissas!$C$41,0)</f>
        <v>1070.32412949562</v>
      </c>
      <c r="L156" s="22" t="n">
        <f aca="false">E156-F156-G156-H156-I156-J156-K156</f>
        <v>2117.38746523727</v>
      </c>
      <c r="M156" s="22" t="n">
        <f aca="false">($A156=Premissas!$C$18)*Premissas!$C$26*Premissas!$C$60</f>
        <v>0</v>
      </c>
      <c r="N156" s="22" t="n">
        <f aca="false">IF(AND($A156&gt;=Premissas!$C$18,$A156&lt;Premissas!$C$20),Premissas!$C$27/MAX(1,Premissas!$C$19),0)</f>
        <v>0</v>
      </c>
      <c r="O156" s="22" t="n">
        <f aca="false">IF($A156&gt;=Premissas!$C$18,Premissas!$C$60*(1+Premissas!$C$59)^((YEAR($A156)-YEAR(Premissas!$C$18))*12+MONTH($A156)-MONTH(Premissas!$C$18)),"")</f>
        <v>636040.964049291</v>
      </c>
      <c r="P156" s="31" t="n">
        <f aca="false">(1+IF(YEAR($A156)&lt;=2026,Premissas!$C$49,IF(YEAR($A156)=2027,Premissas!$C$50,IF(YEAR($A156)=2028,Premissas!$C$51,Premissas!$C$52)))*(1-Premissas!$C$53))^(1/12)-1</f>
        <v>0.00682149336596227</v>
      </c>
      <c r="Q156" s="22" t="n">
        <f aca="false">($A156=Premissas!$C$16)*Premissas!$C$13</f>
        <v>0</v>
      </c>
      <c r="R156" s="22" t="n">
        <f aca="false">L156-M156-N156-Q156</f>
        <v>2117.38746523727</v>
      </c>
      <c r="S156" s="22" t="n">
        <f aca="false">S155+R156</f>
        <v>-120582.5606931</v>
      </c>
      <c r="T156" s="22" t="n">
        <f aca="false">IF($A156&gt;=Premissas!$C$18,O156*(1-Premissas!$C$45)-Premissas!$C$46*MAX(0,O156*(1-Premissas!$C$45)-(SUM($Q$5:$Q$355)+Premissas!$C$26*Premissas!$C$60)),"")</f>
        <v>548166.738622129</v>
      </c>
      <c r="U156" s="22" t="n">
        <f aca="false">IF($A156&gt;=Premissas!$C$18,S156+T156,"")</f>
        <v>427584.17792903</v>
      </c>
      <c r="V156" s="22" t="n">
        <f aca="false">V155*(1+$P156)-R156</f>
        <v>573700.036266187</v>
      </c>
      <c r="W156" s="22" t="n">
        <f aca="false">($A156=Premissas!$C$16)*Premissas!$C$9</f>
        <v>0</v>
      </c>
      <c r="X156" s="22" t="n">
        <f aca="false">L156-M156-N156-W156</f>
        <v>2117.38746523727</v>
      </c>
      <c r="Y156" s="22" t="n">
        <f aca="false">Y155+X156</f>
        <v>-151510.560693099</v>
      </c>
      <c r="Z156" s="22" t="n">
        <f aca="false">IF($A156&gt;=Premissas!$C$18,O156*(1-Premissas!$C$45)-Premissas!$C$46*MAX(0,O156*(1-Premissas!$C$45)-(SUM($W$5:$W$355)+Premissas!$C$26*Premissas!$C$60)),"")</f>
        <v>552805.938622129</v>
      </c>
      <c r="AA156" s="22" t="n">
        <f aca="false">IF($A156&gt;=Premissas!$C$18,Y156+Z156,"")</f>
        <v>401295.37792903</v>
      </c>
      <c r="AB156" s="22" t="n">
        <f aca="false">AB155*(1+$P156)-X156</f>
        <v>662870.705952038</v>
      </c>
      <c r="AC156" s="22" t="n">
        <f aca="false">AND($A156&gt;=Premissas!$C$16,$A156&lt;EDATE(Premissas!$C$16,3))*Premissas!$C$10/3*(1+Premissas!$C$56)^$C156</f>
        <v>0</v>
      </c>
      <c r="AD156" s="22" t="n">
        <f aca="false">L156-M156-N156-AC156</f>
        <v>2117.38746523727</v>
      </c>
      <c r="AE156" s="22" t="n">
        <f aca="false">AE155+AD156</f>
        <v>-159131.024573124</v>
      </c>
      <c r="AF156" s="22" t="n">
        <f aca="false">IF($A156&gt;=Premissas!$C$18,O156*(1-Premissas!$C$45)-Premissas!$C$46*MAX(0,O156*(1-Premissas!$C$45)-(SUM($AC$5:$AC$355)+Premissas!$C$26*Premissas!$C$60)),"")</f>
        <v>553949.008204133</v>
      </c>
      <c r="AG156" s="22" t="n">
        <f aca="false">IF($A156&gt;=Premissas!$C$18,AE156+AF156,"")</f>
        <v>394817.983631009</v>
      </c>
      <c r="AH156" s="22" t="n">
        <f aca="false">AH155*(1+$P156)-AD156</f>
        <v>677084.441903555</v>
      </c>
      <c r="AI156" s="22" t="n">
        <f aca="false">($A156=Premissas!$C$16)*0.2*Premissas!$C$11+AND($A156&gt;Premissas!$C$16,$A156&lt;=EDATE(Premissas!$C$16,43))*0.8*Premissas!$C$11/43*(1+Premissas!$C$56)^$C156</f>
        <v>0</v>
      </c>
      <c r="AJ156" s="22" t="n">
        <f aca="false">L156-M156-N156-AI156</f>
        <v>2117.38746523727</v>
      </c>
      <c r="AK156" s="22" t="n">
        <f aca="false">AK155+AJ156</f>
        <v>-204995.509991186</v>
      </c>
      <c r="AL156" s="22" t="n">
        <f aca="false">IF($A156&gt;=Premissas!$C$18,O156*(1-Premissas!$C$45)-Premissas!$C$46*MAX(0,O156*(1-Premissas!$C$45)-(SUM($AI$5:$AI$355)+Premissas!$C$26*Premissas!$C$60)),"")</f>
        <v>560828.681016842</v>
      </c>
      <c r="AM156" s="22" t="n">
        <f aca="false">IF($A156&gt;=Premissas!$C$18,AK156+AL156,"")</f>
        <v>355833.171025656</v>
      </c>
      <c r="AN156" s="22" t="n">
        <f aca="false">AN155*(1+$P156)-AJ156</f>
        <v>690346.671303459</v>
      </c>
      <c r="AO156" s="22" t="n">
        <f aca="false">V156+S156</f>
        <v>453117.475573088</v>
      </c>
    </row>
    <row r="157" customFormat="false" ht="15" hidden="false" customHeight="false" outlineLevel="0" collapsed="false">
      <c r="A157" s="26" t="n">
        <f aca="false">DATE(YEAR(A156),MONTH(A156)+1,1)</f>
        <v>50922</v>
      </c>
      <c r="B157" s="22" t="str">
        <f aca="false">IF($A157&lt;Premissas!$C$18,"Obra",IF($A157&lt;Premissas!$C$20,"Entrega/mobília","Airbnb"))</f>
        <v>Airbnb</v>
      </c>
      <c r="C157" s="36" t="n">
        <f aca="false">(YEAR($A157)-YEAR(Premissas!$C$16))*12+MONTH($A157)-MONTH(Premissas!$C$16)</f>
        <v>152</v>
      </c>
      <c r="D157" s="33" t="n">
        <f aca="false">IF($A157&gt;=Premissas!$C$20,Premissas!$C$31*IF(((YEAR($A157)-YEAR(Premissas!$C$20))*12+MONTH($A157)-MONTH(Premissas!$C$20))&lt;Premissas!$C$33,Premissas!$C$34,1),0)</f>
        <v>0.62</v>
      </c>
      <c r="E157" s="22" t="n">
        <f aca="false">D157*Premissas!$C$30*Premissas!$C$32*(1+Premissas!$C$58)^$C157</f>
        <v>7642.02728593296</v>
      </c>
      <c r="F157" s="22" t="n">
        <f aca="false">E157*Premissas!$C$35</f>
        <v>1222.72436574927</v>
      </c>
      <c r="G157" s="22" t="n">
        <f aca="false">E157*Premissas!$C$36</f>
        <v>1528.40545718659</v>
      </c>
      <c r="H157" s="22" t="n">
        <f aca="false">IF($A157&gt;=Premissas!$C$18,Premissas!$C$37*(1+Premissas!$C$58)^$C157,0)</f>
        <v>986.068036894575</v>
      </c>
      <c r="I157" s="22" t="n">
        <f aca="false">IF($A157&gt;=Premissas!$C$20,Premissas!$C$38*(1+Premissas!$C$58)^$C157,0)</f>
        <v>460.165083884135</v>
      </c>
      <c r="J157" s="22" t="n">
        <f aca="false">IF($A157&gt;=Premissas!$C$20,Premissas!$C$39*(1+Premissas!$C$58)^$C157,0)</f>
        <v>246.517009223644</v>
      </c>
      <c r="K157" s="22" t="n">
        <f aca="false">IF($A157&gt;=Premissas!$C$20,MAX(0,E157-F157-G157-H157)*Premissas!$C$41,0)</f>
        <v>1073.82809217819</v>
      </c>
      <c r="L157" s="22" t="n">
        <f aca="false">E157-F157-G157-H157-I157-J157-K157</f>
        <v>2124.31924081655</v>
      </c>
      <c r="M157" s="22" t="n">
        <f aca="false">($A157=Premissas!$C$18)*Premissas!$C$26*Premissas!$C$60</f>
        <v>0</v>
      </c>
      <c r="N157" s="22" t="n">
        <f aca="false">IF(AND($A157&gt;=Premissas!$C$18,$A157&lt;Premissas!$C$20),Premissas!$C$27/MAX(1,Premissas!$C$19),0)</f>
        <v>0</v>
      </c>
      <c r="O157" s="22" t="n">
        <f aca="false">IF($A157&gt;=Premissas!$C$18,Premissas!$C$60*(1+Premissas!$C$59)^((YEAR($A157)-YEAR(Premissas!$C$18))*12+MONTH($A157)-MONTH(Premissas!$C$18)),"")</f>
        <v>638632.273668298</v>
      </c>
      <c r="P157" s="31" t="n">
        <f aca="false">(1+IF(YEAR($A157)&lt;=2026,Premissas!$C$49,IF(YEAR($A157)=2027,Premissas!$C$50,IF(YEAR($A157)=2028,Premissas!$C$51,Premissas!$C$52)))*(1-Premissas!$C$53))^(1/12)-1</f>
        <v>0.00682149336596227</v>
      </c>
      <c r="Q157" s="22" t="n">
        <f aca="false">($A157=Premissas!$C$16)*Premissas!$C$13</f>
        <v>0</v>
      </c>
      <c r="R157" s="22" t="n">
        <f aca="false">L157-M157-N157-Q157</f>
        <v>2124.31924081655</v>
      </c>
      <c r="S157" s="22" t="n">
        <f aca="false">S156+R157</f>
        <v>-118458.241452283</v>
      </c>
      <c r="T157" s="22" t="n">
        <f aca="false">IF($A157&gt;=Premissas!$C$18,O157*(1-Premissas!$C$45)-Premissas!$C$46*MAX(0,O157*(1-Premissas!$C$45)-(SUM($Q$5:$Q$355)+Premissas!$C$26*Premissas!$C$60)),"")</f>
        <v>550237.195007716</v>
      </c>
      <c r="U157" s="22" t="n">
        <f aca="false">IF($A157&gt;=Premissas!$C$18,S157+T157,"")</f>
        <v>431778.953555433</v>
      </c>
      <c r="V157" s="22" t="n">
        <f aca="false">V156*(1+$P157)-R157</f>
        <v>575489.208016813</v>
      </c>
      <c r="W157" s="22" t="n">
        <f aca="false">($A157=Premissas!$C$16)*Premissas!$C$9</f>
        <v>0</v>
      </c>
      <c r="X157" s="22" t="n">
        <f aca="false">L157-M157-N157-W157</f>
        <v>2124.31924081655</v>
      </c>
      <c r="Y157" s="22" t="n">
        <f aca="false">Y156+X157</f>
        <v>-149386.241452283</v>
      </c>
      <c r="Z157" s="22" t="n">
        <f aca="false">IF($A157&gt;=Premissas!$C$18,O157*(1-Premissas!$C$45)-Premissas!$C$46*MAX(0,O157*(1-Premissas!$C$45)-(SUM($W$5:$W$355)+Premissas!$C$26*Premissas!$C$60)),"")</f>
        <v>554876.395007717</v>
      </c>
      <c r="AA157" s="22" t="n">
        <f aca="false">IF($A157&gt;=Premissas!$C$18,Y157+Z157,"")</f>
        <v>405490.153555434</v>
      </c>
      <c r="AB157" s="22" t="n">
        <f aca="false">AB156*(1+$P157)-X157</f>
        <v>665268.154834364</v>
      </c>
      <c r="AC157" s="22" t="n">
        <f aca="false">AND($A157&gt;=Premissas!$C$16,$A157&lt;EDATE(Premissas!$C$16,3))*Premissas!$C$10/3*(1+Premissas!$C$56)^$C157</f>
        <v>0</v>
      </c>
      <c r="AD157" s="22" t="n">
        <f aca="false">L157-M157-N157-AC157</f>
        <v>2124.31924081655</v>
      </c>
      <c r="AE157" s="22" t="n">
        <f aca="false">AE156+AD157</f>
        <v>-157006.705332308</v>
      </c>
      <c r="AF157" s="22" t="n">
        <f aca="false">IF($A157&gt;=Premissas!$C$18,O157*(1-Premissas!$C$45)-Premissas!$C$46*MAX(0,O157*(1-Premissas!$C$45)-(SUM($AC$5:$AC$355)+Premissas!$C$26*Premissas!$C$60)),"")</f>
        <v>556019.46458972</v>
      </c>
      <c r="AG157" s="22" t="n">
        <f aca="false">IF($A157&gt;=Premissas!$C$18,AE157+AF157,"")</f>
        <v>399012.759257412</v>
      </c>
      <c r="AH157" s="22" t="n">
        <f aca="false">AH156*(1+$P157)-AD157</f>
        <v>679578.84969138</v>
      </c>
      <c r="AI157" s="22" t="n">
        <f aca="false">($A157=Premissas!$C$16)*0.2*Premissas!$C$11+AND($A157&gt;Premissas!$C$16,$A157&lt;=EDATE(Premissas!$C$16,43))*0.8*Premissas!$C$11/43*(1+Premissas!$C$56)^$C157</f>
        <v>0</v>
      </c>
      <c r="AJ157" s="22" t="n">
        <f aca="false">L157-M157-N157-AI157</f>
        <v>2124.31924081655</v>
      </c>
      <c r="AK157" s="22" t="n">
        <f aca="false">AK156+AJ157</f>
        <v>-202871.19075037</v>
      </c>
      <c r="AL157" s="22" t="n">
        <f aca="false">IF($A157&gt;=Premissas!$C$18,O157*(1-Premissas!$C$45)-Premissas!$C$46*MAX(0,O157*(1-Premissas!$C$45)-(SUM($AI$5:$AI$355)+Premissas!$C$26*Premissas!$C$60)),"")</f>
        <v>562899.13740243</v>
      </c>
      <c r="AM157" s="22" t="n">
        <f aca="false">IF($A157&gt;=Premissas!$C$18,AK157+AL157,"")</f>
        <v>360027.94665206</v>
      </c>
      <c r="AN157" s="22" t="n">
        <f aca="false">AN156*(1+$P157)-AJ157</f>
        <v>692931.547301153</v>
      </c>
      <c r="AO157" s="22" t="n">
        <f aca="false">V157+S157</f>
        <v>457030.96656453</v>
      </c>
    </row>
    <row r="158" customFormat="false" ht="15" hidden="false" customHeight="false" outlineLevel="0" collapsed="false">
      <c r="A158" s="26" t="n">
        <f aca="false">DATE(YEAR(A157),MONTH(A157)+1,1)</f>
        <v>50952</v>
      </c>
      <c r="B158" s="22" t="str">
        <f aca="false">IF($A158&lt;Premissas!$C$18,"Obra",IF($A158&lt;Premissas!$C$20,"Entrega/mobília","Airbnb"))</f>
        <v>Airbnb</v>
      </c>
      <c r="C158" s="36" t="n">
        <f aca="false">(YEAR($A158)-YEAR(Premissas!$C$16))*12+MONTH($A158)-MONTH(Premissas!$C$16)</f>
        <v>153</v>
      </c>
      <c r="D158" s="33" t="n">
        <f aca="false">IF($A158&gt;=Premissas!$C$20,Premissas!$C$31*IF(((YEAR($A158)-YEAR(Premissas!$C$20))*12+MONTH($A158)-MONTH(Premissas!$C$20))&lt;Premissas!$C$33,Premissas!$C$34,1),0)</f>
        <v>0.62</v>
      </c>
      <c r="E158" s="22" t="n">
        <f aca="false">D158*Premissas!$C$30*Premissas!$C$32*(1+Premissas!$C$58)^$C158</f>
        <v>7667.04529467557</v>
      </c>
      <c r="F158" s="22" t="n">
        <f aca="false">E158*Premissas!$C$35</f>
        <v>1226.72724714809</v>
      </c>
      <c r="G158" s="22" t="n">
        <f aca="false">E158*Premissas!$C$36</f>
        <v>1533.40905893511</v>
      </c>
      <c r="H158" s="22" t="n">
        <f aca="false">IF($A158&gt;=Premissas!$C$18,Premissas!$C$37*(1+Premissas!$C$58)^$C158,0)</f>
        <v>989.296167054912</v>
      </c>
      <c r="I158" s="22" t="n">
        <f aca="false">IF($A158&gt;=Premissas!$C$20,Premissas!$C$38*(1+Premissas!$C$58)^$C158,0)</f>
        <v>461.671544625626</v>
      </c>
      <c r="J158" s="22" t="n">
        <f aca="false">IF($A158&gt;=Premissas!$C$20,Premissas!$C$39*(1+Premissas!$C$58)^$C158,0)</f>
        <v>247.324041763728</v>
      </c>
      <c r="K158" s="22" t="n">
        <f aca="false">IF($A158&gt;=Premissas!$C$20,MAX(0,E158-F158-G158-H158)*Premissas!$C$41,0)</f>
        <v>1077.3435259228</v>
      </c>
      <c r="L158" s="22" t="n">
        <f aca="false">E158-F158-G158-H158-I158-J158-K158</f>
        <v>2131.2737092253</v>
      </c>
      <c r="M158" s="22" t="n">
        <f aca="false">($A158=Premissas!$C$18)*Premissas!$C$26*Premissas!$C$60</f>
        <v>0</v>
      </c>
      <c r="N158" s="22" t="n">
        <f aca="false">IF(AND($A158&gt;=Premissas!$C$18,$A158&lt;Premissas!$C$20),Premissas!$C$27/MAX(1,Premissas!$C$19),0)</f>
        <v>0</v>
      </c>
      <c r="O158" s="22" t="n">
        <f aca="false">IF($A158&gt;=Premissas!$C$18,Premissas!$C$60*(1+Premissas!$C$59)^((YEAR($A158)-YEAR(Premissas!$C$18))*12+MONTH($A158)-MONTH(Premissas!$C$18)),"")</f>
        <v>641234.140603456</v>
      </c>
      <c r="P158" s="31" t="n">
        <f aca="false">(1+IF(YEAR($A158)&lt;=2026,Premissas!$C$49,IF(YEAR($A158)=2027,Premissas!$C$50,IF(YEAR($A158)=2028,Premissas!$C$51,Premissas!$C$52)))*(1-Premissas!$C$53))^(1/12)-1</f>
        <v>0.00682149336596227</v>
      </c>
      <c r="Q158" s="22" t="n">
        <f aca="false">($A158=Premissas!$C$16)*Premissas!$C$13</f>
        <v>0</v>
      </c>
      <c r="R158" s="22" t="n">
        <f aca="false">L158-M158-N158-Q158</f>
        <v>2131.2737092253</v>
      </c>
      <c r="S158" s="22" t="n">
        <f aca="false">S157+R158</f>
        <v>-116326.967743058</v>
      </c>
      <c r="T158" s="22" t="n">
        <f aca="false">IF($A158&gt;=Premissas!$C$18,O158*(1-Premissas!$C$45)-Premissas!$C$46*MAX(0,O158*(1-Premissas!$C$45)-(SUM($Q$5:$Q$355)+Premissas!$C$26*Premissas!$C$60)),"")</f>
        <v>552316.086688907</v>
      </c>
      <c r="U158" s="22" t="n">
        <f aca="false">IF($A158&gt;=Premissas!$C$18,S158+T158,"")</f>
        <v>435989.11894585</v>
      </c>
      <c r="V158" s="22" t="n">
        <f aca="false">V157*(1+$P158)-R158</f>
        <v>577283.630122257</v>
      </c>
      <c r="W158" s="22" t="n">
        <f aca="false">($A158=Premissas!$C$16)*Premissas!$C$9</f>
        <v>0</v>
      </c>
      <c r="X158" s="22" t="n">
        <f aca="false">L158-M158-N158-W158</f>
        <v>2131.2737092253</v>
      </c>
      <c r="Y158" s="22" t="n">
        <f aca="false">Y157+X158</f>
        <v>-147254.967743058</v>
      </c>
      <c r="Z158" s="22" t="n">
        <f aca="false">IF($A158&gt;=Premissas!$C$18,O158*(1-Premissas!$C$45)-Premissas!$C$46*MAX(0,O158*(1-Premissas!$C$45)-(SUM($W$5:$W$355)+Premissas!$C$26*Premissas!$C$60)),"")</f>
        <v>556955.286688907</v>
      </c>
      <c r="AA158" s="22" t="n">
        <f aca="false">IF($A158&gt;=Premissas!$C$18,Y158+Z158,"")</f>
        <v>409700.31894585</v>
      </c>
      <c r="AB158" s="22" t="n">
        <f aca="false">AB157*(1+$P158)-X158</f>
        <v>667675.003429927</v>
      </c>
      <c r="AC158" s="22" t="n">
        <f aca="false">AND($A158&gt;=Premissas!$C$16,$A158&lt;EDATE(Premissas!$C$16,3))*Premissas!$C$10/3*(1+Premissas!$C$56)^$C158</f>
        <v>0</v>
      </c>
      <c r="AD158" s="22" t="n">
        <f aca="false">L158-M158-N158-AC158</f>
        <v>2131.2737092253</v>
      </c>
      <c r="AE158" s="22" t="n">
        <f aca="false">AE157+AD158</f>
        <v>-154875.431623082</v>
      </c>
      <c r="AF158" s="22" t="n">
        <f aca="false">IF($A158&gt;=Premissas!$C$18,O158*(1-Premissas!$C$45)-Premissas!$C$46*MAX(0,O158*(1-Premissas!$C$45)-(SUM($AC$5:$AC$355)+Premissas!$C$26*Premissas!$C$60)),"")</f>
        <v>558098.356270911</v>
      </c>
      <c r="AG158" s="22" t="n">
        <f aca="false">IF($A158&gt;=Premissas!$C$18,AE158+AF158,"")</f>
        <v>403222.924647829</v>
      </c>
      <c r="AH158" s="22" t="n">
        <f aca="false">AH157*(1+$P158)-AD158</f>
        <v>682083.318596972</v>
      </c>
      <c r="AI158" s="22" t="n">
        <f aca="false">($A158=Premissas!$C$16)*0.2*Premissas!$C$11+AND($A158&gt;Premissas!$C$16,$A158&lt;=EDATE(Premissas!$C$16,43))*0.8*Premissas!$C$11/43*(1+Premissas!$C$56)^$C158</f>
        <v>0</v>
      </c>
      <c r="AJ158" s="22" t="n">
        <f aca="false">L158-M158-N158-AI158</f>
        <v>2131.2737092253</v>
      </c>
      <c r="AK158" s="22" t="n">
        <f aca="false">AK157+AJ158</f>
        <v>-200739.917041144</v>
      </c>
      <c r="AL158" s="22" t="n">
        <f aca="false">IF($A158&gt;=Premissas!$C$18,O158*(1-Premissas!$C$45)-Premissas!$C$46*MAX(0,O158*(1-Premissas!$C$45)-(SUM($AI$5:$AI$355)+Premissas!$C$26*Premissas!$C$60)),"")</f>
        <v>564978.02908362</v>
      </c>
      <c r="AM158" s="22" t="n">
        <f aca="false">IF($A158&gt;=Premissas!$C$18,AK158+AL158,"")</f>
        <v>364238.112042476</v>
      </c>
      <c r="AN158" s="22" t="n">
        <f aca="false">AN157*(1+$P158)-AJ158</f>
        <v>695527.101544908</v>
      </c>
      <c r="AO158" s="22" t="n">
        <f aca="false">V158+S158</f>
        <v>460956.662379199</v>
      </c>
    </row>
    <row r="159" customFormat="false" ht="15" hidden="false" customHeight="false" outlineLevel="0" collapsed="false">
      <c r="A159" s="26" t="n">
        <f aca="false">DATE(YEAR(A158),MONTH(A158)+1,1)</f>
        <v>50983</v>
      </c>
      <c r="B159" s="22" t="str">
        <f aca="false">IF($A159&lt;Premissas!$C$18,"Obra",IF($A159&lt;Premissas!$C$20,"Entrega/mobília","Airbnb"))</f>
        <v>Airbnb</v>
      </c>
      <c r="C159" s="36" t="n">
        <f aca="false">(YEAR($A159)-YEAR(Premissas!$C$16))*12+MONTH($A159)-MONTH(Premissas!$C$16)</f>
        <v>154</v>
      </c>
      <c r="D159" s="33" t="n">
        <f aca="false">IF($A159&gt;=Premissas!$C$20,Premissas!$C$31*IF(((YEAR($A159)-YEAR(Premissas!$C$20))*12+MONTH($A159)-MONTH(Premissas!$C$20))&lt;Premissas!$C$33,Premissas!$C$34,1),0)</f>
        <v>0.62</v>
      </c>
      <c r="E159" s="22" t="n">
        <f aca="false">D159*Premissas!$C$30*Premissas!$C$32*(1+Premissas!$C$58)^$C159</f>
        <v>7692.14520586867</v>
      </c>
      <c r="F159" s="22" t="n">
        <f aca="false">E159*Premissas!$C$35</f>
        <v>1230.74323293899</v>
      </c>
      <c r="G159" s="22" t="n">
        <f aca="false">E159*Premissas!$C$36</f>
        <v>1538.42904117373</v>
      </c>
      <c r="H159" s="22" t="n">
        <f aca="false">IF($A159&gt;=Premissas!$C$18,Premissas!$C$37*(1+Premissas!$C$58)^$C159,0)</f>
        <v>992.534865273377</v>
      </c>
      <c r="I159" s="22" t="n">
        <f aca="false">IF($A159&gt;=Premissas!$C$20,Premissas!$C$38*(1+Premissas!$C$58)^$C159,0)</f>
        <v>463.182937127576</v>
      </c>
      <c r="J159" s="22" t="n">
        <f aca="false">IF($A159&gt;=Premissas!$C$20,Premissas!$C$39*(1+Premissas!$C$58)^$C159,0)</f>
        <v>248.133716318344</v>
      </c>
      <c r="K159" s="22" t="n">
        <f aca="false">IF($A159&gt;=Premissas!$C$20,MAX(0,E159-F159-G159-H159)*Premissas!$C$41,0)</f>
        <v>1080.87046828271</v>
      </c>
      <c r="L159" s="22" t="n">
        <f aca="false">E159-F159-G159-H159-I159-J159-K159</f>
        <v>2138.25094475394</v>
      </c>
      <c r="M159" s="22" t="n">
        <f aca="false">($A159=Premissas!$C$18)*Premissas!$C$26*Premissas!$C$60</f>
        <v>0</v>
      </c>
      <c r="N159" s="22" t="n">
        <f aca="false">IF(AND($A159&gt;=Premissas!$C$18,$A159&lt;Premissas!$C$20),Premissas!$C$27/MAX(1,Premissas!$C$19),0)</f>
        <v>0</v>
      </c>
      <c r="O159" s="22" t="n">
        <f aca="false">IF($A159&gt;=Premissas!$C$18,Premissas!$C$60*(1+Premissas!$C$59)^((YEAR($A159)-YEAR(Premissas!$C$18))*12+MONTH($A159)-MONTH(Premissas!$C$18)),"")</f>
        <v>643846.607866576</v>
      </c>
      <c r="P159" s="31" t="n">
        <f aca="false">(1+IF(YEAR($A159)&lt;=2026,Premissas!$C$49,IF(YEAR($A159)=2027,Premissas!$C$50,IF(YEAR($A159)=2028,Premissas!$C$51,Premissas!$C$52)))*(1-Premissas!$C$53))^(1/12)-1</f>
        <v>0.00682149336596227</v>
      </c>
      <c r="Q159" s="22" t="n">
        <f aca="false">($A159=Premissas!$C$16)*Premissas!$C$13</f>
        <v>0</v>
      </c>
      <c r="R159" s="22" t="n">
        <f aca="false">L159-M159-N159-Q159</f>
        <v>2138.25094475394</v>
      </c>
      <c r="S159" s="22" t="n">
        <f aca="false">S158+R159</f>
        <v>-114188.716798304</v>
      </c>
      <c r="T159" s="22" t="n">
        <f aca="false">IF($A159&gt;=Premissas!$C$18,O159*(1-Premissas!$C$45)-Premissas!$C$46*MAX(0,O159*(1-Premissas!$C$45)-(SUM($Q$5:$Q$355)+Premissas!$C$26*Premissas!$C$60)),"")</f>
        <v>554403.44803214</v>
      </c>
      <c r="U159" s="22" t="n">
        <f aca="false">IF($A159&gt;=Premissas!$C$18,S159+T159,"")</f>
        <v>440214.731233836</v>
      </c>
      <c r="V159" s="22" t="n">
        <f aca="false">V158*(1+$P159)-R159</f>
        <v>579083.315630661</v>
      </c>
      <c r="W159" s="22" t="n">
        <f aca="false">($A159=Premissas!$C$16)*Premissas!$C$9</f>
        <v>0</v>
      </c>
      <c r="X159" s="22" t="n">
        <f aca="false">L159-M159-N159-W159</f>
        <v>2138.25094475394</v>
      </c>
      <c r="Y159" s="22" t="n">
        <f aca="false">Y158+X159</f>
        <v>-145116.716798304</v>
      </c>
      <c r="Z159" s="22" t="n">
        <f aca="false">IF($A159&gt;=Premissas!$C$18,O159*(1-Premissas!$C$45)-Premissas!$C$46*MAX(0,O159*(1-Premissas!$C$45)-(SUM($W$5:$W$355)+Premissas!$C$26*Premissas!$C$60)),"")</f>
        <v>559042.64803214</v>
      </c>
      <c r="AA159" s="22" t="n">
        <f aca="false">IF($A159&gt;=Premissas!$C$18,Y159+Z159,"")</f>
        <v>413925.931233836</v>
      </c>
      <c r="AB159" s="22" t="n">
        <f aca="false">AB158*(1+$P159)-X159</f>
        <v>670091.293091689</v>
      </c>
      <c r="AC159" s="22" t="n">
        <f aca="false">AND($A159&gt;=Premissas!$C$16,$A159&lt;EDATE(Premissas!$C$16,3))*Premissas!$C$10/3*(1+Premissas!$C$56)^$C159</f>
        <v>0</v>
      </c>
      <c r="AD159" s="22" t="n">
        <f aca="false">L159-M159-N159-AC159</f>
        <v>2138.25094475394</v>
      </c>
      <c r="AE159" s="22" t="n">
        <f aca="false">AE158+AD159</f>
        <v>-152737.180678328</v>
      </c>
      <c r="AF159" s="22" t="n">
        <f aca="false">IF($A159&gt;=Premissas!$C$18,O159*(1-Premissas!$C$45)-Premissas!$C$46*MAX(0,O159*(1-Premissas!$C$45)-(SUM($AC$5:$AC$355)+Premissas!$C$26*Premissas!$C$60)),"")</f>
        <v>560185.717614144</v>
      </c>
      <c r="AG159" s="22" t="n">
        <f aca="false">IF($A159&gt;=Premissas!$C$18,AE159+AF159,"")</f>
        <v>407448.536935815</v>
      </c>
      <c r="AH159" s="22" t="n">
        <f aca="false">AH158*(1+$P159)-AD159</f>
        <v>684597.894485061</v>
      </c>
      <c r="AI159" s="22" t="n">
        <f aca="false">($A159=Premissas!$C$16)*0.2*Premissas!$C$11+AND($A159&gt;Premissas!$C$16,$A159&lt;=EDATE(Premissas!$C$16,43))*0.8*Premissas!$C$11/43*(1+Premissas!$C$56)^$C159</f>
        <v>0</v>
      </c>
      <c r="AJ159" s="22" t="n">
        <f aca="false">L159-M159-N159-AI159</f>
        <v>2138.25094475394</v>
      </c>
      <c r="AK159" s="22" t="n">
        <f aca="false">AK158+AJ159</f>
        <v>-198601.66609639</v>
      </c>
      <c r="AL159" s="22" t="n">
        <f aca="false">IF($A159&gt;=Premissas!$C$18,O159*(1-Premissas!$C$45)-Premissas!$C$46*MAX(0,O159*(1-Premissas!$C$45)-(SUM($AI$5:$AI$355)+Premissas!$C$26*Premissas!$C$60)),"")</f>
        <v>567065.390426853</v>
      </c>
      <c r="AM159" s="22" t="n">
        <f aca="false">IF($A159&gt;=Premissas!$C$18,AK159+AL159,"")</f>
        <v>368463.724330463</v>
      </c>
      <c r="AN159" s="22" t="n">
        <f aca="false">AN158*(1+$P159)-AJ159</f>
        <v>698133.38410919</v>
      </c>
      <c r="AO159" s="22" t="n">
        <f aca="false">V159+S159</f>
        <v>464894.598832357</v>
      </c>
    </row>
    <row r="160" customFormat="false" ht="15" hidden="false" customHeight="false" outlineLevel="0" collapsed="false">
      <c r="A160" s="26" t="n">
        <f aca="false">DATE(YEAR(A159),MONTH(A159)+1,1)</f>
        <v>51014</v>
      </c>
      <c r="B160" s="22" t="str">
        <f aca="false">IF($A160&lt;Premissas!$C$18,"Obra",IF($A160&lt;Premissas!$C$20,"Entrega/mobília","Airbnb"))</f>
        <v>Airbnb</v>
      </c>
      <c r="C160" s="36" t="n">
        <f aca="false">(YEAR($A160)-YEAR(Premissas!$C$16))*12+MONTH($A160)-MONTH(Premissas!$C$16)</f>
        <v>155</v>
      </c>
      <c r="D160" s="33" t="n">
        <f aca="false">IF($A160&gt;=Premissas!$C$20,Premissas!$C$31*IF(((YEAR($A160)-YEAR(Premissas!$C$20))*12+MONTH($A160)-MONTH(Premissas!$C$20))&lt;Premissas!$C$33,Premissas!$C$34,1),0)</f>
        <v>0.62</v>
      </c>
      <c r="E160" s="22" t="n">
        <f aca="false">D160*Premissas!$C$30*Premissas!$C$32*(1+Premissas!$C$58)^$C160</f>
        <v>7717.32728763957</v>
      </c>
      <c r="F160" s="22" t="n">
        <f aca="false">E160*Premissas!$C$35</f>
        <v>1234.77236602233</v>
      </c>
      <c r="G160" s="22" t="n">
        <f aca="false">E160*Premissas!$C$36</f>
        <v>1543.46545752791</v>
      </c>
      <c r="H160" s="22" t="n">
        <f aca="false">IF($A160&gt;=Premissas!$C$18,Premissas!$C$37*(1+Premissas!$C$58)^$C160,0)</f>
        <v>995.784166147041</v>
      </c>
      <c r="I160" s="22" t="n">
        <f aca="false">IF($A160&gt;=Premissas!$C$20,Premissas!$C$38*(1+Premissas!$C$58)^$C160,0)</f>
        <v>464.699277535286</v>
      </c>
      <c r="J160" s="22" t="n">
        <f aca="false">IF($A160&gt;=Premissas!$C$20,Premissas!$C$39*(1+Premissas!$C$58)^$C160,0)</f>
        <v>248.94604153676</v>
      </c>
      <c r="K160" s="22" t="n">
        <f aca="false">IF($A160&gt;=Premissas!$C$20,MAX(0,E160-F160-G160-H160)*Premissas!$C$41,0)</f>
        <v>1084.40895693413</v>
      </c>
      <c r="L160" s="22" t="n">
        <f aca="false">E160-F160-G160-H160-I160-J160-K160</f>
        <v>2145.25102193611</v>
      </c>
      <c r="M160" s="22" t="n">
        <f aca="false">($A160=Premissas!$C$18)*Premissas!$C$26*Premissas!$C$60</f>
        <v>0</v>
      </c>
      <c r="N160" s="22" t="n">
        <f aca="false">IF(AND($A160&gt;=Premissas!$C$18,$A160&lt;Premissas!$C$20),Premissas!$C$27/MAX(1,Premissas!$C$19),0)</f>
        <v>0</v>
      </c>
      <c r="O160" s="22" t="n">
        <f aca="false">IF($A160&gt;=Premissas!$C$18,Premissas!$C$60*(1+Premissas!$C$59)^((YEAR($A160)-YEAR(Premissas!$C$18))*12+MONTH($A160)-MONTH(Premissas!$C$18)),"")</f>
        <v>646469.718644706</v>
      </c>
      <c r="P160" s="31" t="n">
        <f aca="false">(1+IF(YEAR($A160)&lt;=2026,Premissas!$C$49,IF(YEAR($A160)=2027,Premissas!$C$50,IF(YEAR($A160)=2028,Premissas!$C$51,Premissas!$C$52)))*(1-Premissas!$C$53))^(1/12)-1</f>
        <v>0.00682149336596227</v>
      </c>
      <c r="Q160" s="22" t="n">
        <f aca="false">($A160=Premissas!$C$16)*Premissas!$C$13</f>
        <v>0</v>
      </c>
      <c r="R160" s="22" t="n">
        <f aca="false">L160-M160-N160-Q160</f>
        <v>2145.25102193611</v>
      </c>
      <c r="S160" s="22" t="n">
        <f aca="false">S159+R160</f>
        <v>-112043.465776368</v>
      </c>
      <c r="T160" s="22" t="n">
        <f aca="false">IF($A160&gt;=Premissas!$C$18,O160*(1-Premissas!$C$45)-Premissas!$C$46*MAX(0,O160*(1-Premissas!$C$45)-(SUM($Q$5:$Q$355)+Premissas!$C$26*Premissas!$C$60)),"")</f>
        <v>556499.313543866</v>
      </c>
      <c r="U160" s="22" t="n">
        <f aca="false">IF($A160&gt;=Premissas!$C$18,S160+T160,"")</f>
        <v>444455.847767499</v>
      </c>
      <c r="V160" s="22" t="n">
        <f aca="false">V159*(1+$P160)-R160</f>
        <v>580888.277604639</v>
      </c>
      <c r="W160" s="22" t="n">
        <f aca="false">($A160=Premissas!$C$16)*Premissas!$C$9</f>
        <v>0</v>
      </c>
      <c r="X160" s="22" t="n">
        <f aca="false">L160-M160-N160-W160</f>
        <v>2145.25102193611</v>
      </c>
      <c r="Y160" s="22" t="n">
        <f aca="false">Y159+X160</f>
        <v>-142971.465776368</v>
      </c>
      <c r="Z160" s="22" t="n">
        <f aca="false">IF($A160&gt;=Premissas!$C$18,O160*(1-Premissas!$C$45)-Premissas!$C$46*MAX(0,O160*(1-Premissas!$C$45)-(SUM($W$5:$W$355)+Premissas!$C$26*Premissas!$C$60)),"")</f>
        <v>561138.513543867</v>
      </c>
      <c r="AA160" s="22" t="n">
        <f aca="false">IF($A160&gt;=Premissas!$C$18,Y160+Z160,"")</f>
        <v>418167.047767499</v>
      </c>
      <c r="AB160" s="22" t="n">
        <f aca="false">AB159*(1+$P160)-X160</f>
        <v>672517.065380167</v>
      </c>
      <c r="AC160" s="22" t="n">
        <f aca="false">AND($A160&gt;=Premissas!$C$16,$A160&lt;EDATE(Premissas!$C$16,3))*Premissas!$C$10/3*(1+Premissas!$C$56)^$C160</f>
        <v>0</v>
      </c>
      <c r="AD160" s="22" t="n">
        <f aca="false">L160-M160-N160-AC160</f>
        <v>2145.25102193611</v>
      </c>
      <c r="AE160" s="22" t="n">
        <f aca="false">AE159+AD160</f>
        <v>-150591.929656392</v>
      </c>
      <c r="AF160" s="22" t="n">
        <f aca="false">IF($A160&gt;=Premissas!$C$18,O160*(1-Premissas!$C$45)-Premissas!$C$46*MAX(0,O160*(1-Premissas!$C$45)-(SUM($AC$5:$AC$355)+Premissas!$C$26*Premissas!$C$60)),"")</f>
        <v>562281.58312587</v>
      </c>
      <c r="AG160" s="22" t="n">
        <f aca="false">IF($A160&gt;=Premissas!$C$18,AE160+AF160,"")</f>
        <v>411689.653469478</v>
      </c>
      <c r="AH160" s="22" t="n">
        <f aca="false">AH159*(1+$P160)-AD160</f>
        <v>687122.623458706</v>
      </c>
      <c r="AI160" s="22" t="n">
        <f aca="false">($A160=Premissas!$C$16)*0.2*Premissas!$C$11+AND($A160&gt;Premissas!$C$16,$A160&lt;=EDATE(Premissas!$C$16,43))*0.8*Premissas!$C$11/43*(1+Premissas!$C$56)^$C160</f>
        <v>0</v>
      </c>
      <c r="AJ160" s="22" t="n">
        <f aca="false">L160-M160-N160-AI160</f>
        <v>2145.25102193611</v>
      </c>
      <c r="AK160" s="22" t="n">
        <f aca="false">AK159+AJ160</f>
        <v>-196456.415074454</v>
      </c>
      <c r="AL160" s="22" t="n">
        <f aca="false">IF($A160&gt;=Premissas!$C$18,O160*(1-Premissas!$C$45)-Premissas!$C$46*MAX(0,O160*(1-Premissas!$C$45)-(SUM($AI$5:$AI$355)+Premissas!$C$26*Premissas!$C$60)),"")</f>
        <v>569161.255938579</v>
      </c>
      <c r="AM160" s="22" t="n">
        <f aca="false">IF($A160&gt;=Premissas!$C$18,AK160+AL160,"")</f>
        <v>372704.840864125</v>
      </c>
      <c r="AN160" s="22" t="n">
        <f aca="false">AN159*(1+$P160)-AJ160</f>
        <v>700750.445335512</v>
      </c>
      <c r="AO160" s="22" t="n">
        <f aca="false">V160+S160</f>
        <v>468844.811828271</v>
      </c>
    </row>
    <row r="161" customFormat="false" ht="15" hidden="false" customHeight="false" outlineLevel="0" collapsed="false">
      <c r="A161" s="26" t="n">
        <f aca="false">DATE(YEAR(A160),MONTH(A160)+1,1)</f>
        <v>51044</v>
      </c>
      <c r="B161" s="22" t="str">
        <f aca="false">IF($A161&lt;Premissas!$C$18,"Obra",IF($A161&lt;Premissas!$C$20,"Entrega/mobília","Airbnb"))</f>
        <v>Airbnb</v>
      </c>
      <c r="C161" s="36" t="n">
        <f aca="false">(YEAR($A161)-YEAR(Premissas!$C$16))*12+MONTH($A161)-MONTH(Premissas!$C$16)</f>
        <v>156</v>
      </c>
      <c r="D161" s="33" t="n">
        <f aca="false">IF($A161&gt;=Premissas!$C$20,Premissas!$C$31*IF(((YEAR($A161)-YEAR(Premissas!$C$20))*12+MONTH($A161)-MONTH(Premissas!$C$20))&lt;Premissas!$C$33,Premissas!$C$34,1),0)</f>
        <v>0.62</v>
      </c>
      <c r="E161" s="22" t="n">
        <f aca="false">D161*Premissas!$C$30*Premissas!$C$32*(1+Premissas!$C$58)^$C161</f>
        <v>7742.59180899337</v>
      </c>
      <c r="F161" s="22" t="n">
        <f aca="false">E161*Premissas!$C$35</f>
        <v>1238.81468943894</v>
      </c>
      <c r="G161" s="22" t="n">
        <f aca="false">E161*Premissas!$C$36</f>
        <v>1548.51836179867</v>
      </c>
      <c r="H161" s="22" t="n">
        <f aca="false">IF($A161&gt;=Premissas!$C$18,Premissas!$C$37*(1+Premissas!$C$58)^$C161,0)</f>
        <v>999.044104386241</v>
      </c>
      <c r="I161" s="22" t="n">
        <f aca="false">IF($A161&gt;=Premissas!$C$20,Premissas!$C$38*(1+Premissas!$C$58)^$C161,0)</f>
        <v>466.220582046912</v>
      </c>
      <c r="J161" s="22" t="n">
        <f aca="false">IF($A161&gt;=Premissas!$C$20,Premissas!$C$39*(1+Premissas!$C$58)^$C161,0)</f>
        <v>249.76102609656</v>
      </c>
      <c r="K161" s="22" t="n">
        <f aca="false">IF($A161&gt;=Premissas!$C$20,MAX(0,E161-F161-G161-H161)*Premissas!$C$41,0)</f>
        <v>1087.95902967662</v>
      </c>
      <c r="L161" s="22" t="n">
        <f aca="false">E161-F161-G161-H161-I161-J161-K161</f>
        <v>2152.27401554942</v>
      </c>
      <c r="M161" s="22" t="n">
        <f aca="false">($A161=Premissas!$C$18)*Premissas!$C$26*Premissas!$C$60</f>
        <v>0</v>
      </c>
      <c r="N161" s="22" t="n">
        <f aca="false">IF(AND($A161&gt;=Premissas!$C$18,$A161&lt;Premissas!$C$20),Premissas!$C$27/MAX(1,Premissas!$C$19),0)</f>
        <v>0</v>
      </c>
      <c r="O161" s="22" t="n">
        <f aca="false">IF($A161&gt;=Premissas!$C$18,Premissas!$C$60*(1+Premissas!$C$59)^((YEAR($A161)-YEAR(Premissas!$C$18))*12+MONTH($A161)-MONTH(Premissas!$C$18)),"")</f>
        <v>649103.516300845</v>
      </c>
      <c r="P161" s="31" t="n">
        <f aca="false">(1+IF(YEAR($A161)&lt;=2026,Premissas!$C$49,IF(YEAR($A161)=2027,Premissas!$C$50,IF(YEAR($A161)=2028,Premissas!$C$51,Premissas!$C$52)))*(1-Premissas!$C$53))^(1/12)-1</f>
        <v>0.00682149336596227</v>
      </c>
      <c r="Q161" s="22" t="n">
        <f aca="false">($A161=Premissas!$C$16)*Premissas!$C$13</f>
        <v>0</v>
      </c>
      <c r="R161" s="22" t="n">
        <f aca="false">L161-M161-N161-Q161</f>
        <v>2152.27401554942</v>
      </c>
      <c r="S161" s="22" t="n">
        <f aca="false">S160+R161</f>
        <v>-109891.191760818</v>
      </c>
      <c r="T161" s="22" t="n">
        <f aca="false">IF($A161&gt;=Premissas!$C$18,O161*(1-Premissas!$C$45)-Premissas!$C$46*MAX(0,O161*(1-Premissas!$C$45)-(SUM($Q$5:$Q$355)+Premissas!$C$26*Premissas!$C$60)),"")</f>
        <v>558603.717871121</v>
      </c>
      <c r="U161" s="22" t="n">
        <f aca="false">IF($A161&gt;=Premissas!$C$18,S161+T161,"")</f>
        <v>448712.526110303</v>
      </c>
      <c r="V161" s="22" t="n">
        <f aca="false">V160*(1+$P161)-R161</f>
        <v>582698.529121134</v>
      </c>
      <c r="W161" s="22" t="n">
        <f aca="false">($A161=Premissas!$C$16)*Premissas!$C$9</f>
        <v>0</v>
      </c>
      <c r="X161" s="22" t="n">
        <f aca="false">L161-M161-N161-W161</f>
        <v>2152.27401554942</v>
      </c>
      <c r="Y161" s="22" t="n">
        <f aca="false">Y160+X161</f>
        <v>-140819.191760818</v>
      </c>
      <c r="Z161" s="22" t="n">
        <f aca="false">IF($A161&gt;=Premissas!$C$18,O161*(1-Premissas!$C$45)-Premissas!$C$46*MAX(0,O161*(1-Premissas!$C$45)-(SUM($W$5:$W$355)+Premissas!$C$26*Premissas!$C$60)),"")</f>
        <v>563242.917871121</v>
      </c>
      <c r="AA161" s="22" t="n">
        <f aca="false">IF($A161&gt;=Premissas!$C$18,Y161+Z161,"")</f>
        <v>422423.726110303</v>
      </c>
      <c r="AB161" s="22" t="n">
        <f aca="false">AB160*(1+$P161)-X161</f>
        <v>674952.362064605</v>
      </c>
      <c r="AC161" s="22" t="n">
        <f aca="false">AND($A161&gt;=Premissas!$C$16,$A161&lt;EDATE(Premissas!$C$16,3))*Premissas!$C$10/3*(1+Premissas!$C$56)^$C161</f>
        <v>0</v>
      </c>
      <c r="AD161" s="22" t="n">
        <f aca="false">L161-M161-N161-AC161</f>
        <v>2152.27401554942</v>
      </c>
      <c r="AE161" s="22" t="n">
        <f aca="false">AE160+AD161</f>
        <v>-148439.655640843</v>
      </c>
      <c r="AF161" s="22" t="n">
        <f aca="false">IF($A161&gt;=Premissas!$C$18,O161*(1-Premissas!$C$45)-Premissas!$C$46*MAX(0,O161*(1-Premissas!$C$45)-(SUM($AC$5:$AC$355)+Premissas!$C$26*Premissas!$C$60)),"")</f>
        <v>564385.987453125</v>
      </c>
      <c r="AG161" s="22" t="n">
        <f aca="false">IF($A161&gt;=Premissas!$C$18,AE161+AF161,"")</f>
        <v>415946.331812282</v>
      </c>
      <c r="AH161" s="22" t="n">
        <f aca="false">AH160*(1+$P161)-AD161</f>
        <v>689657.551860683</v>
      </c>
      <c r="AI161" s="22" t="n">
        <f aca="false">($A161=Premissas!$C$16)*0.2*Premissas!$C$11+AND($A161&gt;Premissas!$C$16,$A161&lt;=EDATE(Premissas!$C$16,43))*0.8*Premissas!$C$11/43*(1+Premissas!$C$56)^$C161</f>
        <v>0</v>
      </c>
      <c r="AJ161" s="22" t="n">
        <f aca="false">L161-M161-N161-AI161</f>
        <v>2152.27401554942</v>
      </c>
      <c r="AK161" s="22" t="n">
        <f aca="false">AK160+AJ161</f>
        <v>-194304.141058905</v>
      </c>
      <c r="AL161" s="22" t="n">
        <f aca="false">IF($A161&gt;=Premissas!$C$18,O161*(1-Premissas!$C$45)-Premissas!$C$46*MAX(0,O161*(1-Premissas!$C$45)-(SUM($AI$5:$AI$355)+Premissas!$C$26*Premissas!$C$60)),"")</f>
        <v>571265.660265834</v>
      </c>
      <c r="AM161" s="22" t="n">
        <f aca="false">IF($A161&gt;=Premissas!$C$18,AK161+AL161,"")</f>
        <v>376961.51920693</v>
      </c>
      <c r="AN161" s="22" t="n">
        <f aca="false">AN160*(1+$P161)-AJ161</f>
        <v>703378.335834013</v>
      </c>
      <c r="AO161" s="22" t="n">
        <f aca="false">V161+S161</f>
        <v>472807.337360316</v>
      </c>
    </row>
    <row r="162" customFormat="false" ht="15" hidden="false" customHeight="false" outlineLevel="0" collapsed="false">
      <c r="A162" s="26" t="n">
        <f aca="false">DATE(YEAR(A161),MONTH(A161)+1,1)</f>
        <v>51075</v>
      </c>
      <c r="B162" s="22" t="str">
        <f aca="false">IF($A162&lt;Premissas!$C$18,"Obra",IF($A162&lt;Premissas!$C$20,"Entrega/mobília","Airbnb"))</f>
        <v>Airbnb</v>
      </c>
      <c r="C162" s="36" t="n">
        <f aca="false">(YEAR($A162)-YEAR(Premissas!$C$16))*12+MONTH($A162)-MONTH(Premissas!$C$16)</f>
        <v>157</v>
      </c>
      <c r="D162" s="33" t="n">
        <f aca="false">IF($A162&gt;=Premissas!$C$20,Premissas!$C$31*IF(((YEAR($A162)-YEAR(Premissas!$C$20))*12+MONTH($A162)-MONTH(Premissas!$C$20))&lt;Premissas!$C$33,Premissas!$C$34,1),0)</f>
        <v>0.62</v>
      </c>
      <c r="E162" s="22" t="n">
        <f aca="false">D162*Premissas!$C$30*Premissas!$C$32*(1+Premissas!$C$58)^$C162</f>
        <v>7767.9390398158</v>
      </c>
      <c r="F162" s="22" t="n">
        <f aca="false">E162*Premissas!$C$35</f>
        <v>1242.87024637053</v>
      </c>
      <c r="G162" s="22" t="n">
        <f aca="false">E162*Premissas!$C$36</f>
        <v>1553.58780796316</v>
      </c>
      <c r="H162" s="22" t="n">
        <f aca="false">IF($A162&gt;=Premissas!$C$18,Premissas!$C$37*(1+Premissas!$C$58)^$C162,0)</f>
        <v>1002.31471481494</v>
      </c>
      <c r="I162" s="22" t="n">
        <f aca="false">IF($A162&gt;=Premissas!$C$20,Premissas!$C$38*(1+Premissas!$C$58)^$C162,0)</f>
        <v>467.746866913639</v>
      </c>
      <c r="J162" s="22" t="n">
        <f aca="false">IF($A162&gt;=Premissas!$C$20,Premissas!$C$39*(1+Premissas!$C$58)^$C162,0)</f>
        <v>250.578678703735</v>
      </c>
      <c r="K162" s="22" t="n">
        <f aca="false">IF($A162&gt;=Premissas!$C$20,MAX(0,E162-F162-G162-H162)*Premissas!$C$41,0)</f>
        <v>1091.52072443347</v>
      </c>
      <c r="L162" s="22" t="n">
        <f aca="false">E162-F162-G162-H162-I162-J162-K162</f>
        <v>2159.32000061632</v>
      </c>
      <c r="M162" s="22" t="n">
        <f aca="false">($A162=Premissas!$C$18)*Premissas!$C$26*Premissas!$C$60</f>
        <v>0</v>
      </c>
      <c r="N162" s="22" t="n">
        <f aca="false">IF(AND($A162&gt;=Premissas!$C$18,$A162&lt;Premissas!$C$20),Premissas!$C$27/MAX(1,Premissas!$C$19),0)</f>
        <v>0</v>
      </c>
      <c r="O162" s="22" t="n">
        <f aca="false">IF($A162&gt;=Premissas!$C$18,Premissas!$C$60*(1+Premissas!$C$59)^((YEAR($A162)-YEAR(Premissas!$C$18))*12+MONTH($A162)-MONTH(Premissas!$C$18)),"")</f>
        <v>651748.044374656</v>
      </c>
      <c r="P162" s="31" t="n">
        <f aca="false">(1+IF(YEAR($A162)&lt;=2026,Premissas!$C$49,IF(YEAR($A162)=2027,Premissas!$C$50,IF(YEAR($A162)=2028,Premissas!$C$51,Premissas!$C$52)))*(1-Premissas!$C$53))^(1/12)-1</f>
        <v>0.00682149336596227</v>
      </c>
      <c r="Q162" s="22" t="n">
        <f aca="false">($A162=Premissas!$C$16)*Premissas!$C$13</f>
        <v>0</v>
      </c>
      <c r="R162" s="22" t="n">
        <f aca="false">L162-M162-N162-Q162</f>
        <v>2159.32000061632</v>
      </c>
      <c r="S162" s="22" t="n">
        <f aca="false">S161+R162</f>
        <v>-107731.871760202</v>
      </c>
      <c r="T162" s="22" t="n">
        <f aca="false">IF($A162&gt;=Premissas!$C$18,O162*(1-Premissas!$C$45)-Premissas!$C$46*MAX(0,O162*(1-Premissas!$C$45)-(SUM($Q$5:$Q$355)+Premissas!$C$26*Premissas!$C$60)),"")</f>
        <v>560716.695802096</v>
      </c>
      <c r="U162" s="22" t="n">
        <f aca="false">IF($A162&gt;=Premissas!$C$18,S162+T162,"")</f>
        <v>452984.824041894</v>
      </c>
      <c r="V162" s="22" t="n">
        <f aca="false">V161*(1+$P162)-R162</f>
        <v>584514.083271274</v>
      </c>
      <c r="W162" s="22" t="n">
        <f aca="false">($A162=Premissas!$C$16)*Premissas!$C$9</f>
        <v>0</v>
      </c>
      <c r="X162" s="22" t="n">
        <f aca="false">L162-M162-N162-W162</f>
        <v>2159.32000061632</v>
      </c>
      <c r="Y162" s="22" t="n">
        <f aca="false">Y161+X162</f>
        <v>-138659.871760202</v>
      </c>
      <c r="Z162" s="22" t="n">
        <f aca="false">IF($A162&gt;=Premissas!$C$18,O162*(1-Premissas!$C$45)-Premissas!$C$46*MAX(0,O162*(1-Premissas!$C$45)-(SUM($W$5:$W$355)+Premissas!$C$26*Premissas!$C$60)),"")</f>
        <v>565355.895802096</v>
      </c>
      <c r="AA162" s="22" t="n">
        <f aca="false">IF($A162&gt;=Premissas!$C$18,Y162+Z162,"")</f>
        <v>426696.024041895</v>
      </c>
      <c r="AB162" s="22" t="n">
        <f aca="false">AB161*(1+$P162)-X162</f>
        <v>677397.225124153</v>
      </c>
      <c r="AC162" s="22" t="n">
        <f aca="false">AND($A162&gt;=Premissas!$C$16,$A162&lt;EDATE(Premissas!$C$16,3))*Premissas!$C$10/3*(1+Premissas!$C$56)^$C162</f>
        <v>0</v>
      </c>
      <c r="AD162" s="22" t="n">
        <f aca="false">L162-M162-N162-AC162</f>
        <v>2159.32000061632</v>
      </c>
      <c r="AE162" s="22" t="n">
        <f aca="false">AE161+AD162</f>
        <v>-146280.335640227</v>
      </c>
      <c r="AF162" s="22" t="n">
        <f aca="false">IF($A162&gt;=Premissas!$C$18,O162*(1-Premissas!$C$45)-Premissas!$C$46*MAX(0,O162*(1-Premissas!$C$45)-(SUM($AC$5:$AC$355)+Premissas!$C$26*Premissas!$C$60)),"")</f>
        <v>566498.9653841</v>
      </c>
      <c r="AG162" s="22" t="n">
        <f aca="false">IF($A162&gt;=Premissas!$C$18,AE162+AF162,"")</f>
        <v>420218.629743873</v>
      </c>
      <c r="AH162" s="22" t="n">
        <f aca="false">AH161*(1+$P162)-AD162</f>
        <v>692202.72627487</v>
      </c>
      <c r="AI162" s="22" t="n">
        <f aca="false">($A162=Premissas!$C$16)*0.2*Premissas!$C$11+AND($A162&gt;Premissas!$C$16,$A162&lt;=EDATE(Premissas!$C$16,43))*0.8*Premissas!$C$11/43*(1+Premissas!$C$56)^$C162</f>
        <v>0</v>
      </c>
      <c r="AJ162" s="22" t="n">
        <f aca="false">L162-M162-N162-AI162</f>
        <v>2159.32000061632</v>
      </c>
      <c r="AK162" s="22" t="n">
        <f aca="false">AK161+AJ162</f>
        <v>-192144.821058289</v>
      </c>
      <c r="AL162" s="22" t="n">
        <f aca="false">IF($A162&gt;=Premissas!$C$18,O162*(1-Premissas!$C$45)-Premissas!$C$46*MAX(0,O162*(1-Premissas!$C$45)-(SUM($AI$5:$AI$355)+Premissas!$C$26*Premissas!$C$60)),"")</f>
        <v>573378.638196809</v>
      </c>
      <c r="AM162" s="22" t="n">
        <f aca="false">IF($A162&gt;=Premissas!$C$18,AK162+AL162,"")</f>
        <v>381233.817138521</v>
      </c>
      <c r="AN162" s="22" t="n">
        <f aca="false">AN161*(1+$P162)-AJ162</f>
        <v>706017.10648505</v>
      </c>
      <c r="AO162" s="22" t="n">
        <f aca="false">V162+S162</f>
        <v>476782.211511072</v>
      </c>
    </row>
    <row r="163" customFormat="false" ht="15" hidden="false" customHeight="false" outlineLevel="0" collapsed="false">
      <c r="A163" s="26" t="n">
        <f aca="false">DATE(YEAR(A162),MONTH(A162)+1,1)</f>
        <v>51105</v>
      </c>
      <c r="B163" s="22" t="str">
        <f aca="false">IF($A163&lt;Premissas!$C$18,"Obra",IF($A163&lt;Premissas!$C$20,"Entrega/mobília","Airbnb"))</f>
        <v>Airbnb</v>
      </c>
      <c r="C163" s="36" t="n">
        <f aca="false">(YEAR($A163)-YEAR(Premissas!$C$16))*12+MONTH($A163)-MONTH(Premissas!$C$16)</f>
        <v>158</v>
      </c>
      <c r="D163" s="33" t="n">
        <f aca="false">IF($A163&gt;=Premissas!$C$20,Premissas!$C$31*IF(((YEAR($A163)-YEAR(Premissas!$C$20))*12+MONTH($A163)-MONTH(Premissas!$C$20))&lt;Premissas!$C$33,Premissas!$C$34,1),0)</f>
        <v>0.62</v>
      </c>
      <c r="E163" s="22" t="n">
        <f aca="false">D163*Premissas!$C$30*Premissas!$C$32*(1+Premissas!$C$58)^$C163</f>
        <v>7793.36925087614</v>
      </c>
      <c r="F163" s="22" t="n">
        <f aca="false">E163*Premissas!$C$35</f>
        <v>1246.93908014018</v>
      </c>
      <c r="G163" s="22" t="n">
        <f aca="false">E163*Premissas!$C$36</f>
        <v>1558.67385017523</v>
      </c>
      <c r="H163" s="22" t="n">
        <f aca="false">IF($A163&gt;=Premissas!$C$18,Premissas!$C$37*(1+Premissas!$C$58)^$C163,0)</f>
        <v>1005.59603237111</v>
      </c>
      <c r="I163" s="22" t="n">
        <f aca="false">IF($A163&gt;=Premissas!$C$20,Premissas!$C$38*(1+Premissas!$C$58)^$C163,0)</f>
        <v>469.278148439853</v>
      </c>
      <c r="J163" s="22" t="n">
        <f aca="false">IF($A163&gt;=Premissas!$C$20,Premissas!$C$39*(1+Premissas!$C$58)^$C163,0)</f>
        <v>251.399008092779</v>
      </c>
      <c r="K163" s="22" t="n">
        <f aca="false">IF($A163&gt;=Premissas!$C$20,MAX(0,E163-F163-G163-H163)*Premissas!$C$41,0)</f>
        <v>1095.09407925214</v>
      </c>
      <c r="L163" s="22" t="n">
        <f aca="false">E163-F163-G163-H163-I163-J163-K163</f>
        <v>2166.38905240484</v>
      </c>
      <c r="M163" s="22" t="n">
        <f aca="false">($A163=Premissas!$C$18)*Premissas!$C$26*Premissas!$C$60</f>
        <v>0</v>
      </c>
      <c r="N163" s="22" t="n">
        <f aca="false">IF(AND($A163&gt;=Premissas!$C$18,$A163&lt;Premissas!$C$20),Premissas!$C$27/MAX(1,Premissas!$C$19),0)</f>
        <v>0</v>
      </c>
      <c r="O163" s="22" t="n">
        <f aca="false">IF($A163&gt;=Premissas!$C$18,Premissas!$C$60*(1+Premissas!$C$59)^((YEAR($A163)-YEAR(Premissas!$C$18))*12+MONTH($A163)-MONTH(Premissas!$C$18)),"")</f>
        <v>654403.346583189</v>
      </c>
      <c r="P163" s="31" t="n">
        <f aca="false">(1+IF(YEAR($A163)&lt;=2026,Premissas!$C$49,IF(YEAR($A163)=2027,Premissas!$C$50,IF(YEAR($A163)=2028,Premissas!$C$51,Premissas!$C$52)))*(1-Premissas!$C$53))^(1/12)-1</f>
        <v>0.00682149336596227</v>
      </c>
      <c r="Q163" s="22" t="n">
        <f aca="false">($A163=Premissas!$C$16)*Premissas!$C$13</f>
        <v>0</v>
      </c>
      <c r="R163" s="22" t="n">
        <f aca="false">L163-M163-N163-Q163</f>
        <v>2166.38905240484</v>
      </c>
      <c r="S163" s="22" t="n">
        <f aca="false">S162+R163</f>
        <v>-105565.482707797</v>
      </c>
      <c r="T163" s="22" t="n">
        <f aca="false">IF($A163&gt;=Premissas!$C$18,O163*(1-Premissas!$C$45)-Premissas!$C$46*MAX(0,O163*(1-Premissas!$C$45)-(SUM($Q$5:$Q$355)+Premissas!$C$26*Premissas!$C$60)),"")</f>
        <v>562838.282266714</v>
      </c>
      <c r="U163" s="22" t="n">
        <f aca="false">IF($A163&gt;=Premissas!$C$18,S163+T163,"")</f>
        <v>457272.799558917</v>
      </c>
      <c r="V163" s="22" t="n">
        <f aca="false">V162*(1+$P163)-R163</f>
        <v>586334.953160216</v>
      </c>
      <c r="W163" s="22" t="n">
        <f aca="false">($A163=Premissas!$C$16)*Premissas!$C$9</f>
        <v>0</v>
      </c>
      <c r="X163" s="22" t="n">
        <f aca="false">L163-M163-N163-W163</f>
        <v>2166.38905240484</v>
      </c>
      <c r="Y163" s="22" t="n">
        <f aca="false">Y162+X163</f>
        <v>-136493.482707797</v>
      </c>
      <c r="Z163" s="22" t="n">
        <f aca="false">IF($A163&gt;=Premissas!$C$18,O163*(1-Premissas!$C$45)-Premissas!$C$46*MAX(0,O163*(1-Premissas!$C$45)-(SUM($W$5:$W$355)+Premissas!$C$26*Premissas!$C$60)),"")</f>
        <v>567477.482266714</v>
      </c>
      <c r="AA163" s="22" t="n">
        <f aca="false">IF($A163&gt;=Premissas!$C$18,Y163+Z163,"")</f>
        <v>430983.999558917</v>
      </c>
      <c r="AB163" s="22" t="n">
        <f aca="false">AB162*(1+$P163)-X163</f>
        <v>679851.696749054</v>
      </c>
      <c r="AC163" s="22" t="n">
        <f aca="false">AND($A163&gt;=Premissas!$C$16,$A163&lt;EDATE(Premissas!$C$16,3))*Premissas!$C$10/3*(1+Premissas!$C$56)^$C163</f>
        <v>0</v>
      </c>
      <c r="AD163" s="22" t="n">
        <f aca="false">L163-M163-N163-AC163</f>
        <v>2166.38905240484</v>
      </c>
      <c r="AE163" s="22" t="n">
        <f aca="false">AE162+AD163</f>
        <v>-144113.946587822</v>
      </c>
      <c r="AF163" s="22" t="n">
        <f aca="false">IF($A163&gt;=Premissas!$C$18,O163*(1-Premissas!$C$45)-Premissas!$C$46*MAX(0,O163*(1-Premissas!$C$45)-(SUM($AC$5:$AC$355)+Premissas!$C$26*Premissas!$C$60)),"")</f>
        <v>568620.551848718</v>
      </c>
      <c r="AG163" s="22" t="n">
        <f aca="false">IF($A163&gt;=Premissas!$C$18,AE163+AF163,"")</f>
        <v>424506.605260896</v>
      </c>
      <c r="AH163" s="22" t="n">
        <f aca="false">AH162*(1+$P163)-AD163</f>
        <v>694758.19352765</v>
      </c>
      <c r="AI163" s="22" t="n">
        <f aca="false">($A163=Premissas!$C$16)*0.2*Premissas!$C$11+AND($A163&gt;Premissas!$C$16,$A163&lt;=EDATE(Premissas!$C$16,43))*0.8*Premissas!$C$11/43*(1+Premissas!$C$56)^$C163</f>
        <v>0</v>
      </c>
      <c r="AJ163" s="22" t="n">
        <f aca="false">L163-M163-N163-AI163</f>
        <v>2166.38905240484</v>
      </c>
      <c r="AK163" s="22" t="n">
        <f aca="false">AK162+AJ163</f>
        <v>-189978.432005884</v>
      </c>
      <c r="AL163" s="22" t="n">
        <f aca="false">IF($A163&gt;=Premissas!$C$18,O163*(1-Premissas!$C$45)-Premissas!$C$46*MAX(0,O163*(1-Premissas!$C$45)-(SUM($AI$5:$AI$355)+Premissas!$C$26*Premissas!$C$60)),"")</f>
        <v>575500.224661427</v>
      </c>
      <c r="AM163" s="22" t="n">
        <f aca="false">IF($A163&gt;=Premissas!$C$18,AK163+AL163,"")</f>
        <v>385521.792655544</v>
      </c>
      <c r="AN163" s="22" t="n">
        <f aca="false">AN162*(1+$P163)-AJ163</f>
        <v>708666.808440789</v>
      </c>
      <c r="AO163" s="22" t="n">
        <f aca="false">V163+S163</f>
        <v>480769.470452418</v>
      </c>
    </row>
    <row r="164" customFormat="false" ht="15" hidden="false" customHeight="false" outlineLevel="0" collapsed="false">
      <c r="A164" s="26" t="n">
        <f aca="false">DATE(YEAR(A163),MONTH(A163)+1,1)</f>
        <v>51136</v>
      </c>
      <c r="B164" s="22" t="str">
        <f aca="false">IF($A164&lt;Premissas!$C$18,"Obra",IF($A164&lt;Premissas!$C$20,"Entrega/mobília","Airbnb"))</f>
        <v>Airbnb</v>
      </c>
      <c r="C164" s="36" t="n">
        <f aca="false">(YEAR($A164)-YEAR(Premissas!$C$16))*12+MONTH($A164)-MONTH(Premissas!$C$16)</f>
        <v>159</v>
      </c>
      <c r="D164" s="33" t="n">
        <f aca="false">IF($A164&gt;=Premissas!$C$20,Premissas!$C$31*IF(((YEAR($A164)-YEAR(Premissas!$C$20))*12+MONTH($A164)-MONTH(Premissas!$C$20))&lt;Premissas!$C$33,Premissas!$C$34,1),0)</f>
        <v>0.62</v>
      </c>
      <c r="E164" s="22" t="n">
        <f aca="false">D164*Premissas!$C$30*Premissas!$C$32*(1+Premissas!$C$58)^$C164</f>
        <v>7818.88271383009</v>
      </c>
      <c r="F164" s="22" t="n">
        <f aca="false">E164*Premissas!$C$35</f>
        <v>1251.02123421282</v>
      </c>
      <c r="G164" s="22" t="n">
        <f aca="false">E164*Premissas!$C$36</f>
        <v>1563.77654276602</v>
      </c>
      <c r="H164" s="22" t="n">
        <f aca="false">IF($A164&gt;=Premissas!$C$18,Premissas!$C$37*(1+Premissas!$C$58)^$C164,0)</f>
        <v>1008.88809210711</v>
      </c>
      <c r="I164" s="22" t="n">
        <f aca="false">IF($A164&gt;=Premissas!$C$20,Premissas!$C$38*(1+Premissas!$C$58)^$C164,0)</f>
        <v>470.814442983318</v>
      </c>
      <c r="J164" s="22" t="n">
        <f aca="false">IF($A164&gt;=Premissas!$C$20,Premissas!$C$39*(1+Premissas!$C$58)^$C164,0)</f>
        <v>252.222023026777</v>
      </c>
      <c r="K164" s="22" t="n">
        <f aca="false">IF($A164&gt;=Premissas!$C$20,MAX(0,E164-F164-G164-H164)*Premissas!$C$41,0)</f>
        <v>1098.67913230464</v>
      </c>
      <c r="L164" s="22" t="n">
        <f aca="false">E164-F164-G164-H164-I164-J164-K164</f>
        <v>2173.48124642941</v>
      </c>
      <c r="M164" s="22" t="n">
        <f aca="false">($A164=Premissas!$C$18)*Premissas!$C$26*Premissas!$C$60</f>
        <v>0</v>
      </c>
      <c r="N164" s="22" t="n">
        <f aca="false">IF(AND($A164&gt;=Premissas!$C$18,$A164&lt;Premissas!$C$20),Premissas!$C$27/MAX(1,Premissas!$C$19),0)</f>
        <v>0</v>
      </c>
      <c r="O164" s="22" t="n">
        <f aca="false">IF($A164&gt;=Premissas!$C$18,Premissas!$C$60*(1+Premissas!$C$59)^((YEAR($A164)-YEAR(Premissas!$C$18))*12+MONTH($A164)-MONTH(Premissas!$C$18)),"")</f>
        <v>657069.466821603</v>
      </c>
      <c r="P164" s="31" t="n">
        <f aca="false">(1+IF(YEAR($A164)&lt;=2026,Premissas!$C$49,IF(YEAR($A164)=2027,Premissas!$C$50,IF(YEAR($A164)=2028,Premissas!$C$51,Premissas!$C$52)))*(1-Premissas!$C$53))^(1/12)-1</f>
        <v>0.00682149336596227</v>
      </c>
      <c r="Q164" s="22" t="n">
        <f aca="false">($A164=Premissas!$C$16)*Premissas!$C$13</f>
        <v>0</v>
      </c>
      <c r="R164" s="22" t="n">
        <f aca="false">L164-M164-N164-Q164</f>
        <v>2173.48124642941</v>
      </c>
      <c r="S164" s="22" t="n">
        <f aca="false">S163+R164</f>
        <v>-103392.001461368</v>
      </c>
      <c r="T164" s="22" t="n">
        <f aca="false">IF($A164&gt;=Premissas!$C$18,O164*(1-Premissas!$C$45)-Premissas!$C$46*MAX(0,O164*(1-Premissas!$C$45)-(SUM($Q$5:$Q$355)+Premissas!$C$26*Premissas!$C$60)),"")</f>
        <v>564968.512337207</v>
      </c>
      <c r="U164" s="22" t="n">
        <f aca="false">IF($A164&gt;=Premissas!$C$18,S164+T164,"")</f>
        <v>461576.510875839</v>
      </c>
      <c r="V164" s="22" t="n">
        <f aca="false">V163*(1+$P164)-R164</f>
        <v>588161.151907</v>
      </c>
      <c r="W164" s="22" t="n">
        <f aca="false">($A164=Premissas!$C$16)*Premissas!$C$9</f>
        <v>0</v>
      </c>
      <c r="X164" s="22" t="n">
        <f aca="false">L164-M164-N164-W164</f>
        <v>2173.48124642941</v>
      </c>
      <c r="Y164" s="22" t="n">
        <f aca="false">Y163+X164</f>
        <v>-134320.001461368</v>
      </c>
      <c r="Z164" s="22" t="n">
        <f aca="false">IF($A164&gt;=Premissas!$C$18,O164*(1-Premissas!$C$45)-Premissas!$C$46*MAX(0,O164*(1-Premissas!$C$45)-(SUM($W$5:$W$355)+Premissas!$C$26*Premissas!$C$60)),"")</f>
        <v>569607.712337207</v>
      </c>
      <c r="AA164" s="22" t="n">
        <f aca="false">IF($A164&gt;=Premissas!$C$18,Y164+Z164,"")</f>
        <v>435287.710875839</v>
      </c>
      <c r="AB164" s="22" t="n">
        <f aca="false">AB163*(1+$P164)-X164</f>
        <v>682315.819341836</v>
      </c>
      <c r="AC164" s="22" t="n">
        <f aca="false">AND($A164&gt;=Premissas!$C$16,$A164&lt;EDATE(Premissas!$C$16,3))*Premissas!$C$10/3*(1+Premissas!$C$56)^$C164</f>
        <v>0</v>
      </c>
      <c r="AD164" s="22" t="n">
        <f aca="false">L164-M164-N164-AC164</f>
        <v>2173.48124642941</v>
      </c>
      <c r="AE164" s="22" t="n">
        <f aca="false">AE163+AD164</f>
        <v>-141940.465341392</v>
      </c>
      <c r="AF164" s="22" t="n">
        <f aca="false">IF($A164&gt;=Premissas!$C$18,O164*(1-Premissas!$C$45)-Premissas!$C$46*MAX(0,O164*(1-Premissas!$C$45)-(SUM($AC$5:$AC$355)+Premissas!$C$26*Premissas!$C$60)),"")</f>
        <v>570750.781919211</v>
      </c>
      <c r="AG164" s="22" t="n">
        <f aca="false">IF($A164&gt;=Premissas!$C$18,AE164+AF164,"")</f>
        <v>428810.316577818</v>
      </c>
      <c r="AH164" s="22" t="n">
        <f aca="false">AH163*(1+$P164)-AD164</f>
        <v>697324.000689318</v>
      </c>
      <c r="AI164" s="22" t="n">
        <f aca="false">($A164=Premissas!$C$16)*0.2*Premissas!$C$11+AND($A164&gt;Premissas!$C$16,$A164&lt;=EDATE(Premissas!$C$16,43))*0.8*Premissas!$C$11/43*(1+Premissas!$C$56)^$C164</f>
        <v>0</v>
      </c>
      <c r="AJ164" s="22" t="n">
        <f aca="false">L164-M164-N164-AI164</f>
        <v>2173.48124642941</v>
      </c>
      <c r="AK164" s="22" t="n">
        <f aca="false">AK163+AJ164</f>
        <v>-187804.950759454</v>
      </c>
      <c r="AL164" s="22" t="n">
        <f aca="false">IF($A164&gt;=Premissas!$C$18,O164*(1-Premissas!$C$45)-Premissas!$C$46*MAX(0,O164*(1-Premissas!$C$45)-(SUM($AI$5:$AI$355)+Premissas!$C$26*Premissas!$C$60)),"")</f>
        <v>577630.45473192</v>
      </c>
      <c r="AM164" s="22" t="n">
        <f aca="false">IF($A164&gt;=Premissas!$C$18,AK164+AL164,"")</f>
        <v>389825.503972466</v>
      </c>
      <c r="AN164" s="22" t="n">
        <f aca="false">AN163*(1+$P164)-AJ164</f>
        <v>711327.493126816</v>
      </c>
      <c r="AO164" s="22" t="n">
        <f aca="false">V164+S164</f>
        <v>484769.150445633</v>
      </c>
    </row>
    <row r="165" customFormat="false" ht="15" hidden="false" customHeight="false" outlineLevel="0" collapsed="false">
      <c r="A165" s="26" t="n">
        <f aca="false">DATE(YEAR(A164),MONTH(A164)+1,1)</f>
        <v>51167</v>
      </c>
      <c r="B165" s="22" t="str">
        <f aca="false">IF($A165&lt;Premissas!$C$18,"Obra",IF($A165&lt;Premissas!$C$20,"Entrega/mobília","Airbnb"))</f>
        <v>Airbnb</v>
      </c>
      <c r="C165" s="36" t="n">
        <f aca="false">(YEAR($A165)-YEAR(Premissas!$C$16))*12+MONTH($A165)-MONTH(Premissas!$C$16)</f>
        <v>160</v>
      </c>
      <c r="D165" s="33" t="n">
        <f aca="false">IF($A165&gt;=Premissas!$C$20,Premissas!$C$31*IF(((YEAR($A165)-YEAR(Premissas!$C$20))*12+MONTH($A165)-MONTH(Premissas!$C$20))&lt;Premissas!$C$33,Premissas!$C$34,1),0)</f>
        <v>0.62</v>
      </c>
      <c r="E165" s="22" t="n">
        <f aca="false">D165*Premissas!$C$30*Premissas!$C$32*(1+Premissas!$C$58)^$C165</f>
        <v>7844.47970122271</v>
      </c>
      <c r="F165" s="22" t="n">
        <f aca="false">E165*Premissas!$C$35</f>
        <v>1255.11675219563</v>
      </c>
      <c r="G165" s="22" t="n">
        <f aca="false">E165*Premissas!$C$36</f>
        <v>1568.89594024454</v>
      </c>
      <c r="H165" s="22" t="n">
        <f aca="false">IF($A165&gt;=Premissas!$C$18,Premissas!$C$37*(1+Premissas!$C$58)^$C165,0)</f>
        <v>1012.19092919003</v>
      </c>
      <c r="I165" s="22" t="n">
        <f aca="false">IF($A165&gt;=Premissas!$C$20,Premissas!$C$38*(1+Premissas!$C$58)^$C165,0)</f>
        <v>472.355766955346</v>
      </c>
      <c r="J165" s="22" t="n">
        <f aca="false">IF($A165&gt;=Premissas!$C$20,Premissas!$C$39*(1+Premissas!$C$58)^$C165,0)</f>
        <v>253.047732297507</v>
      </c>
      <c r="K165" s="22" t="n">
        <f aca="false">IF($A165&gt;=Premissas!$C$20,MAX(0,E165-F165-G165-H165)*Premissas!$C$41,0)</f>
        <v>1102.27592188794</v>
      </c>
      <c r="L165" s="22" t="n">
        <f aca="false">E165-F165-G165-H165-I165-J165-K165</f>
        <v>2180.59665845171</v>
      </c>
      <c r="M165" s="22" t="n">
        <f aca="false">($A165=Premissas!$C$18)*Premissas!$C$26*Premissas!$C$60</f>
        <v>0</v>
      </c>
      <c r="N165" s="22" t="n">
        <f aca="false">IF(AND($A165&gt;=Premissas!$C$18,$A165&lt;Premissas!$C$20),Premissas!$C$27/MAX(1,Premissas!$C$19),0)</f>
        <v>0</v>
      </c>
      <c r="O165" s="22" t="n">
        <f aca="false">IF($A165&gt;=Premissas!$C$18,Premissas!$C$60*(1+Premissas!$C$59)^((YEAR($A165)-YEAR(Premissas!$C$18))*12+MONTH($A165)-MONTH(Premissas!$C$18)),"")</f>
        <v>659746.44916389</v>
      </c>
      <c r="P165" s="31" t="n">
        <f aca="false">(1+IF(YEAR($A165)&lt;=2026,Premissas!$C$49,IF(YEAR($A165)=2027,Premissas!$C$50,IF(YEAR($A165)=2028,Premissas!$C$51,Premissas!$C$52)))*(1-Premissas!$C$53))^(1/12)-1</f>
        <v>0.00682149336596227</v>
      </c>
      <c r="Q165" s="22" t="n">
        <f aca="false">($A165=Premissas!$C$16)*Premissas!$C$13</f>
        <v>0</v>
      </c>
      <c r="R165" s="22" t="n">
        <f aca="false">L165-M165-N165-Q165</f>
        <v>2180.59665845171</v>
      </c>
      <c r="S165" s="22" t="n">
        <f aca="false">S164+R165</f>
        <v>-101211.404802916</v>
      </c>
      <c r="T165" s="22" t="n">
        <f aca="false">IF($A165&gt;=Premissas!$C$18,O165*(1-Premissas!$C$45)-Premissas!$C$46*MAX(0,O165*(1-Premissas!$C$45)-(SUM($Q$5:$Q$355)+Premissas!$C$26*Premissas!$C$60)),"")</f>
        <v>567107.421228694</v>
      </c>
      <c r="U165" s="22" t="n">
        <f aca="false">IF($A165&gt;=Premissas!$C$18,S165+T165,"")</f>
        <v>465896.016425778</v>
      </c>
      <c r="V165" s="22" t="n">
        <f aca="false">V164*(1+$P165)-R165</f>
        <v>589992.692644399</v>
      </c>
      <c r="W165" s="22" t="n">
        <f aca="false">($A165=Premissas!$C$16)*Premissas!$C$9</f>
        <v>0</v>
      </c>
      <c r="X165" s="22" t="n">
        <f aca="false">L165-M165-N165-W165</f>
        <v>2180.59665845171</v>
      </c>
      <c r="Y165" s="22" t="n">
        <f aca="false">Y164+X165</f>
        <v>-132139.404802916</v>
      </c>
      <c r="Z165" s="22" t="n">
        <f aca="false">IF($A165&gt;=Premissas!$C$18,O165*(1-Premissas!$C$45)-Premissas!$C$46*MAX(0,O165*(1-Premissas!$C$45)-(SUM($W$5:$W$355)+Premissas!$C$26*Premissas!$C$60)),"")</f>
        <v>571746.621228694</v>
      </c>
      <c r="AA165" s="22" t="n">
        <f aca="false">IF($A165&gt;=Premissas!$C$18,Y165+Z165,"")</f>
        <v>439607.216425778</v>
      </c>
      <c r="AB165" s="22" t="n">
        <f aca="false">AB164*(1+$P165)-X165</f>
        <v>684789.635518516</v>
      </c>
      <c r="AC165" s="22" t="n">
        <f aca="false">AND($A165&gt;=Premissas!$C$16,$A165&lt;EDATE(Premissas!$C$16,3))*Premissas!$C$10/3*(1+Premissas!$C$56)^$C165</f>
        <v>0</v>
      </c>
      <c r="AD165" s="22" t="n">
        <f aca="false">L165-M165-N165-AC165</f>
        <v>2180.59665845171</v>
      </c>
      <c r="AE165" s="22" t="n">
        <f aca="false">AE164+AD165</f>
        <v>-139759.868682941</v>
      </c>
      <c r="AF165" s="22" t="n">
        <f aca="false">IF($A165&gt;=Premissas!$C$18,O165*(1-Premissas!$C$45)-Premissas!$C$46*MAX(0,O165*(1-Premissas!$C$45)-(SUM($AC$5:$AC$355)+Premissas!$C$26*Premissas!$C$60)),"")</f>
        <v>572889.690810698</v>
      </c>
      <c r="AG165" s="22" t="n">
        <f aca="false">IF($A165&gt;=Premissas!$C$18,AE165+AF165,"")</f>
        <v>433129.822127757</v>
      </c>
      <c r="AH165" s="22" t="n">
        <f aca="false">AH164*(1+$P165)-AD165</f>
        <v>699900.195075495</v>
      </c>
      <c r="AI165" s="22" t="n">
        <f aca="false">($A165=Premissas!$C$16)*0.2*Premissas!$C$11+AND($A165&gt;Premissas!$C$16,$A165&lt;=EDATE(Premissas!$C$16,43))*0.8*Premissas!$C$11/43*(1+Premissas!$C$56)^$C165</f>
        <v>0</v>
      </c>
      <c r="AJ165" s="22" t="n">
        <f aca="false">L165-M165-N165-AI165</f>
        <v>2180.59665845171</v>
      </c>
      <c r="AK165" s="22" t="n">
        <f aca="false">AK164+AJ165</f>
        <v>-185624.354101003</v>
      </c>
      <c r="AL165" s="22" t="n">
        <f aca="false">IF($A165&gt;=Premissas!$C$18,O165*(1-Premissas!$C$45)-Premissas!$C$46*MAX(0,O165*(1-Premissas!$C$45)-(SUM($AI$5:$AI$355)+Premissas!$C$26*Premissas!$C$60)),"")</f>
        <v>579769.363623407</v>
      </c>
      <c r="AM165" s="22" t="n">
        <f aca="false">IF($A165&gt;=Premissas!$C$18,AK165+AL165,"")</f>
        <v>394145.009522405</v>
      </c>
      <c r="AN165" s="22" t="n">
        <f aca="false">AN164*(1+$P165)-AJ165</f>
        <v>713999.212243756</v>
      </c>
      <c r="AO165" s="22" t="n">
        <f aca="false">V165+S165</f>
        <v>488781.287841483</v>
      </c>
    </row>
    <row r="166" customFormat="false" ht="15" hidden="false" customHeight="false" outlineLevel="0" collapsed="false">
      <c r="A166" s="26" t="n">
        <f aca="false">DATE(YEAR(A165),MONTH(A165)+1,1)</f>
        <v>51196</v>
      </c>
      <c r="B166" s="22" t="str">
        <f aca="false">IF($A166&lt;Premissas!$C$18,"Obra",IF($A166&lt;Premissas!$C$20,"Entrega/mobília","Airbnb"))</f>
        <v>Airbnb</v>
      </c>
      <c r="C166" s="36" t="n">
        <f aca="false">(YEAR($A166)-YEAR(Premissas!$C$16))*12+MONTH($A166)-MONTH(Premissas!$C$16)</f>
        <v>161</v>
      </c>
      <c r="D166" s="33" t="n">
        <f aca="false">IF($A166&gt;=Premissas!$C$20,Premissas!$C$31*IF(((YEAR($A166)-YEAR(Premissas!$C$20))*12+MONTH($A166)-MONTH(Premissas!$C$20))&lt;Premissas!$C$33,Premissas!$C$34,1),0)</f>
        <v>0.62</v>
      </c>
      <c r="E166" s="22" t="n">
        <f aca="false">D166*Premissas!$C$30*Premissas!$C$32*(1+Premissas!$C$58)^$C166</f>
        <v>7870.16048649125</v>
      </c>
      <c r="F166" s="22" t="n">
        <f aca="false">E166*Premissas!$C$35</f>
        <v>1259.2256778386</v>
      </c>
      <c r="G166" s="22" t="n">
        <f aca="false">E166*Premissas!$C$36</f>
        <v>1574.03209729825</v>
      </c>
      <c r="H166" s="22" t="n">
        <f aca="false">IF($A166&gt;=Premissas!$C$18,Premissas!$C$37*(1+Premissas!$C$58)^$C166,0)</f>
        <v>1015.5045789021</v>
      </c>
      <c r="I166" s="22" t="n">
        <f aca="false">IF($A166&gt;=Premissas!$C$20,Premissas!$C$38*(1+Premissas!$C$58)^$C166,0)</f>
        <v>473.902136820979</v>
      </c>
      <c r="J166" s="22" t="n">
        <f aca="false">IF($A166&gt;=Premissas!$C$20,Premissas!$C$39*(1+Premissas!$C$58)^$C166,0)</f>
        <v>253.876144725524</v>
      </c>
      <c r="K166" s="22" t="n">
        <f aca="false">IF($A166&gt;=Premissas!$C$20,MAX(0,E166-F166-G166-H166)*Premissas!$C$41,0)</f>
        <v>1105.88448642438</v>
      </c>
      <c r="L166" s="22" t="n">
        <f aca="false">E166-F166-G166-H166-I166-J166-K166</f>
        <v>2187.73536448142</v>
      </c>
      <c r="M166" s="22" t="n">
        <f aca="false">($A166=Premissas!$C$18)*Premissas!$C$26*Premissas!$C$60</f>
        <v>0</v>
      </c>
      <c r="N166" s="22" t="n">
        <f aca="false">IF(AND($A166&gt;=Premissas!$C$18,$A166&lt;Premissas!$C$20),Premissas!$C$27/MAX(1,Premissas!$C$19),0)</f>
        <v>0</v>
      </c>
      <c r="O166" s="22" t="n">
        <f aca="false">IF($A166&gt;=Premissas!$C$18,Premissas!$C$60*(1+Premissas!$C$59)^((YEAR($A166)-YEAR(Premissas!$C$18))*12+MONTH($A166)-MONTH(Premissas!$C$18)),"")</f>
        <v>662434.337863606</v>
      </c>
      <c r="P166" s="31" t="n">
        <f aca="false">(1+IF(YEAR($A166)&lt;=2026,Premissas!$C$49,IF(YEAR($A166)=2027,Premissas!$C$50,IF(YEAR($A166)=2028,Premissas!$C$51,Premissas!$C$52)))*(1-Premissas!$C$53))^(1/12)-1</f>
        <v>0.00682149336596227</v>
      </c>
      <c r="Q166" s="22" t="n">
        <f aca="false">($A166=Premissas!$C$16)*Premissas!$C$13</f>
        <v>0</v>
      </c>
      <c r="R166" s="22" t="n">
        <f aca="false">L166-M166-N166-Q166</f>
        <v>2187.73536448142</v>
      </c>
      <c r="S166" s="22" t="n">
        <f aca="false">S165+R166</f>
        <v>-99023.6694384346</v>
      </c>
      <c r="T166" s="22" t="n">
        <f aca="false">IF($A166&gt;=Premissas!$C$18,O166*(1-Premissas!$C$45)-Premissas!$C$46*MAX(0,O166*(1-Premissas!$C$45)-(SUM($Q$5:$Q$355)+Premissas!$C$26*Premissas!$C$60)),"")</f>
        <v>569255.044299767</v>
      </c>
      <c r="U166" s="22" t="n">
        <f aca="false">IF($A166&gt;=Premissas!$C$18,S166+T166,"")</f>
        <v>470231.374861333</v>
      </c>
      <c r="V166" s="22" t="n">
        <f aca="false">V165*(1+$P166)-R166</f>
        <v>591829.588518758</v>
      </c>
      <c r="W166" s="22" t="n">
        <f aca="false">($A166=Premissas!$C$16)*Premissas!$C$9</f>
        <v>0</v>
      </c>
      <c r="X166" s="22" t="n">
        <f aca="false">L166-M166-N166-W166</f>
        <v>2187.73536448142</v>
      </c>
      <c r="Y166" s="22" t="n">
        <f aca="false">Y165+X166</f>
        <v>-129951.669438434</v>
      </c>
      <c r="Z166" s="22" t="n">
        <f aca="false">IF($A166&gt;=Premissas!$C$18,O166*(1-Premissas!$C$45)-Premissas!$C$46*MAX(0,O166*(1-Premissas!$C$45)-(SUM($W$5:$W$355)+Premissas!$C$26*Premissas!$C$60)),"")</f>
        <v>573894.244299767</v>
      </c>
      <c r="AA166" s="22" t="n">
        <f aca="false">IF($A166&gt;=Premissas!$C$18,Y166+Z166,"")</f>
        <v>443942.574861333</v>
      </c>
      <c r="AB166" s="22" t="n">
        <f aca="false">AB165*(1+$P166)-X166</f>
        <v>687273.188109804</v>
      </c>
      <c r="AC166" s="22" t="n">
        <f aca="false">AND($A166&gt;=Premissas!$C$16,$A166&lt;EDATE(Premissas!$C$16,3))*Premissas!$C$10/3*(1+Premissas!$C$56)^$C166</f>
        <v>0</v>
      </c>
      <c r="AD166" s="22" t="n">
        <f aca="false">L166-M166-N166-AC166</f>
        <v>2187.73536448142</v>
      </c>
      <c r="AE166" s="22" t="n">
        <f aca="false">AE165+AD166</f>
        <v>-137572.133318459</v>
      </c>
      <c r="AF166" s="22" t="n">
        <f aca="false">IF($A166&gt;=Premissas!$C$18,O166*(1-Premissas!$C$45)-Premissas!$C$46*MAX(0,O166*(1-Premissas!$C$45)-(SUM($AC$5:$AC$355)+Premissas!$C$26*Premissas!$C$60)),"")</f>
        <v>575037.313881771</v>
      </c>
      <c r="AG166" s="22" t="n">
        <f aca="false">IF($A166&gt;=Premissas!$C$18,AE166+AF166,"")</f>
        <v>437465.180563312</v>
      </c>
      <c r="AH166" s="22" t="n">
        <f aca="false">AH165*(1+$P166)-AD166</f>
        <v>702486.824248556</v>
      </c>
      <c r="AI166" s="22" t="n">
        <f aca="false">($A166=Premissas!$C$16)*0.2*Premissas!$C$11+AND($A166&gt;Premissas!$C$16,$A166&lt;=EDATE(Premissas!$C$16,43))*0.8*Premissas!$C$11/43*(1+Premissas!$C$56)^$C166</f>
        <v>0</v>
      </c>
      <c r="AJ166" s="22" t="n">
        <f aca="false">L166-M166-N166-AI166</f>
        <v>2187.73536448142</v>
      </c>
      <c r="AK166" s="22" t="n">
        <f aca="false">AK165+AJ166</f>
        <v>-183436.618736521</v>
      </c>
      <c r="AL166" s="22" t="n">
        <f aca="false">IF($A166&gt;=Premissas!$C$18,O166*(1-Premissas!$C$45)-Premissas!$C$46*MAX(0,O166*(1-Premissas!$C$45)-(SUM($AI$5:$AI$355)+Premissas!$C$26*Premissas!$C$60)),"")</f>
        <v>581916.98669448</v>
      </c>
      <c r="AM166" s="22" t="n">
        <f aca="false">IF($A166&gt;=Premissas!$C$18,AK166+AL166,"")</f>
        <v>398480.367957959</v>
      </c>
      <c r="AN166" s="22" t="n">
        <f aca="false">AN165*(1+$P166)-AJ166</f>
        <v>716682.017768897</v>
      </c>
      <c r="AO166" s="22" t="n">
        <f aca="false">V166+S166</f>
        <v>492805.919080323</v>
      </c>
    </row>
    <row r="167" customFormat="false" ht="15" hidden="false" customHeight="false" outlineLevel="0" collapsed="false">
      <c r="A167" s="26" t="n">
        <f aca="false">DATE(YEAR(A166),MONTH(A166)+1,1)</f>
        <v>51227</v>
      </c>
      <c r="B167" s="22" t="str">
        <f aca="false">IF($A167&lt;Premissas!$C$18,"Obra",IF($A167&lt;Premissas!$C$20,"Entrega/mobília","Airbnb"))</f>
        <v>Airbnb</v>
      </c>
      <c r="C167" s="36" t="n">
        <f aca="false">(YEAR($A167)-YEAR(Premissas!$C$16))*12+MONTH($A167)-MONTH(Premissas!$C$16)</f>
        <v>162</v>
      </c>
      <c r="D167" s="33" t="n">
        <f aca="false">IF($A167&gt;=Premissas!$C$20,Premissas!$C$31*IF(((YEAR($A167)-YEAR(Premissas!$C$20))*12+MONTH($A167)-MONTH(Premissas!$C$20))&lt;Premissas!$C$33,Premissas!$C$34,1),0)</f>
        <v>0.62</v>
      </c>
      <c r="E167" s="22" t="n">
        <f aca="false">D167*Premissas!$C$30*Premissas!$C$32*(1+Premissas!$C$58)^$C167</f>
        <v>7895.92534396817</v>
      </c>
      <c r="F167" s="22" t="n">
        <f aca="false">E167*Premissas!$C$35</f>
        <v>1263.34805503491</v>
      </c>
      <c r="G167" s="22" t="n">
        <f aca="false">E167*Premissas!$C$36</f>
        <v>1579.18506879363</v>
      </c>
      <c r="H167" s="22" t="n">
        <f aca="false">IF($A167&gt;=Premissas!$C$18,Premissas!$C$37*(1+Premissas!$C$58)^$C167,0)</f>
        <v>1018.82907664105</v>
      </c>
      <c r="I167" s="22" t="n">
        <f aca="false">IF($A167&gt;=Premissas!$C$20,Premissas!$C$38*(1+Premissas!$C$58)^$C167,0)</f>
        <v>475.453569099159</v>
      </c>
      <c r="J167" s="22" t="n">
        <f aca="false">IF($A167&gt;=Premissas!$C$20,Premissas!$C$39*(1+Premissas!$C$58)^$C167,0)</f>
        <v>254.707269160263</v>
      </c>
      <c r="K167" s="22" t="n">
        <f aca="false">IF($A167&gt;=Premissas!$C$20,MAX(0,E167-F167-G167-H167)*Premissas!$C$41,0)</f>
        <v>1109.50486446211</v>
      </c>
      <c r="L167" s="22" t="n">
        <f aca="false">E167-F167-G167-H167-I167-J167-K167</f>
        <v>2194.89744077704</v>
      </c>
      <c r="M167" s="22" t="n">
        <f aca="false">($A167=Premissas!$C$18)*Premissas!$C$26*Premissas!$C$60</f>
        <v>0</v>
      </c>
      <c r="N167" s="22" t="n">
        <f aca="false">IF(AND($A167&gt;=Premissas!$C$18,$A167&lt;Premissas!$C$20),Premissas!$C$27/MAX(1,Premissas!$C$19),0)</f>
        <v>0</v>
      </c>
      <c r="O167" s="22" t="n">
        <f aca="false">IF($A167&gt;=Premissas!$C$18,Premissas!$C$60*(1+Premissas!$C$59)^((YEAR($A167)-YEAR(Premissas!$C$18))*12+MONTH($A167)-MONTH(Premissas!$C$18)),"")</f>
        <v>665133.177354601</v>
      </c>
      <c r="P167" s="31" t="n">
        <f aca="false">(1+IF(YEAR($A167)&lt;=2026,Premissas!$C$49,IF(YEAR($A167)=2027,Premissas!$C$50,IF(YEAR($A167)=2028,Premissas!$C$51,Premissas!$C$52)))*(1-Premissas!$C$53))^(1/12)-1</f>
        <v>0.00682149336596227</v>
      </c>
      <c r="Q167" s="22" t="n">
        <f aca="false">($A167=Premissas!$C$16)*Premissas!$C$13</f>
        <v>0</v>
      </c>
      <c r="R167" s="22" t="n">
        <f aca="false">L167-M167-N167-Q167</f>
        <v>2194.89744077704</v>
      </c>
      <c r="S167" s="22" t="n">
        <f aca="false">S166+R167</f>
        <v>-96828.7719976575</v>
      </c>
      <c r="T167" s="22" t="n">
        <f aca="false">IF($A167&gt;=Premissas!$C$18,O167*(1-Premissas!$C$45)-Premissas!$C$46*MAX(0,O167*(1-Premissas!$C$45)-(SUM($Q$5:$Q$355)+Premissas!$C$26*Premissas!$C$60)),"")</f>
        <v>571411.417053073</v>
      </c>
      <c r="U167" s="22" t="n">
        <f aca="false">IF($A167&gt;=Premissas!$C$18,S167+T167,"")</f>
        <v>474582.645055415</v>
      </c>
      <c r="V167" s="22" t="n">
        <f aca="false">V166*(1+$P167)-R167</f>
        <v>593671.852689841</v>
      </c>
      <c r="W167" s="22" t="n">
        <f aca="false">($A167=Premissas!$C$16)*Premissas!$C$9</f>
        <v>0</v>
      </c>
      <c r="X167" s="22" t="n">
        <f aca="false">L167-M167-N167-W167</f>
        <v>2194.89744077704</v>
      </c>
      <c r="Y167" s="22" t="n">
        <f aca="false">Y166+X167</f>
        <v>-127756.771997657</v>
      </c>
      <c r="Z167" s="22" t="n">
        <f aca="false">IF($A167&gt;=Premissas!$C$18,O167*(1-Premissas!$C$45)-Premissas!$C$46*MAX(0,O167*(1-Premissas!$C$45)-(SUM($W$5:$W$355)+Premissas!$C$26*Premissas!$C$60)),"")</f>
        <v>576050.617053073</v>
      </c>
      <c r="AA167" s="22" t="n">
        <f aca="false">IF($A167&gt;=Premissas!$C$18,Y167+Z167,"")</f>
        <v>448293.845055415</v>
      </c>
      <c r="AB167" s="22" t="n">
        <f aca="false">AB166*(1+$P167)-X167</f>
        <v>689766.520162321</v>
      </c>
      <c r="AC167" s="22" t="n">
        <f aca="false">AND($A167&gt;=Premissas!$C$16,$A167&lt;EDATE(Premissas!$C$16,3))*Premissas!$C$10/3*(1+Premissas!$C$56)^$C167</f>
        <v>0</v>
      </c>
      <c r="AD167" s="22" t="n">
        <f aca="false">L167-M167-N167-AC167</f>
        <v>2194.89744077704</v>
      </c>
      <c r="AE167" s="22" t="n">
        <f aca="false">AE166+AD167</f>
        <v>-135377.235877682</v>
      </c>
      <c r="AF167" s="22" t="n">
        <f aca="false">IF($A167&gt;=Premissas!$C$18,O167*(1-Premissas!$C$45)-Premissas!$C$46*MAX(0,O167*(1-Premissas!$C$45)-(SUM($AC$5:$AC$355)+Premissas!$C$26*Premissas!$C$60)),"")</f>
        <v>577193.686635076</v>
      </c>
      <c r="AG167" s="22" t="n">
        <f aca="false">IF($A167&gt;=Premissas!$C$18,AE167+AF167,"")</f>
        <v>441816.450757394</v>
      </c>
      <c r="AH167" s="22" t="n">
        <f aca="false">AH166*(1+$P167)-AD167</f>
        <v>705083.936019067</v>
      </c>
      <c r="AI167" s="22" t="n">
        <f aca="false">($A167=Premissas!$C$16)*0.2*Premissas!$C$11+AND($A167&gt;Premissas!$C$16,$A167&lt;=EDATE(Premissas!$C$16,43))*0.8*Premissas!$C$11/43*(1+Premissas!$C$56)^$C167</f>
        <v>0</v>
      </c>
      <c r="AJ167" s="22" t="n">
        <f aca="false">L167-M167-N167-AI167</f>
        <v>2194.89744077704</v>
      </c>
      <c r="AK167" s="22" t="n">
        <f aca="false">AK166+AJ167</f>
        <v>-181241.721295744</v>
      </c>
      <c r="AL167" s="22" t="n">
        <f aca="false">IF($A167&gt;=Premissas!$C$18,O167*(1-Premissas!$C$45)-Premissas!$C$46*MAX(0,O167*(1-Premissas!$C$45)-(SUM($AI$5:$AI$355)+Premissas!$C$26*Premissas!$C$60)),"")</f>
        <v>584073.359447786</v>
      </c>
      <c r="AM167" s="22" t="n">
        <f aca="false">IF($A167&gt;=Premissas!$C$18,AK167+AL167,"")</f>
        <v>402831.638152042</v>
      </c>
      <c r="AN167" s="22" t="n">
        <f aca="false">AN166*(1+$P167)-AJ167</f>
        <v>719375.961957835</v>
      </c>
      <c r="AO167" s="22" t="n">
        <f aca="false">V167+S167</f>
        <v>496843.080692184</v>
      </c>
    </row>
    <row r="168" customFormat="false" ht="15" hidden="false" customHeight="false" outlineLevel="0" collapsed="false">
      <c r="A168" s="26" t="n">
        <f aca="false">DATE(YEAR(A167),MONTH(A167)+1,1)</f>
        <v>51257</v>
      </c>
      <c r="B168" s="22" t="str">
        <f aca="false">IF($A168&lt;Premissas!$C$18,"Obra",IF($A168&lt;Premissas!$C$20,"Entrega/mobília","Airbnb"))</f>
        <v>Airbnb</v>
      </c>
      <c r="C168" s="36" t="n">
        <f aca="false">(YEAR($A168)-YEAR(Premissas!$C$16))*12+MONTH($A168)-MONTH(Premissas!$C$16)</f>
        <v>163</v>
      </c>
      <c r="D168" s="33" t="n">
        <f aca="false">IF($A168&gt;=Premissas!$C$20,Premissas!$C$31*IF(((YEAR($A168)-YEAR(Premissas!$C$20))*12+MONTH($A168)-MONTH(Premissas!$C$20))&lt;Premissas!$C$33,Premissas!$C$34,1),0)</f>
        <v>0.62</v>
      </c>
      <c r="E168" s="22" t="n">
        <f aca="false">D168*Premissas!$C$30*Premissas!$C$32*(1+Premissas!$C$58)^$C168</f>
        <v>7921.77454888399</v>
      </c>
      <c r="F168" s="22" t="n">
        <f aca="false">E168*Premissas!$C$35</f>
        <v>1267.48392782144</v>
      </c>
      <c r="G168" s="22" t="n">
        <f aca="false">E168*Premissas!$C$36</f>
        <v>1584.3549097768</v>
      </c>
      <c r="H168" s="22" t="n">
        <f aca="false">IF($A168&gt;=Premissas!$C$18,Premissas!$C$37*(1+Premissas!$C$58)^$C168,0)</f>
        <v>1022.16445792051</v>
      </c>
      <c r="I168" s="22" t="n">
        <f aca="false">IF($A168&gt;=Premissas!$C$20,Premissas!$C$38*(1+Premissas!$C$58)^$C168,0)</f>
        <v>477.010080362907</v>
      </c>
      <c r="J168" s="22" t="n">
        <f aca="false">IF($A168&gt;=Premissas!$C$20,Premissas!$C$39*(1+Premissas!$C$58)^$C168,0)</f>
        <v>255.541114480129</v>
      </c>
      <c r="K168" s="22" t="n">
        <f aca="false">IF($A168&gt;=Premissas!$C$20,MAX(0,E168-F168-G168-H168)*Premissas!$C$41,0)</f>
        <v>1113.13709467544</v>
      </c>
      <c r="L168" s="22" t="n">
        <f aca="false">E168-F168-G168-H168-I168-J168-K168</f>
        <v>2202.08296384676</v>
      </c>
      <c r="M168" s="22" t="n">
        <f aca="false">($A168=Premissas!$C$18)*Premissas!$C$26*Premissas!$C$60</f>
        <v>0</v>
      </c>
      <c r="N168" s="22" t="n">
        <f aca="false">IF(AND($A168&gt;=Premissas!$C$18,$A168&lt;Premissas!$C$20),Premissas!$C$27/MAX(1,Premissas!$C$19),0)</f>
        <v>0</v>
      </c>
      <c r="O168" s="22" t="n">
        <f aca="false">IF($A168&gt;=Premissas!$C$18,Premissas!$C$60*(1+Premissas!$C$59)^((YEAR($A168)-YEAR(Premissas!$C$18))*12+MONTH($A168)-MONTH(Premissas!$C$18)),"")</f>
        <v>667843.012251755</v>
      </c>
      <c r="P168" s="31" t="n">
        <f aca="false">(1+IF(YEAR($A168)&lt;=2026,Premissas!$C$49,IF(YEAR($A168)=2027,Premissas!$C$50,IF(YEAR($A168)=2028,Premissas!$C$51,Premissas!$C$52)))*(1-Premissas!$C$53))^(1/12)-1</f>
        <v>0.00682149336596227</v>
      </c>
      <c r="Q168" s="22" t="n">
        <f aca="false">($A168=Premissas!$C$16)*Premissas!$C$13</f>
        <v>0</v>
      </c>
      <c r="R168" s="22" t="n">
        <f aca="false">L168-M168-N168-Q168</f>
        <v>2202.08296384676</v>
      </c>
      <c r="S168" s="22" t="n">
        <f aca="false">S167+R168</f>
        <v>-94626.6890338108</v>
      </c>
      <c r="T168" s="22" t="n">
        <f aca="false">IF($A168&gt;=Premissas!$C$18,O168*(1-Premissas!$C$45)-Premissas!$C$46*MAX(0,O168*(1-Premissas!$C$45)-(SUM($Q$5:$Q$355)+Premissas!$C$26*Premissas!$C$60)),"")</f>
        <v>573576.575135899</v>
      </c>
      <c r="U168" s="22" t="n">
        <f aca="false">IF($A168&gt;=Premissas!$C$18,S168+T168,"")</f>
        <v>478949.886102088</v>
      </c>
      <c r="V168" s="22" t="n">
        <f aca="false">V167*(1+$P168)-R168</f>
        <v>595519.498330677</v>
      </c>
      <c r="W168" s="22" t="n">
        <f aca="false">($A168=Premissas!$C$16)*Premissas!$C$9</f>
        <v>0</v>
      </c>
      <c r="X168" s="22" t="n">
        <f aca="false">L168-M168-N168-W168</f>
        <v>2202.08296384676</v>
      </c>
      <c r="Y168" s="22" t="n">
        <f aca="false">Y167+X168</f>
        <v>-125554.689033811</v>
      </c>
      <c r="Z168" s="22" t="n">
        <f aca="false">IF($A168&gt;=Premissas!$C$18,O168*(1-Premissas!$C$45)-Premissas!$C$46*MAX(0,O168*(1-Premissas!$C$45)-(SUM($W$5:$W$355)+Premissas!$C$26*Premissas!$C$60)),"")</f>
        <v>578215.775135899</v>
      </c>
      <c r="AA168" s="22" t="n">
        <f aca="false">IF($A168&gt;=Premissas!$C$18,Y168+Z168,"")</f>
        <v>452661.086102088</v>
      </c>
      <c r="AB168" s="22" t="n">
        <f aca="false">AB167*(1+$P168)-X168</f>
        <v>692269.674939825</v>
      </c>
      <c r="AC168" s="22" t="n">
        <f aca="false">AND($A168&gt;=Premissas!$C$16,$A168&lt;EDATE(Premissas!$C$16,3))*Premissas!$C$10/3*(1+Premissas!$C$56)^$C168</f>
        <v>0</v>
      </c>
      <c r="AD168" s="22" t="n">
        <f aca="false">L168-M168-N168-AC168</f>
        <v>2202.08296384676</v>
      </c>
      <c r="AE168" s="22" t="n">
        <f aca="false">AE167+AD168</f>
        <v>-133175.152913835</v>
      </c>
      <c r="AF168" s="22" t="n">
        <f aca="false">IF($A168&gt;=Premissas!$C$18,O168*(1-Premissas!$C$45)-Premissas!$C$46*MAX(0,O168*(1-Premissas!$C$45)-(SUM($AC$5:$AC$355)+Premissas!$C$26*Premissas!$C$60)),"")</f>
        <v>579358.844717902</v>
      </c>
      <c r="AG168" s="22" t="n">
        <f aca="false">IF($A168&gt;=Premissas!$C$18,AE168+AF168,"")</f>
        <v>446183.691804067</v>
      </c>
      <c r="AH168" s="22" t="n">
        <f aca="false">AH167*(1+$P168)-AD168</f>
        <v>707691.578447221</v>
      </c>
      <c r="AI168" s="22" t="n">
        <f aca="false">($A168=Premissas!$C$16)*0.2*Premissas!$C$11+AND($A168&gt;Premissas!$C$16,$A168&lt;=EDATE(Premissas!$C$16,43))*0.8*Premissas!$C$11/43*(1+Premissas!$C$56)^$C168</f>
        <v>0</v>
      </c>
      <c r="AJ168" s="22" t="n">
        <f aca="false">L168-M168-N168-AI168</f>
        <v>2202.08296384676</v>
      </c>
      <c r="AK168" s="22" t="n">
        <f aca="false">AK167+AJ168</f>
        <v>-179039.638331897</v>
      </c>
      <c r="AL168" s="22" t="n">
        <f aca="false">IF($A168&gt;=Premissas!$C$18,O168*(1-Premissas!$C$45)-Premissas!$C$46*MAX(0,O168*(1-Premissas!$C$45)-(SUM($AI$5:$AI$355)+Premissas!$C$26*Premissas!$C$60)),"")</f>
        <v>586238.517530612</v>
      </c>
      <c r="AM168" s="22" t="n">
        <f aca="false">IF($A168&gt;=Premissas!$C$18,AK168+AL168,"")</f>
        <v>407198.879198714</v>
      </c>
      <c r="AN168" s="22" t="n">
        <f aca="false">AN167*(1+$P168)-AJ168</f>
        <v>722081.097346117</v>
      </c>
      <c r="AO168" s="22" t="n">
        <f aca="false">V168+S168</f>
        <v>500892.809296866</v>
      </c>
    </row>
    <row r="169" customFormat="false" ht="15" hidden="false" customHeight="false" outlineLevel="0" collapsed="false">
      <c r="A169" s="26" t="n">
        <f aca="false">DATE(YEAR(A168),MONTH(A168)+1,1)</f>
        <v>51288</v>
      </c>
      <c r="B169" s="22" t="str">
        <f aca="false">IF($A169&lt;Premissas!$C$18,"Obra",IF($A169&lt;Premissas!$C$20,"Entrega/mobília","Airbnb"))</f>
        <v>Airbnb</v>
      </c>
      <c r="C169" s="36" t="n">
        <f aca="false">(YEAR($A169)-YEAR(Premissas!$C$16))*12+MONTH($A169)-MONTH(Premissas!$C$16)</f>
        <v>164</v>
      </c>
      <c r="D169" s="33" t="n">
        <f aca="false">IF($A169&gt;=Premissas!$C$20,Premissas!$C$31*IF(((YEAR($A169)-YEAR(Premissas!$C$20))*12+MONTH($A169)-MONTH(Premissas!$C$20))&lt;Premissas!$C$33,Premissas!$C$34,1),0)</f>
        <v>0.62</v>
      </c>
      <c r="E169" s="22" t="n">
        <f aca="false">D169*Premissas!$C$30*Premissas!$C$32*(1+Premissas!$C$58)^$C169</f>
        <v>7947.70837737028</v>
      </c>
      <c r="F169" s="22" t="n">
        <f aca="false">E169*Premissas!$C$35</f>
        <v>1271.63334037925</v>
      </c>
      <c r="G169" s="22" t="n">
        <f aca="false">E169*Premissas!$C$36</f>
        <v>1589.54167547406</v>
      </c>
      <c r="H169" s="22" t="n">
        <f aca="false">IF($A169&gt;=Premissas!$C$18,Premissas!$C$37*(1+Premissas!$C$58)^$C169,0)</f>
        <v>1025.51075837036</v>
      </c>
      <c r="I169" s="22" t="n">
        <f aca="false">IF($A169&gt;=Premissas!$C$20,Premissas!$C$38*(1+Premissas!$C$58)^$C169,0)</f>
        <v>478.571687239501</v>
      </c>
      <c r="J169" s="22" t="n">
        <f aca="false">IF($A169&gt;=Premissas!$C$20,Premissas!$C$39*(1+Premissas!$C$58)^$C169,0)</f>
        <v>256.37768959259</v>
      </c>
      <c r="K169" s="22" t="n">
        <f aca="false">IF($A169&gt;=Premissas!$C$20,MAX(0,E169-F169-G169-H169)*Premissas!$C$41,0)</f>
        <v>1116.78121586532</v>
      </c>
      <c r="L169" s="22" t="n">
        <f aca="false">E169-F169-G169-H169-I169-J169-K169</f>
        <v>2209.29201044921</v>
      </c>
      <c r="M169" s="22" t="n">
        <f aca="false">($A169=Premissas!$C$18)*Premissas!$C$26*Premissas!$C$60</f>
        <v>0</v>
      </c>
      <c r="N169" s="22" t="n">
        <f aca="false">IF(AND($A169&gt;=Premissas!$C$18,$A169&lt;Premissas!$C$20),Premissas!$C$27/MAX(1,Premissas!$C$19),0)</f>
        <v>0</v>
      </c>
      <c r="O169" s="22" t="n">
        <f aca="false">IF($A169&gt;=Premissas!$C$18,Premissas!$C$60*(1+Premissas!$C$59)^((YEAR($A169)-YEAR(Premissas!$C$18))*12+MONTH($A169)-MONTH(Premissas!$C$18)),"")</f>
        <v>670563.887351714</v>
      </c>
      <c r="P169" s="31" t="n">
        <f aca="false">(1+IF(YEAR($A169)&lt;=2026,Premissas!$C$49,IF(YEAR($A169)=2027,Premissas!$C$50,IF(YEAR($A169)=2028,Premissas!$C$51,Premissas!$C$52)))*(1-Premissas!$C$53))^(1/12)-1</f>
        <v>0.00682149336596227</v>
      </c>
      <c r="Q169" s="22" t="n">
        <f aca="false">($A169=Premissas!$C$16)*Premissas!$C$13</f>
        <v>0</v>
      </c>
      <c r="R169" s="22" t="n">
        <f aca="false">L169-M169-N169-Q169</f>
        <v>2209.29201044921</v>
      </c>
      <c r="S169" s="22" t="n">
        <f aca="false">S168+R169</f>
        <v>-92417.3970233615</v>
      </c>
      <c r="T169" s="22" t="n">
        <f aca="false">IF($A169&gt;=Premissas!$C$18,O169*(1-Premissas!$C$45)-Premissas!$C$46*MAX(0,O169*(1-Premissas!$C$45)-(SUM($Q$5:$Q$355)+Premissas!$C$26*Premissas!$C$60)),"")</f>
        <v>575750.554340765</v>
      </c>
      <c r="U169" s="22" t="n">
        <f aca="false">IF($A169&gt;=Premissas!$C$18,S169+T169,"")</f>
        <v>483333.157317404</v>
      </c>
      <c r="V169" s="22" t="n">
        <f aca="false">V168*(1+$P169)-R169</f>
        <v>597372.538627391</v>
      </c>
      <c r="W169" s="22" t="n">
        <f aca="false">($A169=Premissas!$C$16)*Premissas!$C$9</f>
        <v>0</v>
      </c>
      <c r="X169" s="22" t="n">
        <f aca="false">L169-M169-N169-W169</f>
        <v>2209.29201044921</v>
      </c>
      <c r="Y169" s="22" t="n">
        <f aca="false">Y168+X169</f>
        <v>-123345.397023361</v>
      </c>
      <c r="Z169" s="22" t="n">
        <f aca="false">IF($A169&gt;=Premissas!$C$18,O169*(1-Premissas!$C$45)-Premissas!$C$46*MAX(0,O169*(1-Premissas!$C$45)-(SUM($W$5:$W$355)+Premissas!$C$26*Premissas!$C$60)),"")</f>
        <v>580389.754340765</v>
      </c>
      <c r="AA169" s="22" t="n">
        <f aca="false">IF($A169&gt;=Premissas!$C$18,Y169+Z169,"")</f>
        <v>457044.357317404</v>
      </c>
      <c r="AB169" s="22" t="n">
        <f aca="false">AB168*(1+$P169)-X169</f>
        <v>694782.695924435</v>
      </c>
      <c r="AC169" s="22" t="n">
        <f aca="false">AND($A169&gt;=Premissas!$C$16,$A169&lt;EDATE(Premissas!$C$16,3))*Premissas!$C$10/3*(1+Premissas!$C$56)^$C169</f>
        <v>0</v>
      </c>
      <c r="AD169" s="22" t="n">
        <f aca="false">L169-M169-N169-AC169</f>
        <v>2209.29201044921</v>
      </c>
      <c r="AE169" s="22" t="n">
        <f aca="false">AE168+AD169</f>
        <v>-130965.860903386</v>
      </c>
      <c r="AF169" s="22" t="n">
        <f aca="false">IF($A169&gt;=Premissas!$C$18,O169*(1-Premissas!$C$45)-Premissas!$C$46*MAX(0,O169*(1-Premissas!$C$45)-(SUM($AC$5:$AC$355)+Premissas!$C$26*Premissas!$C$60)),"")</f>
        <v>581532.823922769</v>
      </c>
      <c r="AG169" s="22" t="n">
        <f aca="false">IF($A169&gt;=Premissas!$C$18,AE169+AF169,"")</f>
        <v>450566.963019383</v>
      </c>
      <c r="AH169" s="22" t="n">
        <f aca="false">AH168*(1+$P169)-AD169</f>
        <v>710309.799844297</v>
      </c>
      <c r="AI169" s="22" t="n">
        <f aca="false">($A169=Premissas!$C$16)*0.2*Premissas!$C$11+AND($A169&gt;Premissas!$C$16,$A169&lt;=EDATE(Premissas!$C$16,43))*0.8*Premissas!$C$11/43*(1+Premissas!$C$56)^$C169</f>
        <v>0</v>
      </c>
      <c r="AJ169" s="22" t="n">
        <f aca="false">L169-M169-N169-AI169</f>
        <v>2209.29201044921</v>
      </c>
      <c r="AK169" s="22" t="n">
        <f aca="false">AK168+AJ169</f>
        <v>-176830.346321448</v>
      </c>
      <c r="AL169" s="22" t="n">
        <f aca="false">IF($A169&gt;=Premissas!$C$18,O169*(1-Premissas!$C$45)-Premissas!$C$46*MAX(0,O169*(1-Premissas!$C$45)-(SUM($AI$5:$AI$355)+Premissas!$C$26*Premissas!$C$60)),"")</f>
        <v>588412.496735478</v>
      </c>
      <c r="AM169" s="22" t="n">
        <f aca="false">IF($A169&gt;=Premissas!$C$18,AK169+AL169,"")</f>
        <v>411582.15041403</v>
      </c>
      <c r="AN169" s="22" t="n">
        <f aca="false">AN168*(1+$P169)-AJ169</f>
        <v>724797.476750901</v>
      </c>
      <c r="AO169" s="22" t="n">
        <f aca="false">V169+S169</f>
        <v>504955.14160403</v>
      </c>
    </row>
    <row r="170" customFormat="false" ht="15" hidden="false" customHeight="false" outlineLevel="0" collapsed="false">
      <c r="A170" s="26" t="n">
        <f aca="false">DATE(YEAR(A169),MONTH(A169)+1,1)</f>
        <v>51318</v>
      </c>
      <c r="B170" s="22" t="str">
        <f aca="false">IF($A170&lt;Premissas!$C$18,"Obra",IF($A170&lt;Premissas!$C$20,"Entrega/mobília","Airbnb"))</f>
        <v>Airbnb</v>
      </c>
      <c r="C170" s="36" t="n">
        <f aca="false">(YEAR($A170)-YEAR(Premissas!$C$16))*12+MONTH($A170)-MONTH(Premissas!$C$16)</f>
        <v>165</v>
      </c>
      <c r="D170" s="33" t="n">
        <f aca="false">IF($A170&gt;=Premissas!$C$20,Premissas!$C$31*IF(((YEAR($A170)-YEAR(Premissas!$C$20))*12+MONTH($A170)-MONTH(Premissas!$C$20))&lt;Premissas!$C$33,Premissas!$C$34,1),0)</f>
        <v>0.62</v>
      </c>
      <c r="E170" s="22" t="n">
        <f aca="false">D170*Premissas!$C$30*Premissas!$C$32*(1+Premissas!$C$58)^$C170</f>
        <v>7973.7271064626</v>
      </c>
      <c r="F170" s="22" t="n">
        <f aca="false">E170*Premissas!$C$35</f>
        <v>1275.79633703402</v>
      </c>
      <c r="G170" s="22" t="n">
        <f aca="false">E170*Premissas!$C$36</f>
        <v>1594.74542129252</v>
      </c>
      <c r="H170" s="22" t="n">
        <f aca="false">IF($A170&gt;=Premissas!$C$18,Premissas!$C$37*(1+Premissas!$C$58)^$C170,0)</f>
        <v>1028.86801373711</v>
      </c>
      <c r="I170" s="22" t="n">
        <f aca="false">IF($A170&gt;=Premissas!$C$20,Premissas!$C$38*(1+Premissas!$C$58)^$C170,0)</f>
        <v>480.138406410651</v>
      </c>
      <c r="J170" s="22" t="n">
        <f aca="false">IF($A170&gt;=Premissas!$C$20,Premissas!$C$39*(1+Premissas!$C$58)^$C170,0)</f>
        <v>257.217003434277</v>
      </c>
      <c r="K170" s="22" t="n">
        <f aca="false">IF($A170&gt;=Premissas!$C$20,MAX(0,E170-F170-G170-H170)*Premissas!$C$41,0)</f>
        <v>1120.43726695971</v>
      </c>
      <c r="L170" s="22" t="n">
        <f aca="false">E170-F170-G170-H170-I170-J170-K170</f>
        <v>2216.52465759431</v>
      </c>
      <c r="M170" s="22" t="n">
        <f aca="false">($A170=Premissas!$C$18)*Premissas!$C$26*Premissas!$C$60</f>
        <v>0</v>
      </c>
      <c r="N170" s="22" t="n">
        <f aca="false">IF(AND($A170&gt;=Premissas!$C$18,$A170&lt;Premissas!$C$20),Premissas!$C$27/MAX(1,Premissas!$C$19),0)</f>
        <v>0</v>
      </c>
      <c r="O170" s="22" t="n">
        <f aca="false">IF($A170&gt;=Premissas!$C$18,Premissas!$C$60*(1+Premissas!$C$59)^((YEAR($A170)-YEAR(Premissas!$C$18))*12+MONTH($A170)-MONTH(Premissas!$C$18)),"")</f>
        <v>673295.847633629</v>
      </c>
      <c r="P170" s="31" t="n">
        <f aca="false">(1+IF(YEAR($A170)&lt;=2026,Premissas!$C$49,IF(YEAR($A170)=2027,Premissas!$C$50,IF(YEAR($A170)=2028,Premissas!$C$51,Premissas!$C$52)))*(1-Premissas!$C$53))^(1/12)-1</f>
        <v>0.00682149336596227</v>
      </c>
      <c r="Q170" s="22" t="n">
        <f aca="false">($A170=Premissas!$C$16)*Premissas!$C$13</f>
        <v>0</v>
      </c>
      <c r="R170" s="22" t="n">
        <f aca="false">L170-M170-N170-Q170</f>
        <v>2216.52465759431</v>
      </c>
      <c r="S170" s="22" t="n">
        <f aca="false">S169+R170</f>
        <v>-90200.8723657672</v>
      </c>
      <c r="T170" s="22" t="n">
        <f aca="false">IF($A170&gt;=Premissas!$C$18,O170*(1-Premissas!$C$45)-Premissas!$C$46*MAX(0,O170*(1-Premissas!$C$45)-(SUM($Q$5:$Q$355)+Premissas!$C$26*Premissas!$C$60)),"")</f>
        <v>577933.390606016</v>
      </c>
      <c r="U170" s="22" t="n">
        <f aca="false">IF($A170&gt;=Premissas!$C$18,S170+T170,"")</f>
        <v>487732.518240248</v>
      </c>
      <c r="V170" s="22" t="n">
        <f aca="false">V169*(1+$P170)-R170</f>
        <v>599230.986779052</v>
      </c>
      <c r="W170" s="22" t="n">
        <f aca="false">($A170=Premissas!$C$16)*Premissas!$C$9</f>
        <v>0</v>
      </c>
      <c r="X170" s="22" t="n">
        <f aca="false">L170-M170-N170-W170</f>
        <v>2216.52465759431</v>
      </c>
      <c r="Y170" s="22" t="n">
        <f aca="false">Y169+X170</f>
        <v>-121128.872365767</v>
      </c>
      <c r="Z170" s="22" t="n">
        <f aca="false">IF($A170&gt;=Premissas!$C$18,O170*(1-Premissas!$C$45)-Premissas!$C$46*MAX(0,O170*(1-Premissas!$C$45)-(SUM($W$5:$W$355)+Premissas!$C$26*Premissas!$C$60)),"")</f>
        <v>582572.590606016</v>
      </c>
      <c r="AA170" s="22" t="n">
        <f aca="false">IF($A170&gt;=Premissas!$C$18,Y170+Z170,"")</f>
        <v>461443.718240248</v>
      </c>
      <c r="AB170" s="22" t="n">
        <f aca="false">AB169*(1+$P170)-X170</f>
        <v>697305.626817874</v>
      </c>
      <c r="AC170" s="22" t="n">
        <f aca="false">AND($A170&gt;=Premissas!$C$16,$A170&lt;EDATE(Premissas!$C$16,3))*Premissas!$C$10/3*(1+Premissas!$C$56)^$C170</f>
        <v>0</v>
      </c>
      <c r="AD170" s="22" t="n">
        <f aca="false">L170-M170-N170-AC170</f>
        <v>2216.52465759431</v>
      </c>
      <c r="AE170" s="22" t="n">
        <f aca="false">AE169+AD170</f>
        <v>-128749.336245792</v>
      </c>
      <c r="AF170" s="22" t="n">
        <f aca="false">IF($A170&gt;=Premissas!$C$18,O170*(1-Premissas!$C$45)-Premissas!$C$46*MAX(0,O170*(1-Premissas!$C$45)-(SUM($AC$5:$AC$355)+Premissas!$C$26*Premissas!$C$60)),"")</f>
        <v>583715.660188019</v>
      </c>
      <c r="AG170" s="22" t="n">
        <f aca="false">IF($A170&gt;=Premissas!$C$18,AE170+AF170,"")</f>
        <v>454966.323942227</v>
      </c>
      <c r="AH170" s="22" t="n">
        <f aca="false">AH169*(1+$P170)-AD170</f>
        <v>712938.648774118</v>
      </c>
      <c r="AI170" s="22" t="n">
        <f aca="false">($A170=Premissas!$C$16)*0.2*Premissas!$C$11+AND($A170&gt;Premissas!$C$16,$A170&lt;=EDATE(Premissas!$C$16,43))*0.8*Premissas!$C$11/43*(1+Premissas!$C$56)^$C170</f>
        <v>0</v>
      </c>
      <c r="AJ170" s="22" t="n">
        <f aca="false">L170-M170-N170-AI170</f>
        <v>2216.52465759431</v>
      </c>
      <c r="AK170" s="22" t="n">
        <f aca="false">AK169+AJ170</f>
        <v>-174613.821663854</v>
      </c>
      <c r="AL170" s="22" t="n">
        <f aca="false">IF($A170&gt;=Premissas!$C$18,O170*(1-Premissas!$C$45)-Premissas!$C$46*MAX(0,O170*(1-Premissas!$C$45)-(SUM($AI$5:$AI$355)+Premissas!$C$26*Premissas!$C$60)),"")</f>
        <v>590595.333000729</v>
      </c>
      <c r="AM170" s="22" t="n">
        <f aca="false">IF($A170&gt;=Premissas!$C$18,AK170+AL170,"")</f>
        <v>415981.511336875</v>
      </c>
      <c r="AN170" s="22" t="n">
        <f aca="false">AN169*(1+$P170)-AJ170</f>
        <v>727525.153272629</v>
      </c>
      <c r="AO170" s="22" t="n">
        <f aca="false">V170+S170</f>
        <v>509030.114413285</v>
      </c>
    </row>
    <row r="171" customFormat="false" ht="15" hidden="false" customHeight="false" outlineLevel="0" collapsed="false">
      <c r="A171" s="26" t="n">
        <f aca="false">DATE(YEAR(A170),MONTH(A170)+1,1)</f>
        <v>51349</v>
      </c>
      <c r="B171" s="22" t="str">
        <f aca="false">IF($A171&lt;Premissas!$C$18,"Obra",IF($A171&lt;Premissas!$C$20,"Entrega/mobília","Airbnb"))</f>
        <v>Airbnb</v>
      </c>
      <c r="C171" s="36" t="n">
        <f aca="false">(YEAR($A171)-YEAR(Premissas!$C$16))*12+MONTH($A171)-MONTH(Premissas!$C$16)</f>
        <v>166</v>
      </c>
      <c r="D171" s="33" t="n">
        <f aca="false">IF($A171&gt;=Premissas!$C$20,Premissas!$C$31*IF(((YEAR($A171)-YEAR(Premissas!$C$20))*12+MONTH($A171)-MONTH(Premissas!$C$20))&lt;Premissas!$C$33,Premissas!$C$34,1),0)</f>
        <v>0.62</v>
      </c>
      <c r="E171" s="22" t="n">
        <f aca="false">D171*Premissas!$C$30*Premissas!$C$32*(1+Premissas!$C$58)^$C171</f>
        <v>7999.83101410342</v>
      </c>
      <c r="F171" s="22" t="n">
        <f aca="false">E171*Premissas!$C$35</f>
        <v>1279.97296225655</v>
      </c>
      <c r="G171" s="22" t="n">
        <f aca="false">E171*Premissas!$C$36</f>
        <v>1599.96620282068</v>
      </c>
      <c r="H171" s="22" t="n">
        <f aca="false">IF($A171&gt;=Premissas!$C$18,Premissas!$C$37*(1+Premissas!$C$58)^$C171,0)</f>
        <v>1032.23625988431</v>
      </c>
      <c r="I171" s="22" t="n">
        <f aca="false">IF($A171&gt;=Premissas!$C$20,Premissas!$C$38*(1+Premissas!$C$58)^$C171,0)</f>
        <v>481.710254612679</v>
      </c>
      <c r="J171" s="22" t="n">
        <f aca="false">IF($A171&gt;=Premissas!$C$20,Premissas!$C$39*(1+Premissas!$C$58)^$C171,0)</f>
        <v>258.059064971078</v>
      </c>
      <c r="K171" s="22" t="n">
        <f aca="false">IF($A171&gt;=Premissas!$C$20,MAX(0,E171-F171-G171-H171)*Premissas!$C$41,0)</f>
        <v>1124.10528701402</v>
      </c>
      <c r="L171" s="22" t="n">
        <f aca="false">E171-F171-G171-H171-I171-J171-K171</f>
        <v>2223.7809825441</v>
      </c>
      <c r="M171" s="22" t="n">
        <f aca="false">($A171=Premissas!$C$18)*Premissas!$C$26*Premissas!$C$60</f>
        <v>0</v>
      </c>
      <c r="N171" s="22" t="n">
        <f aca="false">IF(AND($A171&gt;=Premissas!$C$18,$A171&lt;Premissas!$C$20),Premissas!$C$27/MAX(1,Premissas!$C$19),0)</f>
        <v>0</v>
      </c>
      <c r="O171" s="22" t="n">
        <f aca="false">IF($A171&gt;=Premissas!$C$18,Premissas!$C$60*(1+Premissas!$C$59)^((YEAR($A171)-YEAR(Premissas!$C$18))*12+MONTH($A171)-MONTH(Premissas!$C$18)),"")</f>
        <v>676038.938259905</v>
      </c>
      <c r="P171" s="31" t="n">
        <f aca="false">(1+IF(YEAR($A171)&lt;=2026,Premissas!$C$49,IF(YEAR($A171)=2027,Premissas!$C$50,IF(YEAR($A171)=2028,Premissas!$C$51,Premissas!$C$52)))*(1-Premissas!$C$53))^(1/12)-1</f>
        <v>0.00682149336596227</v>
      </c>
      <c r="Q171" s="22" t="n">
        <f aca="false">($A171=Premissas!$C$16)*Premissas!$C$13</f>
        <v>0</v>
      </c>
      <c r="R171" s="22" t="n">
        <f aca="false">L171-M171-N171-Q171</f>
        <v>2223.7809825441</v>
      </c>
      <c r="S171" s="22" t="n">
        <f aca="false">S170+R171</f>
        <v>-87977.0913832231</v>
      </c>
      <c r="T171" s="22" t="n">
        <f aca="false">IF($A171&gt;=Premissas!$C$18,O171*(1-Premissas!$C$45)-Premissas!$C$46*MAX(0,O171*(1-Premissas!$C$45)-(SUM($Q$5:$Q$355)+Premissas!$C$26*Premissas!$C$60)),"")</f>
        <v>580125.12001641</v>
      </c>
      <c r="U171" s="22" t="n">
        <f aca="false">IF($A171&gt;=Premissas!$C$18,S171+T171,"")</f>
        <v>492148.028633187</v>
      </c>
      <c r="V171" s="22" t="n">
        <f aca="false">V170*(1+$P171)-R171</f>
        <v>601094.8559975</v>
      </c>
      <c r="W171" s="22" t="n">
        <f aca="false">($A171=Premissas!$C$16)*Premissas!$C$9</f>
        <v>0</v>
      </c>
      <c r="X171" s="22" t="n">
        <f aca="false">L171-M171-N171-W171</f>
        <v>2223.7809825441</v>
      </c>
      <c r="Y171" s="22" t="n">
        <f aca="false">Y170+X171</f>
        <v>-118905.091383223</v>
      </c>
      <c r="Z171" s="22" t="n">
        <f aca="false">IF($A171&gt;=Premissas!$C$18,O171*(1-Premissas!$C$45)-Premissas!$C$46*MAX(0,O171*(1-Premissas!$C$45)-(SUM($W$5:$W$355)+Premissas!$C$26*Premissas!$C$60)),"")</f>
        <v>584764.32001641</v>
      </c>
      <c r="AA171" s="22" t="n">
        <f aca="false">IF($A171&gt;=Premissas!$C$18,Y171+Z171,"")</f>
        <v>465859.228633187</v>
      </c>
      <c r="AB171" s="22" t="n">
        <f aca="false">AB170*(1+$P171)-X171</f>
        <v>699838.511542716</v>
      </c>
      <c r="AC171" s="22" t="n">
        <f aca="false">AND($A171&gt;=Premissas!$C$16,$A171&lt;EDATE(Premissas!$C$16,3))*Premissas!$C$10/3*(1+Premissas!$C$56)^$C171</f>
        <v>0</v>
      </c>
      <c r="AD171" s="22" t="n">
        <f aca="false">L171-M171-N171-AC171</f>
        <v>2223.7809825441</v>
      </c>
      <c r="AE171" s="22" t="n">
        <f aca="false">AE170+AD171</f>
        <v>-126525.555263248</v>
      </c>
      <c r="AF171" s="22" t="n">
        <f aca="false">IF($A171&gt;=Premissas!$C$18,O171*(1-Premissas!$C$45)-Premissas!$C$46*MAX(0,O171*(1-Premissas!$C$45)-(SUM($AC$5:$AC$355)+Premissas!$C$26*Premissas!$C$60)),"")</f>
        <v>585907.389598414</v>
      </c>
      <c r="AG171" s="22" t="n">
        <f aca="false">IF($A171&gt;=Premissas!$C$18,AE171+AF171,"")</f>
        <v>459381.834335166</v>
      </c>
      <c r="AH171" s="22" t="n">
        <f aca="false">AH170*(1+$P171)-AD171</f>
        <v>715578.174054525</v>
      </c>
      <c r="AI171" s="22" t="n">
        <f aca="false">($A171=Premissas!$C$16)*0.2*Premissas!$C$11+AND($A171&gt;Premissas!$C$16,$A171&lt;=EDATE(Premissas!$C$16,43))*0.8*Premissas!$C$11/43*(1+Premissas!$C$56)^$C171</f>
        <v>0</v>
      </c>
      <c r="AJ171" s="22" t="n">
        <f aca="false">L171-M171-N171-AI171</f>
        <v>2223.7809825441</v>
      </c>
      <c r="AK171" s="22" t="n">
        <f aca="false">AK170+AJ171</f>
        <v>-172390.04068131</v>
      </c>
      <c r="AL171" s="22" t="n">
        <f aca="false">IF($A171&gt;=Premissas!$C$18,O171*(1-Premissas!$C$45)-Premissas!$C$46*MAX(0,O171*(1-Premissas!$C$45)-(SUM($AI$5:$AI$355)+Premissas!$C$26*Premissas!$C$60)),"")</f>
        <v>592787.062411123</v>
      </c>
      <c r="AM171" s="22" t="n">
        <f aca="false">IF($A171&gt;=Premissas!$C$18,AK171+AL171,"")</f>
        <v>420397.021729813</v>
      </c>
      <c r="AN171" s="22" t="n">
        <f aca="false">AN170*(1+$P171)-AJ171</f>
        <v>730264.180296705</v>
      </c>
      <c r="AO171" s="22" t="n">
        <f aca="false">V171+S171</f>
        <v>513117.764614277</v>
      </c>
    </row>
    <row r="172" customFormat="false" ht="15" hidden="false" customHeight="false" outlineLevel="0" collapsed="false">
      <c r="A172" s="26" t="n">
        <f aca="false">DATE(YEAR(A171),MONTH(A171)+1,1)</f>
        <v>51380</v>
      </c>
      <c r="B172" s="22" t="str">
        <f aca="false">IF($A172&lt;Premissas!$C$18,"Obra",IF($A172&lt;Premissas!$C$20,"Entrega/mobília","Airbnb"))</f>
        <v>Airbnb</v>
      </c>
      <c r="C172" s="36" t="n">
        <f aca="false">(YEAR($A172)-YEAR(Premissas!$C$16))*12+MONTH($A172)-MONTH(Premissas!$C$16)</f>
        <v>167</v>
      </c>
      <c r="D172" s="33" t="n">
        <f aca="false">IF($A172&gt;=Premissas!$C$20,Premissas!$C$31*IF(((YEAR($A172)-YEAR(Premissas!$C$20))*12+MONTH($A172)-MONTH(Premissas!$C$20))&lt;Premissas!$C$33,Premissas!$C$34,1),0)</f>
        <v>0.62</v>
      </c>
      <c r="E172" s="22" t="n">
        <f aca="false">D172*Premissas!$C$30*Premissas!$C$32*(1+Premissas!$C$58)^$C172</f>
        <v>8026.02037914516</v>
      </c>
      <c r="F172" s="22" t="n">
        <f aca="false">E172*Premissas!$C$35</f>
        <v>1284.16326066323</v>
      </c>
      <c r="G172" s="22" t="n">
        <f aca="false">E172*Premissas!$C$36</f>
        <v>1605.20407582903</v>
      </c>
      <c r="H172" s="22" t="n">
        <f aca="false">IF($A172&gt;=Premissas!$C$18,Premissas!$C$37*(1+Premissas!$C$58)^$C172,0)</f>
        <v>1035.61553279292</v>
      </c>
      <c r="I172" s="22" t="n">
        <f aca="false">IF($A172&gt;=Premissas!$C$20,Premissas!$C$38*(1+Premissas!$C$58)^$C172,0)</f>
        <v>483.287248636698</v>
      </c>
      <c r="J172" s="22" t="n">
        <f aca="false">IF($A172&gt;=Premissas!$C$20,Premissas!$C$39*(1+Premissas!$C$58)^$C172,0)</f>
        <v>258.903883198231</v>
      </c>
      <c r="K172" s="22" t="n">
        <f aca="false">IF($A172&gt;=Premissas!$C$20,MAX(0,E172-F172-G172-H172)*Premissas!$C$41,0)</f>
        <v>1127.78531521149</v>
      </c>
      <c r="L172" s="22" t="n">
        <f aca="false">E172-F172-G172-H172-I172-J172-K172</f>
        <v>2231.06106281355</v>
      </c>
      <c r="M172" s="22" t="n">
        <f aca="false">($A172=Premissas!$C$18)*Premissas!$C$26*Premissas!$C$60</f>
        <v>0</v>
      </c>
      <c r="N172" s="22" t="n">
        <f aca="false">IF(AND($A172&gt;=Premissas!$C$18,$A172&lt;Premissas!$C$20),Premissas!$C$27/MAX(1,Premissas!$C$19),0)</f>
        <v>0</v>
      </c>
      <c r="O172" s="22" t="n">
        <f aca="false">IF($A172&gt;=Premissas!$C$18,Premissas!$C$60*(1+Premissas!$C$59)^((YEAR($A172)-YEAR(Premissas!$C$18))*12+MONTH($A172)-MONTH(Premissas!$C$18)),"")</f>
        <v>678793.204576942</v>
      </c>
      <c r="P172" s="31" t="n">
        <f aca="false">(1+IF(YEAR($A172)&lt;=2026,Premissas!$C$49,IF(YEAR($A172)=2027,Premissas!$C$50,IF(YEAR($A172)=2028,Premissas!$C$51,Premissas!$C$52)))*(1-Premissas!$C$53))^(1/12)-1</f>
        <v>0.00682149336596227</v>
      </c>
      <c r="Q172" s="22" t="n">
        <f aca="false">($A172=Premissas!$C$16)*Premissas!$C$13</f>
        <v>0</v>
      </c>
      <c r="R172" s="22" t="n">
        <f aca="false">L172-M172-N172-Q172</f>
        <v>2231.06106281355</v>
      </c>
      <c r="S172" s="22" t="n">
        <f aca="false">S171+R172</f>
        <v>-85746.0303204096</v>
      </c>
      <c r="T172" s="22" t="n">
        <f aca="false">IF($A172&gt;=Premissas!$C$18,O172*(1-Premissas!$C$45)-Premissas!$C$46*MAX(0,O172*(1-Premissas!$C$45)-(SUM($Q$5:$Q$355)+Premissas!$C$26*Premissas!$C$60)),"")</f>
        <v>582325.778803723</v>
      </c>
      <c r="U172" s="22" t="n">
        <f aca="false">IF($A172&gt;=Premissas!$C$18,S172+T172,"")</f>
        <v>496579.748483313</v>
      </c>
      <c r="V172" s="22" t="n">
        <f aca="false">V171*(1+$P172)-R172</f>
        <v>602964.159507188</v>
      </c>
      <c r="W172" s="22" t="n">
        <f aca="false">($A172=Premissas!$C$16)*Premissas!$C$9</f>
        <v>0</v>
      </c>
      <c r="X172" s="22" t="n">
        <f aca="false">L172-M172-N172-W172</f>
        <v>2231.06106281355</v>
      </c>
      <c r="Y172" s="22" t="n">
        <f aca="false">Y171+X172</f>
        <v>-116674.030320409</v>
      </c>
      <c r="Z172" s="22" t="n">
        <f aca="false">IF($A172&gt;=Premissas!$C$18,O172*(1-Premissas!$C$45)-Premissas!$C$46*MAX(0,O172*(1-Premissas!$C$45)-(SUM($W$5:$W$355)+Premissas!$C$26*Premissas!$C$60)),"")</f>
        <v>586964.978803723</v>
      </c>
      <c r="AA172" s="22" t="n">
        <f aca="false">IF($A172&gt;=Premissas!$C$18,Y172+Z172,"")</f>
        <v>470290.948483313</v>
      </c>
      <c r="AB172" s="22" t="n">
        <f aca="false">AB171*(1+$P172)-X172</f>
        <v>702381.394243637</v>
      </c>
      <c r="AC172" s="22" t="n">
        <f aca="false">AND($A172&gt;=Premissas!$C$16,$A172&lt;EDATE(Premissas!$C$16,3))*Premissas!$C$10/3*(1+Premissas!$C$56)^$C172</f>
        <v>0</v>
      </c>
      <c r="AD172" s="22" t="n">
        <f aca="false">L172-M172-N172-AC172</f>
        <v>2231.06106281355</v>
      </c>
      <c r="AE172" s="22" t="n">
        <f aca="false">AE171+AD172</f>
        <v>-124294.494200434</v>
      </c>
      <c r="AF172" s="22" t="n">
        <f aca="false">IF($A172&gt;=Premissas!$C$18,O172*(1-Premissas!$C$45)-Premissas!$C$46*MAX(0,O172*(1-Premissas!$C$45)-(SUM($AC$5:$AC$355)+Premissas!$C$26*Premissas!$C$60)),"")</f>
        <v>588108.048385726</v>
      </c>
      <c r="AG172" s="22" t="n">
        <f aca="false">IF($A172&gt;=Premissas!$C$18,AE172+AF172,"")</f>
        <v>463813.554185292</v>
      </c>
      <c r="AH172" s="22" t="n">
        <f aca="false">AH171*(1+$P172)-AD172</f>
        <v>718228.424758852</v>
      </c>
      <c r="AI172" s="22" t="n">
        <f aca="false">($A172=Premissas!$C$16)*0.2*Premissas!$C$11+AND($A172&gt;Premissas!$C$16,$A172&lt;=EDATE(Premissas!$C$16,43))*0.8*Premissas!$C$11/43*(1+Premissas!$C$56)^$C172</f>
        <v>0</v>
      </c>
      <c r="AJ172" s="22" t="n">
        <f aca="false">L172-M172-N172-AI172</f>
        <v>2231.06106281355</v>
      </c>
      <c r="AK172" s="22" t="n">
        <f aca="false">AK171+AJ172</f>
        <v>-170158.979618496</v>
      </c>
      <c r="AL172" s="22" t="n">
        <f aca="false">IF($A172&gt;=Premissas!$C$18,O172*(1-Premissas!$C$45)-Premissas!$C$46*MAX(0,O172*(1-Premissas!$C$45)-(SUM($AI$5:$AI$355)+Premissas!$C$26*Premissas!$C$60)),"")</f>
        <v>594987.721198436</v>
      </c>
      <c r="AM172" s="22" t="n">
        <f aca="false">IF($A172&gt;=Premissas!$C$18,AK172+AL172,"")</f>
        <v>424828.74157994</v>
      </c>
      <c r="AN172" s="22" t="n">
        <f aca="false">AN171*(1+$P172)-AJ172</f>
        <v>733014.611495185</v>
      </c>
      <c r="AO172" s="22" t="n">
        <f aca="false">V172+S172</f>
        <v>517218.129186778</v>
      </c>
    </row>
    <row r="173" customFormat="false" ht="15" hidden="false" customHeight="false" outlineLevel="0" collapsed="false">
      <c r="A173" s="26" t="n">
        <f aca="false">DATE(YEAR(A172),MONTH(A172)+1,1)</f>
        <v>51410</v>
      </c>
      <c r="B173" s="22" t="str">
        <f aca="false">IF($A173&lt;Premissas!$C$18,"Obra",IF($A173&lt;Premissas!$C$20,"Entrega/mobília","Airbnb"))</f>
        <v>Airbnb</v>
      </c>
      <c r="C173" s="36" t="n">
        <f aca="false">(YEAR($A173)-YEAR(Premissas!$C$16))*12+MONTH($A173)-MONTH(Premissas!$C$16)</f>
        <v>168</v>
      </c>
      <c r="D173" s="33" t="n">
        <f aca="false">IF($A173&gt;=Premissas!$C$20,Premissas!$C$31*IF(((YEAR($A173)-YEAR(Premissas!$C$20))*12+MONTH($A173)-MONTH(Premissas!$C$20))&lt;Premissas!$C$33,Premissas!$C$34,1),0)</f>
        <v>0.62</v>
      </c>
      <c r="E173" s="22" t="n">
        <f aca="false">D173*Premissas!$C$30*Premissas!$C$32*(1+Premissas!$C$58)^$C173</f>
        <v>8052.2954813531</v>
      </c>
      <c r="F173" s="22" t="n">
        <f aca="false">E173*Premissas!$C$35</f>
        <v>1288.3672770165</v>
      </c>
      <c r="G173" s="22" t="n">
        <f aca="false">E173*Premissas!$C$36</f>
        <v>1610.45909627062</v>
      </c>
      <c r="H173" s="22" t="n">
        <f aca="false">IF($A173&gt;=Premissas!$C$18,Premissas!$C$37*(1+Premissas!$C$58)^$C173,0)</f>
        <v>1039.00586856169</v>
      </c>
      <c r="I173" s="22" t="n">
        <f aca="false">IF($A173&gt;=Premissas!$C$20,Premissas!$C$38*(1+Premissas!$C$58)^$C173,0)</f>
        <v>484.869405328789</v>
      </c>
      <c r="J173" s="22" t="n">
        <f aca="false">IF($A173&gt;=Premissas!$C$20,Premissas!$C$39*(1+Premissas!$C$58)^$C173,0)</f>
        <v>259.751467140423</v>
      </c>
      <c r="K173" s="22" t="n">
        <f aca="false">IF($A173&gt;=Premissas!$C$20,MAX(0,E173-F173-G173-H173)*Premissas!$C$41,0)</f>
        <v>1131.47739086368</v>
      </c>
      <c r="L173" s="22" t="n">
        <f aca="false">E173-F173-G173-H173-I173-J173-K173</f>
        <v>2238.3649761714</v>
      </c>
      <c r="M173" s="22" t="n">
        <f aca="false">($A173=Premissas!$C$18)*Premissas!$C$26*Premissas!$C$60</f>
        <v>0</v>
      </c>
      <c r="N173" s="22" t="n">
        <f aca="false">IF(AND($A173&gt;=Premissas!$C$18,$A173&lt;Premissas!$C$20),Premissas!$C$27/MAX(1,Premissas!$C$19),0)</f>
        <v>0</v>
      </c>
      <c r="O173" s="22" t="n">
        <f aca="false">IF($A173&gt;=Premissas!$C$18,Premissas!$C$60*(1+Premissas!$C$59)^((YEAR($A173)-YEAR(Premissas!$C$18))*12+MONTH($A173)-MONTH(Premissas!$C$18)),"")</f>
        <v>681558.692115888</v>
      </c>
      <c r="P173" s="31" t="n">
        <f aca="false">(1+IF(YEAR($A173)&lt;=2026,Premissas!$C$49,IF(YEAR($A173)=2027,Premissas!$C$50,IF(YEAR($A173)=2028,Premissas!$C$51,Premissas!$C$52)))*(1-Premissas!$C$53))^(1/12)-1</f>
        <v>0.00682149336596227</v>
      </c>
      <c r="Q173" s="22" t="n">
        <f aca="false">($A173=Premissas!$C$16)*Premissas!$C$13</f>
        <v>0</v>
      </c>
      <c r="R173" s="22" t="n">
        <f aca="false">L173-M173-N173-Q173</f>
        <v>2238.3649761714</v>
      </c>
      <c r="S173" s="22" t="n">
        <f aca="false">S172+R173</f>
        <v>-83507.6653442382</v>
      </c>
      <c r="T173" s="22" t="n">
        <f aca="false">IF($A173&gt;=Premissas!$C$18,O173*(1-Premissas!$C$45)-Premissas!$C$46*MAX(0,O173*(1-Premissas!$C$45)-(SUM($Q$5:$Q$355)+Premissas!$C$26*Premissas!$C$60)),"")</f>
        <v>584535.40334734</v>
      </c>
      <c r="U173" s="22" t="n">
        <f aca="false">IF($A173&gt;=Premissas!$C$18,S173+T173,"")</f>
        <v>501027.738003102</v>
      </c>
      <c r="V173" s="22" t="n">
        <f aca="false">V172*(1+$P173)-R173</f>
        <v>604838.910545008</v>
      </c>
      <c r="W173" s="22" t="n">
        <f aca="false">($A173=Premissas!$C$16)*Premissas!$C$9</f>
        <v>0</v>
      </c>
      <c r="X173" s="22" t="n">
        <f aca="false">L173-M173-N173-W173</f>
        <v>2238.3649761714</v>
      </c>
      <c r="Y173" s="22" t="n">
        <f aca="false">Y172+X173</f>
        <v>-114435.665344238</v>
      </c>
      <c r="Z173" s="22" t="n">
        <f aca="false">IF($A173&gt;=Premissas!$C$18,O173*(1-Premissas!$C$45)-Premissas!$C$46*MAX(0,O173*(1-Premissas!$C$45)-(SUM($W$5:$W$355)+Premissas!$C$26*Premissas!$C$60)),"")</f>
        <v>589174.60334734</v>
      </c>
      <c r="AA173" s="22" t="n">
        <f aca="false">IF($A173&gt;=Premissas!$C$18,Y173+Z173,"")</f>
        <v>474738.938003102</v>
      </c>
      <c r="AB173" s="22" t="n">
        <f aca="false">AB172*(1+$P173)-X173</f>
        <v>704934.319288674</v>
      </c>
      <c r="AC173" s="22" t="n">
        <f aca="false">AND($A173&gt;=Premissas!$C$16,$A173&lt;EDATE(Premissas!$C$16,3))*Premissas!$C$10/3*(1+Premissas!$C$56)^$C173</f>
        <v>0</v>
      </c>
      <c r="AD173" s="22" t="n">
        <f aca="false">L173-M173-N173-AC173</f>
        <v>2238.3649761714</v>
      </c>
      <c r="AE173" s="22" t="n">
        <f aca="false">AE172+AD173</f>
        <v>-122056.129224263</v>
      </c>
      <c r="AF173" s="22" t="n">
        <f aca="false">IF($A173&gt;=Premissas!$C$18,O173*(1-Premissas!$C$45)-Premissas!$C$46*MAX(0,O173*(1-Premissas!$C$45)-(SUM($AC$5:$AC$355)+Premissas!$C$26*Premissas!$C$60)),"")</f>
        <v>590317.672929344</v>
      </c>
      <c r="AG173" s="22" t="n">
        <f aca="false">IF($A173&gt;=Premissas!$C$18,AE173+AF173,"")</f>
        <v>468261.543705081</v>
      </c>
      <c r="AH173" s="22" t="n">
        <f aca="false">AH172*(1+$P173)-AD173</f>
        <v>720889.450217418</v>
      </c>
      <c r="AI173" s="22" t="n">
        <f aca="false">($A173=Premissas!$C$16)*0.2*Premissas!$C$11+AND($A173&gt;Premissas!$C$16,$A173&lt;=EDATE(Premissas!$C$16,43))*0.8*Premissas!$C$11/43*(1+Premissas!$C$56)^$C173</f>
        <v>0</v>
      </c>
      <c r="AJ173" s="22" t="n">
        <f aca="false">L173-M173-N173-AI173</f>
        <v>2238.3649761714</v>
      </c>
      <c r="AK173" s="22" t="n">
        <f aca="false">AK172+AJ173</f>
        <v>-167920.614642325</v>
      </c>
      <c r="AL173" s="22" t="n">
        <f aca="false">IF($A173&gt;=Premissas!$C$18,O173*(1-Premissas!$C$45)-Premissas!$C$46*MAX(0,O173*(1-Premissas!$C$45)-(SUM($AI$5:$AI$355)+Premissas!$C$26*Premissas!$C$60)),"")</f>
        <v>597197.345742053</v>
      </c>
      <c r="AM173" s="22" t="n">
        <f aca="false">IF($A173&gt;=Premissas!$C$18,AK173+AL173,"")</f>
        <v>429276.731099729</v>
      </c>
      <c r="AN173" s="22" t="n">
        <f aca="false">AN172*(1+$P173)-AJ173</f>
        <v>735776.500828481</v>
      </c>
      <c r="AO173" s="22" t="n">
        <f aca="false">V173+S173</f>
        <v>521331.24520077</v>
      </c>
    </row>
    <row r="174" customFormat="false" ht="15" hidden="false" customHeight="false" outlineLevel="0" collapsed="false">
      <c r="A174" s="26" t="n">
        <f aca="false">DATE(YEAR(A173),MONTH(A173)+1,1)</f>
        <v>51441</v>
      </c>
      <c r="B174" s="22" t="str">
        <f aca="false">IF($A174&lt;Premissas!$C$18,"Obra",IF($A174&lt;Premissas!$C$20,"Entrega/mobília","Airbnb"))</f>
        <v>Airbnb</v>
      </c>
      <c r="C174" s="36" t="n">
        <f aca="false">(YEAR($A174)-YEAR(Premissas!$C$16))*12+MONTH($A174)-MONTH(Premissas!$C$16)</f>
        <v>169</v>
      </c>
      <c r="D174" s="33" t="n">
        <f aca="false">IF($A174&gt;=Premissas!$C$20,Premissas!$C$31*IF(((YEAR($A174)-YEAR(Premissas!$C$20))*12+MONTH($A174)-MONTH(Premissas!$C$20))&lt;Premissas!$C$33,Premissas!$C$34,1),0)</f>
        <v>0.62</v>
      </c>
      <c r="E174" s="22" t="n">
        <f aca="false">D174*Premissas!$C$30*Premissas!$C$32*(1+Premissas!$C$58)^$C174</f>
        <v>8078.65660140843</v>
      </c>
      <c r="F174" s="22" t="n">
        <f aca="false">E174*Premissas!$C$35</f>
        <v>1292.58505622535</v>
      </c>
      <c r="G174" s="22" t="n">
        <f aca="false">E174*Premissas!$C$36</f>
        <v>1615.73132028169</v>
      </c>
      <c r="H174" s="22" t="n">
        <f aca="false">IF($A174&gt;=Premissas!$C$18,Premissas!$C$37*(1+Premissas!$C$58)^$C174,0)</f>
        <v>1042.40730340754</v>
      </c>
      <c r="I174" s="22" t="n">
        <f aca="false">IF($A174&gt;=Premissas!$C$20,Premissas!$C$38*(1+Premissas!$C$58)^$C174,0)</f>
        <v>486.456741590185</v>
      </c>
      <c r="J174" s="22" t="n">
        <f aca="false">IF($A174&gt;=Premissas!$C$20,Premissas!$C$39*(1+Premissas!$C$58)^$C174,0)</f>
        <v>260.601825851885</v>
      </c>
      <c r="K174" s="22" t="n">
        <f aca="false">IF($A174&gt;=Premissas!$C$20,MAX(0,E174-F174-G174-H174)*Premissas!$C$41,0)</f>
        <v>1135.18155341081</v>
      </c>
      <c r="L174" s="22" t="n">
        <f aca="false">E174-F174-G174-H174-I174-J174-K174</f>
        <v>2245.69280064098</v>
      </c>
      <c r="M174" s="22" t="n">
        <f aca="false">($A174=Premissas!$C$18)*Premissas!$C$26*Premissas!$C$60</f>
        <v>0</v>
      </c>
      <c r="N174" s="22" t="n">
        <f aca="false">IF(AND($A174&gt;=Premissas!$C$18,$A174&lt;Premissas!$C$20),Premissas!$C$27/MAX(1,Premissas!$C$19),0)</f>
        <v>0</v>
      </c>
      <c r="O174" s="22" t="n">
        <f aca="false">IF($A174&gt;=Premissas!$C$18,Premissas!$C$60*(1+Premissas!$C$59)^((YEAR($A174)-YEAR(Premissas!$C$18))*12+MONTH($A174)-MONTH(Premissas!$C$18)),"")</f>
        <v>684335.446593389</v>
      </c>
      <c r="P174" s="31" t="n">
        <f aca="false">(1+IF(YEAR($A174)&lt;=2026,Premissas!$C$49,IF(YEAR($A174)=2027,Premissas!$C$50,IF(YEAR($A174)=2028,Premissas!$C$51,Premissas!$C$52)))*(1-Premissas!$C$53))^(1/12)-1</f>
        <v>0.00682149336596227</v>
      </c>
      <c r="Q174" s="22" t="n">
        <f aca="false">($A174=Premissas!$C$16)*Premissas!$C$13</f>
        <v>0</v>
      </c>
      <c r="R174" s="22" t="n">
        <f aca="false">L174-M174-N174-Q174</f>
        <v>2245.69280064098</v>
      </c>
      <c r="S174" s="22" t="n">
        <f aca="false">S173+R174</f>
        <v>-81261.9725435972</v>
      </c>
      <c r="T174" s="22" t="n">
        <f aca="false">IF($A174&gt;=Premissas!$C$18,O174*(1-Premissas!$C$45)-Premissas!$C$46*MAX(0,O174*(1-Premissas!$C$45)-(SUM($Q$5:$Q$355)+Premissas!$C$26*Premissas!$C$60)),"")</f>
        <v>586754.030174864</v>
      </c>
      <c r="U174" s="22" t="n">
        <f aca="false">IF($A174&gt;=Premissas!$C$18,S174+T174,"")</f>
        <v>505492.057631267</v>
      </c>
      <c r="V174" s="22" t="n">
        <f aca="false">V173*(1+$P174)-R174</f>
        <v>606719.122360125</v>
      </c>
      <c r="W174" s="22" t="n">
        <f aca="false">($A174=Premissas!$C$16)*Premissas!$C$9</f>
        <v>0</v>
      </c>
      <c r="X174" s="22" t="n">
        <f aca="false">L174-M174-N174-W174</f>
        <v>2245.69280064098</v>
      </c>
      <c r="Y174" s="22" t="n">
        <f aca="false">Y173+X174</f>
        <v>-112189.972543597</v>
      </c>
      <c r="Z174" s="22" t="n">
        <f aca="false">IF($A174&gt;=Premissas!$C$18,O174*(1-Premissas!$C$45)-Premissas!$C$46*MAX(0,O174*(1-Premissas!$C$45)-(SUM($W$5:$W$355)+Premissas!$C$26*Premissas!$C$60)),"")</f>
        <v>591393.230174864</v>
      </c>
      <c r="AA174" s="22" t="n">
        <f aca="false">IF($A174&gt;=Premissas!$C$18,Y174+Z174,"")</f>
        <v>479203.257631267</v>
      </c>
      <c r="AB174" s="22" t="n">
        <f aca="false">AB173*(1+$P174)-X174</f>
        <v>707497.331270499</v>
      </c>
      <c r="AC174" s="22" t="n">
        <f aca="false">AND($A174&gt;=Premissas!$C$16,$A174&lt;EDATE(Premissas!$C$16,3))*Premissas!$C$10/3*(1+Premissas!$C$56)^$C174</f>
        <v>0</v>
      </c>
      <c r="AD174" s="22" t="n">
        <f aca="false">L174-M174-N174-AC174</f>
        <v>2245.69280064098</v>
      </c>
      <c r="AE174" s="22" t="n">
        <f aca="false">AE173+AD174</f>
        <v>-119810.436423622</v>
      </c>
      <c r="AF174" s="22" t="n">
        <f aca="false">IF($A174&gt;=Premissas!$C$18,O174*(1-Premissas!$C$45)-Premissas!$C$46*MAX(0,O174*(1-Premissas!$C$45)-(SUM($AC$5:$AC$355)+Premissas!$C$26*Premissas!$C$60)),"")</f>
        <v>592536.299756868</v>
      </c>
      <c r="AG174" s="22" t="n">
        <f aca="false">IF($A174&gt;=Premissas!$C$18,AE174+AF174,"")</f>
        <v>472725.863333246</v>
      </c>
      <c r="AH174" s="22" t="n">
        <f aca="false">AH173*(1+$P174)-AD174</f>
        <v>723561.300019028</v>
      </c>
      <c r="AI174" s="22" t="n">
        <f aca="false">($A174=Premissas!$C$16)*0.2*Premissas!$C$11+AND($A174&gt;Premissas!$C$16,$A174&lt;=EDATE(Premissas!$C$16,43))*0.8*Premissas!$C$11/43*(1+Premissas!$C$56)^$C174</f>
        <v>0</v>
      </c>
      <c r="AJ174" s="22" t="n">
        <f aca="false">L174-M174-N174-AI174</f>
        <v>2245.69280064098</v>
      </c>
      <c r="AK174" s="22" t="n">
        <f aca="false">AK173+AJ174</f>
        <v>-165674.921841684</v>
      </c>
      <c r="AL174" s="22" t="n">
        <f aca="false">IF($A174&gt;=Premissas!$C$18,O174*(1-Premissas!$C$45)-Premissas!$C$46*MAX(0,O174*(1-Premissas!$C$45)-(SUM($AI$5:$AI$355)+Premissas!$C$26*Premissas!$C$60)),"")</f>
        <v>599415.972569577</v>
      </c>
      <c r="AM174" s="22" t="n">
        <f aca="false">IF($A174&gt;=Premissas!$C$18,AK174+AL174,"")</f>
        <v>433741.050727893</v>
      </c>
      <c r="AN174" s="22" t="n">
        <f aca="false">AN173*(1+$P174)-AJ174</f>
        <v>738549.902547073</v>
      </c>
      <c r="AO174" s="22" t="n">
        <f aca="false">V174+S174</f>
        <v>525457.149816528</v>
      </c>
    </row>
    <row r="175" customFormat="false" ht="15" hidden="false" customHeight="false" outlineLevel="0" collapsed="false">
      <c r="A175" s="26" t="n">
        <f aca="false">DATE(YEAR(A174),MONTH(A174)+1,1)</f>
        <v>51471</v>
      </c>
      <c r="B175" s="22" t="str">
        <f aca="false">IF($A175&lt;Premissas!$C$18,"Obra",IF($A175&lt;Premissas!$C$20,"Entrega/mobília","Airbnb"))</f>
        <v>Airbnb</v>
      </c>
      <c r="C175" s="36" t="n">
        <f aca="false">(YEAR($A175)-YEAR(Premissas!$C$16))*12+MONTH($A175)-MONTH(Premissas!$C$16)</f>
        <v>170</v>
      </c>
      <c r="D175" s="33" t="n">
        <f aca="false">IF($A175&gt;=Premissas!$C$20,Premissas!$C$31*IF(((YEAR($A175)-YEAR(Premissas!$C$20))*12+MONTH($A175)-MONTH(Premissas!$C$20))&lt;Premissas!$C$33,Premissas!$C$34,1),0)</f>
        <v>0.62</v>
      </c>
      <c r="E175" s="22" t="n">
        <f aca="false">D175*Premissas!$C$30*Premissas!$C$32*(1+Premissas!$C$58)^$C175</f>
        <v>8105.10402091119</v>
      </c>
      <c r="F175" s="22" t="n">
        <f aca="false">E175*Premissas!$C$35</f>
        <v>1296.81664334579</v>
      </c>
      <c r="G175" s="22" t="n">
        <f aca="false">E175*Premissas!$C$36</f>
        <v>1621.02080418224</v>
      </c>
      <c r="H175" s="22" t="n">
        <f aca="false">IF($A175&gt;=Premissas!$C$18,Premissas!$C$37*(1+Premissas!$C$58)^$C175,0)</f>
        <v>1045.81987366596</v>
      </c>
      <c r="I175" s="22" t="n">
        <f aca="false">IF($A175&gt;=Premissas!$C$20,Premissas!$C$38*(1+Premissas!$C$58)^$C175,0)</f>
        <v>488.049274377448</v>
      </c>
      <c r="J175" s="22" t="n">
        <f aca="false">IF($A175&gt;=Premissas!$C$20,Premissas!$C$39*(1+Premissas!$C$58)^$C175,0)</f>
        <v>261.45496841649</v>
      </c>
      <c r="K175" s="22" t="n">
        <f aca="false">IF($A175&gt;=Premissas!$C$20,MAX(0,E175-F175-G175-H175)*Premissas!$C$41,0)</f>
        <v>1138.89784242223</v>
      </c>
      <c r="L175" s="22" t="n">
        <f aca="false">E175-F175-G175-H175-I175-J175-K175</f>
        <v>2253.04461450103</v>
      </c>
      <c r="M175" s="22" t="n">
        <f aca="false">($A175=Premissas!$C$18)*Premissas!$C$26*Premissas!$C$60</f>
        <v>0</v>
      </c>
      <c r="N175" s="22" t="n">
        <f aca="false">IF(AND($A175&gt;=Premissas!$C$18,$A175&lt;Premissas!$C$20),Premissas!$C$27/MAX(1,Premissas!$C$19),0)</f>
        <v>0</v>
      </c>
      <c r="O175" s="22" t="n">
        <f aca="false">IF($A175&gt;=Premissas!$C$18,Premissas!$C$60*(1+Premissas!$C$59)^((YEAR($A175)-YEAR(Premissas!$C$18))*12+MONTH($A175)-MONTH(Premissas!$C$18)),"")</f>
        <v>687123.513912349</v>
      </c>
      <c r="P175" s="31" t="n">
        <f aca="false">(1+IF(YEAR($A175)&lt;=2026,Premissas!$C$49,IF(YEAR($A175)=2027,Premissas!$C$50,IF(YEAR($A175)=2028,Premissas!$C$51,Premissas!$C$52)))*(1-Premissas!$C$53))^(1/12)-1</f>
        <v>0.00682149336596227</v>
      </c>
      <c r="Q175" s="22" t="n">
        <f aca="false">($A175=Premissas!$C$16)*Premissas!$C$13</f>
        <v>0</v>
      </c>
      <c r="R175" s="22" t="n">
        <f aca="false">L175-M175-N175-Q175</f>
        <v>2253.04461450103</v>
      </c>
      <c r="S175" s="22" t="n">
        <f aca="false">S174+R175</f>
        <v>-79008.9279290962</v>
      </c>
      <c r="T175" s="22" t="n">
        <f aca="false">IF($A175&gt;=Premissas!$C$18,O175*(1-Premissas!$C$45)-Premissas!$C$46*MAX(0,O175*(1-Premissas!$C$45)-(SUM($Q$5:$Q$355)+Premissas!$C$26*Premissas!$C$60)),"")</f>
        <v>588981.695962713</v>
      </c>
      <c r="U175" s="22" t="n">
        <f aca="false">IF($A175&gt;=Premissas!$C$18,S175+T175,"")</f>
        <v>509972.768033617</v>
      </c>
      <c r="V175" s="22" t="n">
        <f aca="false">V174*(1+$P175)-R175</f>
        <v>608604.808213806</v>
      </c>
      <c r="W175" s="22" t="n">
        <f aca="false">($A175=Premissas!$C$16)*Premissas!$C$9</f>
        <v>0</v>
      </c>
      <c r="X175" s="22" t="n">
        <f aca="false">L175-M175-N175-W175</f>
        <v>2253.04461450103</v>
      </c>
      <c r="Y175" s="22" t="n">
        <f aca="false">Y174+X175</f>
        <v>-109936.927929096</v>
      </c>
      <c r="Z175" s="22" t="n">
        <f aca="false">IF($A175&gt;=Premissas!$C$18,O175*(1-Premissas!$C$45)-Premissas!$C$46*MAX(0,O175*(1-Premissas!$C$45)-(SUM($W$5:$W$355)+Premissas!$C$26*Premissas!$C$60)),"")</f>
        <v>593620.895962713</v>
      </c>
      <c r="AA175" s="22" t="n">
        <f aca="false">IF($A175&gt;=Premissas!$C$18,Y175+Z175,"")</f>
        <v>483683.968033617</v>
      </c>
      <c r="AB175" s="22" t="n">
        <f aca="false">AB174*(1+$P175)-X175</f>
        <v>710070.475007696</v>
      </c>
      <c r="AC175" s="22" t="n">
        <f aca="false">AND($A175&gt;=Premissas!$C$16,$A175&lt;EDATE(Premissas!$C$16,3))*Premissas!$C$10/3*(1+Premissas!$C$56)^$C175</f>
        <v>0</v>
      </c>
      <c r="AD175" s="22" t="n">
        <f aca="false">L175-M175-N175-AC175</f>
        <v>2253.04461450103</v>
      </c>
      <c r="AE175" s="22" t="n">
        <f aca="false">AE174+AD175</f>
        <v>-117557.391809121</v>
      </c>
      <c r="AF175" s="22" t="n">
        <f aca="false">IF($A175&gt;=Premissas!$C$18,O175*(1-Premissas!$C$45)-Premissas!$C$46*MAX(0,O175*(1-Premissas!$C$45)-(SUM($AC$5:$AC$355)+Premissas!$C$26*Premissas!$C$60)),"")</f>
        <v>594763.965544717</v>
      </c>
      <c r="AG175" s="22" t="n">
        <f aca="false">IF($A175&gt;=Premissas!$C$18,AE175+AF175,"")</f>
        <v>477206.573735596</v>
      </c>
      <c r="AH175" s="22" t="n">
        <f aca="false">AH174*(1+$P175)-AD175</f>
        <v>726244.024012473</v>
      </c>
      <c r="AI175" s="22" t="n">
        <f aca="false">($A175=Premissas!$C$16)*0.2*Premissas!$C$11+AND($A175&gt;Premissas!$C$16,$A175&lt;=EDATE(Premissas!$C$16,43))*0.8*Premissas!$C$11/43*(1+Premissas!$C$56)^$C175</f>
        <v>0</v>
      </c>
      <c r="AJ175" s="22" t="n">
        <f aca="false">L175-M175-N175-AI175</f>
        <v>2253.04461450103</v>
      </c>
      <c r="AK175" s="22" t="n">
        <f aca="false">AK174+AJ175</f>
        <v>-163421.877227183</v>
      </c>
      <c r="AL175" s="22" t="n">
        <f aca="false">IF($A175&gt;=Premissas!$C$18,O175*(1-Premissas!$C$45)-Premissas!$C$46*MAX(0,O175*(1-Premissas!$C$45)-(SUM($AI$5:$AI$355)+Premissas!$C$26*Premissas!$C$60)),"")</f>
        <v>601643.638357426</v>
      </c>
      <c r="AM175" s="22" t="n">
        <f aca="false">IF($A175&gt;=Premissas!$C$18,AK175+AL175,"")</f>
        <v>438221.761130243</v>
      </c>
      <c r="AN175" s="22" t="n">
        <f aca="false">AN174*(1+$P175)-AJ175</f>
        <v>741334.871193229</v>
      </c>
      <c r="AO175" s="22" t="n">
        <f aca="false">V175+S175</f>
        <v>529595.88028471</v>
      </c>
    </row>
    <row r="176" customFormat="false" ht="15" hidden="false" customHeight="false" outlineLevel="0" collapsed="false">
      <c r="A176" s="26" t="n">
        <f aca="false">DATE(YEAR(A175),MONTH(A175)+1,1)</f>
        <v>51502</v>
      </c>
      <c r="B176" s="22" t="str">
        <f aca="false">IF($A176&lt;Premissas!$C$18,"Obra",IF($A176&lt;Premissas!$C$20,"Entrega/mobília","Airbnb"))</f>
        <v>Airbnb</v>
      </c>
      <c r="C176" s="36" t="n">
        <f aca="false">(YEAR($A176)-YEAR(Premissas!$C$16))*12+MONTH($A176)-MONTH(Premissas!$C$16)</f>
        <v>171</v>
      </c>
      <c r="D176" s="33" t="n">
        <f aca="false">IF($A176&gt;=Premissas!$C$20,Premissas!$C$31*IF(((YEAR($A176)-YEAR(Premissas!$C$20))*12+MONTH($A176)-MONTH(Premissas!$C$20))&lt;Premissas!$C$33,Premissas!$C$34,1),0)</f>
        <v>0.62</v>
      </c>
      <c r="E176" s="22" t="n">
        <f aca="false">D176*Premissas!$C$30*Premissas!$C$32*(1+Premissas!$C$58)^$C176</f>
        <v>8131.6380223833</v>
      </c>
      <c r="F176" s="22" t="n">
        <f aca="false">E176*Premissas!$C$35</f>
        <v>1301.06208358133</v>
      </c>
      <c r="G176" s="22" t="n">
        <f aca="false">E176*Premissas!$C$36</f>
        <v>1626.32760447666</v>
      </c>
      <c r="H176" s="22" t="n">
        <f aca="false">IF($A176&gt;=Premissas!$C$18,Premissas!$C$37*(1+Premissas!$C$58)^$C176,0)</f>
        <v>1049.24361579139</v>
      </c>
      <c r="I176" s="22" t="n">
        <f aca="false">IF($A176&gt;=Premissas!$C$20,Premissas!$C$38*(1+Premissas!$C$58)^$C176,0)</f>
        <v>489.647020702651</v>
      </c>
      <c r="J176" s="22" t="n">
        <f aca="false">IF($A176&gt;=Premissas!$C$20,Premissas!$C$39*(1+Premissas!$C$58)^$C176,0)</f>
        <v>262.310903947849</v>
      </c>
      <c r="K176" s="22" t="n">
        <f aca="false">IF($A176&gt;=Premissas!$C$20,MAX(0,E176-F176-G176-H176)*Premissas!$C$41,0)</f>
        <v>1142.62629759683</v>
      </c>
      <c r="L176" s="22" t="n">
        <f aca="false">E176-F176-G176-H176-I176-J176-K176</f>
        <v>2260.42049628659</v>
      </c>
      <c r="M176" s="22" t="n">
        <f aca="false">($A176=Premissas!$C$18)*Premissas!$C$26*Premissas!$C$60</f>
        <v>0</v>
      </c>
      <c r="N176" s="22" t="n">
        <f aca="false">IF(AND($A176&gt;=Premissas!$C$18,$A176&lt;Premissas!$C$20),Premissas!$C$27/MAX(1,Premissas!$C$19),0)</f>
        <v>0</v>
      </c>
      <c r="O176" s="22" t="n">
        <f aca="false">IF($A176&gt;=Premissas!$C$18,Premissas!$C$60*(1+Premissas!$C$59)^((YEAR($A176)-YEAR(Premissas!$C$18))*12+MONTH($A176)-MONTH(Premissas!$C$18)),"")</f>
        <v>689922.940162683</v>
      </c>
      <c r="P176" s="31" t="n">
        <f aca="false">(1+IF(YEAR($A176)&lt;=2026,Premissas!$C$49,IF(YEAR($A176)=2027,Premissas!$C$50,IF(YEAR($A176)=2028,Premissas!$C$51,Premissas!$C$52)))*(1-Premissas!$C$53))^(1/12)-1</f>
        <v>0.00682149336596227</v>
      </c>
      <c r="Q176" s="22" t="n">
        <f aca="false">($A176=Premissas!$C$16)*Premissas!$C$13</f>
        <v>0</v>
      </c>
      <c r="R176" s="22" t="n">
        <f aca="false">L176-M176-N176-Q176</f>
        <v>2260.42049628659</v>
      </c>
      <c r="S176" s="22" t="n">
        <f aca="false">S175+R176</f>
        <v>-76748.5074328096</v>
      </c>
      <c r="T176" s="22" t="n">
        <f aca="false">IF($A176&gt;=Premissas!$C$18,O176*(1-Premissas!$C$45)-Premissas!$C$46*MAX(0,O176*(1-Premissas!$C$45)-(SUM($Q$5:$Q$355)+Premissas!$C$26*Premissas!$C$60)),"")</f>
        <v>591218.43753673</v>
      </c>
      <c r="U176" s="22" t="n">
        <f aca="false">IF($A176&gt;=Premissas!$C$18,S176+T176,"")</f>
        <v>514469.930103921</v>
      </c>
      <c r="V176" s="22" t="n">
        <f aca="false">V175*(1+$P176)-R176</f>
        <v>610495.981379243</v>
      </c>
      <c r="W176" s="22" t="n">
        <f aca="false">($A176=Premissas!$C$16)*Premissas!$C$9</f>
        <v>0</v>
      </c>
      <c r="X176" s="22" t="n">
        <f aca="false">L176-M176-N176-W176</f>
        <v>2260.42049628659</v>
      </c>
      <c r="Y176" s="22" t="n">
        <f aca="false">Y175+X176</f>
        <v>-107676.507432809</v>
      </c>
      <c r="Z176" s="22" t="n">
        <f aca="false">IF($A176&gt;=Premissas!$C$18,O176*(1-Premissas!$C$45)-Premissas!$C$46*MAX(0,O176*(1-Premissas!$C$45)-(SUM($W$5:$W$355)+Premissas!$C$26*Premissas!$C$60)),"")</f>
        <v>595857.63753673</v>
      </c>
      <c r="AA176" s="22" t="n">
        <f aca="false">IF($A176&gt;=Premissas!$C$18,Y176+Z176,"")</f>
        <v>488181.130103921</v>
      </c>
      <c r="AB176" s="22" t="n">
        <f aca="false">AB175*(1+$P176)-X176</f>
        <v>712653.79554604</v>
      </c>
      <c r="AC176" s="22" t="n">
        <f aca="false">AND($A176&gt;=Premissas!$C$16,$A176&lt;EDATE(Premissas!$C$16,3))*Premissas!$C$10/3*(1+Premissas!$C$56)^$C176</f>
        <v>0</v>
      </c>
      <c r="AD176" s="22" t="n">
        <f aca="false">L176-M176-N176-AC176</f>
        <v>2260.42049628659</v>
      </c>
      <c r="AE176" s="22" t="n">
        <f aca="false">AE175+AD176</f>
        <v>-115296.971312834</v>
      </c>
      <c r="AF176" s="22" t="n">
        <f aca="false">IF($A176&gt;=Premissas!$C$18,O176*(1-Premissas!$C$45)-Premissas!$C$46*MAX(0,O176*(1-Premissas!$C$45)-(SUM($AC$5:$AC$355)+Premissas!$C$26*Premissas!$C$60)),"")</f>
        <v>597000.707118734</v>
      </c>
      <c r="AG176" s="22" t="n">
        <f aca="false">IF($A176&gt;=Premissas!$C$18,AE176+AF176,"")</f>
        <v>481703.7358059</v>
      </c>
      <c r="AH176" s="22" t="n">
        <f aca="false">AH175*(1+$P176)-AD176</f>
        <v>728937.672308058</v>
      </c>
      <c r="AI176" s="22" t="n">
        <f aca="false">($A176=Premissas!$C$16)*0.2*Premissas!$C$11+AND($A176&gt;Premissas!$C$16,$A176&lt;=EDATE(Premissas!$C$16,43))*0.8*Premissas!$C$11/43*(1+Premissas!$C$56)^$C176</f>
        <v>0</v>
      </c>
      <c r="AJ176" s="22" t="n">
        <f aca="false">L176-M176-N176-AI176</f>
        <v>2260.42049628659</v>
      </c>
      <c r="AK176" s="22" t="n">
        <f aca="false">AK175+AJ176</f>
        <v>-161161.456730896</v>
      </c>
      <c r="AL176" s="22" t="n">
        <f aca="false">IF($A176&gt;=Premissas!$C$18,O176*(1-Premissas!$C$45)-Premissas!$C$46*MAX(0,O176*(1-Premissas!$C$45)-(SUM($AI$5:$AI$355)+Premissas!$C$26*Premissas!$C$60)),"")</f>
        <v>603880.379931443</v>
      </c>
      <c r="AM176" s="22" t="n">
        <f aca="false">IF($A176&gt;=Premissas!$C$18,AK176+AL176,"")</f>
        <v>442718.923200547</v>
      </c>
      <c r="AN176" s="22" t="n">
        <f aca="false">AN175*(1+$P176)-AJ176</f>
        <v>744131.461602743</v>
      </c>
      <c r="AO176" s="22" t="n">
        <f aca="false">V176+S176</f>
        <v>533747.473946433</v>
      </c>
    </row>
    <row r="177" customFormat="false" ht="15" hidden="false" customHeight="false" outlineLevel="0" collapsed="false">
      <c r="A177" s="26" t="n">
        <f aca="false">DATE(YEAR(A176),MONTH(A176)+1,1)</f>
        <v>51533</v>
      </c>
      <c r="B177" s="22" t="str">
        <f aca="false">IF($A177&lt;Premissas!$C$18,"Obra",IF($A177&lt;Premissas!$C$20,"Entrega/mobília","Airbnb"))</f>
        <v>Airbnb</v>
      </c>
      <c r="C177" s="36" t="n">
        <f aca="false">(YEAR($A177)-YEAR(Premissas!$C$16))*12+MONTH($A177)-MONTH(Premissas!$C$16)</f>
        <v>172</v>
      </c>
      <c r="D177" s="33" t="n">
        <f aca="false">IF($A177&gt;=Premissas!$C$20,Premissas!$C$31*IF(((YEAR($A177)-YEAR(Premissas!$C$20))*12+MONTH($A177)-MONTH(Premissas!$C$20))&lt;Premissas!$C$33,Premissas!$C$34,1),0)</f>
        <v>0.62</v>
      </c>
      <c r="E177" s="22" t="n">
        <f aca="false">D177*Premissas!$C$30*Premissas!$C$32*(1+Premissas!$C$58)^$C177</f>
        <v>8158.25888927162</v>
      </c>
      <c r="F177" s="22" t="n">
        <f aca="false">E177*Premissas!$C$35</f>
        <v>1305.32142228346</v>
      </c>
      <c r="G177" s="22" t="n">
        <f aca="false">E177*Premissas!$C$36</f>
        <v>1631.65177785432</v>
      </c>
      <c r="H177" s="22" t="n">
        <f aca="false">IF($A177&gt;=Premissas!$C$18,Premissas!$C$37*(1+Premissas!$C$58)^$C177,0)</f>
        <v>1052.67856635763</v>
      </c>
      <c r="I177" s="22" t="n">
        <f aca="false">IF($A177&gt;=Premissas!$C$20,Premissas!$C$38*(1+Premissas!$C$58)^$C177,0)</f>
        <v>491.24999763356</v>
      </c>
      <c r="J177" s="22" t="n">
        <f aca="false">IF($A177&gt;=Premissas!$C$20,Premissas!$C$39*(1+Premissas!$C$58)^$C177,0)</f>
        <v>263.169641589407</v>
      </c>
      <c r="K177" s="22" t="n">
        <f aca="false">IF($A177&gt;=Premissas!$C$20,MAX(0,E177-F177-G177-H177)*Premissas!$C$41,0)</f>
        <v>1146.36695876346</v>
      </c>
      <c r="L177" s="22" t="n">
        <f aca="false">E177-F177-G177-H177-I177-J177-K177</f>
        <v>2267.82052478978</v>
      </c>
      <c r="M177" s="22" t="n">
        <f aca="false">($A177=Premissas!$C$18)*Premissas!$C$26*Premissas!$C$60</f>
        <v>0</v>
      </c>
      <c r="N177" s="22" t="n">
        <f aca="false">IF(AND($A177&gt;=Premissas!$C$18,$A177&lt;Premissas!$C$20),Premissas!$C$27/MAX(1,Premissas!$C$19),0)</f>
        <v>0</v>
      </c>
      <c r="O177" s="22" t="n">
        <f aca="false">IF($A177&gt;=Premissas!$C$18,Premissas!$C$60*(1+Premissas!$C$59)^((YEAR($A177)-YEAR(Premissas!$C$18))*12+MONTH($A177)-MONTH(Premissas!$C$18)),"")</f>
        <v>692733.771622085</v>
      </c>
      <c r="P177" s="31" t="n">
        <f aca="false">(1+IF(YEAR($A177)&lt;=2026,Premissas!$C$49,IF(YEAR($A177)=2027,Premissas!$C$50,IF(YEAR($A177)=2028,Premissas!$C$51,Premissas!$C$52)))*(1-Premissas!$C$53))^(1/12)-1</f>
        <v>0.00682149336596227</v>
      </c>
      <c r="Q177" s="22" t="n">
        <f aca="false">($A177=Premissas!$C$16)*Premissas!$C$13</f>
        <v>0</v>
      </c>
      <c r="R177" s="22" t="n">
        <f aca="false">L177-M177-N177-Q177</f>
        <v>2267.82052478978</v>
      </c>
      <c r="S177" s="22" t="n">
        <f aca="false">S176+R177</f>
        <v>-74480.6869080198</v>
      </c>
      <c r="T177" s="22" t="n">
        <f aca="false">IF($A177&gt;=Premissas!$C$18,O177*(1-Premissas!$C$45)-Premissas!$C$46*MAX(0,O177*(1-Premissas!$C$45)-(SUM($Q$5:$Q$355)+Premissas!$C$26*Premissas!$C$60)),"")</f>
        <v>593464.291872792</v>
      </c>
      <c r="U177" s="22" t="n">
        <f aca="false">IF($A177&gt;=Premissas!$C$18,S177+T177,"")</f>
        <v>518983.604964772</v>
      </c>
      <c r="V177" s="22" t="n">
        <f aca="false">V176*(1+$P177)-R177</f>
        <v>612392.655141378</v>
      </c>
      <c r="W177" s="22" t="n">
        <f aca="false">($A177=Premissas!$C$16)*Premissas!$C$9</f>
        <v>0</v>
      </c>
      <c r="X177" s="22" t="n">
        <f aca="false">L177-M177-N177-W177</f>
        <v>2267.82052478978</v>
      </c>
      <c r="Y177" s="22" t="n">
        <f aca="false">Y176+X177</f>
        <v>-105408.68690802</v>
      </c>
      <c r="Z177" s="22" t="n">
        <f aca="false">IF($A177&gt;=Premissas!$C$18,O177*(1-Premissas!$C$45)-Premissas!$C$46*MAX(0,O177*(1-Premissas!$C$45)-(SUM($W$5:$W$355)+Premissas!$C$26*Premissas!$C$60)),"")</f>
        <v>598103.491872792</v>
      </c>
      <c r="AA177" s="22" t="n">
        <f aca="false">IF($A177&gt;=Premissas!$C$18,Y177+Z177,"")</f>
        <v>492694.804964772</v>
      </c>
      <c r="AB177" s="22" t="n">
        <f aca="false">AB176*(1+$P177)-X177</f>
        <v>715247.338159796</v>
      </c>
      <c r="AC177" s="22" t="n">
        <f aca="false">AND($A177&gt;=Premissas!$C$16,$A177&lt;EDATE(Premissas!$C$16,3))*Premissas!$C$10/3*(1+Premissas!$C$56)^$C177</f>
        <v>0</v>
      </c>
      <c r="AD177" s="22" t="n">
        <f aca="false">L177-M177-N177-AC177</f>
        <v>2267.82052478978</v>
      </c>
      <c r="AE177" s="22" t="n">
        <f aca="false">AE176+AD177</f>
        <v>-113029.150788044</v>
      </c>
      <c r="AF177" s="22" t="n">
        <f aca="false">IF($A177&gt;=Premissas!$C$18,O177*(1-Premissas!$C$45)-Premissas!$C$46*MAX(0,O177*(1-Premissas!$C$45)-(SUM($AC$5:$AC$355)+Premissas!$C$26*Premissas!$C$60)),"")</f>
        <v>599246.561454796</v>
      </c>
      <c r="AG177" s="22" t="n">
        <f aca="false">IF($A177&gt;=Premissas!$C$18,AE177+AF177,"")</f>
        <v>486217.410666751</v>
      </c>
      <c r="AH177" s="22" t="n">
        <f aca="false">AH176*(1+$P177)-AD177</f>
        <v>731642.295279117</v>
      </c>
      <c r="AI177" s="22" t="n">
        <f aca="false">($A177=Premissas!$C$16)*0.2*Premissas!$C$11+AND($A177&gt;Premissas!$C$16,$A177&lt;=EDATE(Premissas!$C$16,43))*0.8*Premissas!$C$11/43*(1+Premissas!$C$56)^$C177</f>
        <v>0</v>
      </c>
      <c r="AJ177" s="22" t="n">
        <f aca="false">L177-M177-N177-AI177</f>
        <v>2267.82052478978</v>
      </c>
      <c r="AK177" s="22" t="n">
        <f aca="false">AK176+AJ177</f>
        <v>-158893.636206106</v>
      </c>
      <c r="AL177" s="22" t="n">
        <f aca="false">IF($A177&gt;=Premissas!$C$18,O177*(1-Premissas!$C$45)-Premissas!$C$46*MAX(0,O177*(1-Premissas!$C$45)-(SUM($AI$5:$AI$355)+Premissas!$C$26*Premissas!$C$60)),"")</f>
        <v>606126.234267505</v>
      </c>
      <c r="AM177" s="22" t="n">
        <f aca="false">IF($A177&gt;=Premissas!$C$18,AK177+AL177,"")</f>
        <v>447232.598061399</v>
      </c>
      <c r="AN177" s="22" t="n">
        <f aca="false">AN176*(1+$P177)-AJ177</f>
        <v>746939.728906681</v>
      </c>
      <c r="AO177" s="22" t="n">
        <f aca="false">V177+S177</f>
        <v>537911.968233359</v>
      </c>
    </row>
    <row r="178" customFormat="false" ht="15" hidden="false" customHeight="false" outlineLevel="0" collapsed="false">
      <c r="A178" s="26" t="n">
        <f aca="false">DATE(YEAR(A177),MONTH(A177)+1,1)</f>
        <v>51561</v>
      </c>
      <c r="B178" s="22" t="str">
        <f aca="false">IF($A178&lt;Premissas!$C$18,"Obra",IF($A178&lt;Premissas!$C$20,"Entrega/mobília","Airbnb"))</f>
        <v>Airbnb</v>
      </c>
      <c r="C178" s="36" t="n">
        <f aca="false">(YEAR($A178)-YEAR(Premissas!$C$16))*12+MONTH($A178)-MONTH(Premissas!$C$16)</f>
        <v>173</v>
      </c>
      <c r="D178" s="33" t="n">
        <f aca="false">IF($A178&gt;=Premissas!$C$20,Premissas!$C$31*IF(((YEAR($A178)-YEAR(Premissas!$C$20))*12+MONTH($A178)-MONTH(Premissas!$C$20))&lt;Premissas!$C$33,Premissas!$C$34,1),0)</f>
        <v>0.62</v>
      </c>
      <c r="E178" s="22" t="n">
        <f aca="false">D178*Premissas!$C$30*Premissas!$C$32*(1+Premissas!$C$58)^$C178</f>
        <v>8184.96690595091</v>
      </c>
      <c r="F178" s="22" t="n">
        <f aca="false">E178*Premissas!$C$35</f>
        <v>1309.59470495215</v>
      </c>
      <c r="G178" s="22" t="n">
        <f aca="false">E178*Premissas!$C$36</f>
        <v>1636.99338119018</v>
      </c>
      <c r="H178" s="22" t="n">
        <f aca="false">IF($A178&gt;=Premissas!$C$18,Premissas!$C$37*(1+Premissas!$C$58)^$C178,0)</f>
        <v>1056.12476205818</v>
      </c>
      <c r="I178" s="22" t="n">
        <f aca="false">IF($A178&gt;=Premissas!$C$20,Premissas!$C$38*(1+Premissas!$C$58)^$C178,0)</f>
        <v>492.858222293818</v>
      </c>
      <c r="J178" s="22" t="n">
        <f aca="false">IF($A178&gt;=Premissas!$C$20,Premissas!$C$39*(1+Premissas!$C$58)^$C178,0)</f>
        <v>264.031190514545</v>
      </c>
      <c r="K178" s="22" t="n">
        <f aca="false">IF($A178&gt;=Premissas!$C$20,MAX(0,E178-F178-G178-H178)*Premissas!$C$41,0)</f>
        <v>1150.11986588136</v>
      </c>
      <c r="L178" s="22" t="n">
        <f aca="false">E178-F178-G178-H178-I178-J178-K178</f>
        <v>2275.24477906068</v>
      </c>
      <c r="M178" s="22" t="n">
        <f aca="false">($A178=Premissas!$C$18)*Premissas!$C$26*Premissas!$C$60</f>
        <v>0</v>
      </c>
      <c r="N178" s="22" t="n">
        <f aca="false">IF(AND($A178&gt;=Premissas!$C$18,$A178&lt;Premissas!$C$20),Premissas!$C$27/MAX(1,Premissas!$C$19),0)</f>
        <v>0</v>
      </c>
      <c r="O178" s="22" t="n">
        <f aca="false">IF($A178&gt;=Premissas!$C$18,Premissas!$C$60*(1+Premissas!$C$59)^((YEAR($A178)-YEAR(Premissas!$C$18))*12+MONTH($A178)-MONTH(Premissas!$C$18)),"")</f>
        <v>695556.054756787</v>
      </c>
      <c r="P178" s="31" t="n">
        <f aca="false">(1+IF(YEAR($A178)&lt;=2026,Premissas!$C$49,IF(YEAR($A178)=2027,Premissas!$C$50,IF(YEAR($A178)=2028,Premissas!$C$51,Premissas!$C$52)))*(1-Premissas!$C$53))^(1/12)-1</f>
        <v>0.00682149336596227</v>
      </c>
      <c r="Q178" s="22" t="n">
        <f aca="false">($A178=Premissas!$C$16)*Premissas!$C$13</f>
        <v>0</v>
      </c>
      <c r="R178" s="22" t="n">
        <f aca="false">L178-M178-N178-Q178</f>
        <v>2275.24477906068</v>
      </c>
      <c r="S178" s="22" t="n">
        <f aca="false">S177+R178</f>
        <v>-72205.4421289591</v>
      </c>
      <c r="T178" s="22" t="n">
        <f aca="false">IF($A178&gt;=Premissas!$C$18,O178*(1-Premissas!$C$45)-Premissas!$C$46*MAX(0,O178*(1-Premissas!$C$45)-(SUM($Q$5:$Q$355)+Premissas!$C$26*Premissas!$C$60)),"")</f>
        <v>595719.296097419</v>
      </c>
      <c r="U178" s="22" t="n">
        <f aca="false">IF($A178&gt;=Premissas!$C$18,S178+T178,"")</f>
        <v>523513.85396846</v>
      </c>
      <c r="V178" s="22" t="n">
        <f aca="false">V177*(1+$P178)-R178</f>
        <v>614294.842796729</v>
      </c>
      <c r="W178" s="22" t="n">
        <f aca="false">($A178=Premissas!$C$16)*Premissas!$C$9</f>
        <v>0</v>
      </c>
      <c r="X178" s="22" t="n">
        <f aca="false">L178-M178-N178-W178</f>
        <v>2275.24477906068</v>
      </c>
      <c r="Y178" s="22" t="n">
        <f aca="false">Y177+X178</f>
        <v>-103133.442128959</v>
      </c>
      <c r="Z178" s="22" t="n">
        <f aca="false">IF($A178&gt;=Premissas!$C$18,O178*(1-Premissas!$C$45)-Premissas!$C$46*MAX(0,O178*(1-Premissas!$C$45)-(SUM($W$5:$W$355)+Premissas!$C$26*Premissas!$C$60)),"")</f>
        <v>600358.496097419</v>
      </c>
      <c r="AA178" s="22" t="n">
        <f aca="false">IF($A178&gt;=Premissas!$C$18,Y178+Z178,"")</f>
        <v>497225.05396846</v>
      </c>
      <c r="AB178" s="22" t="n">
        <f aca="false">AB177*(1+$P178)-X178</f>
        <v>717851.148353014</v>
      </c>
      <c r="AC178" s="22" t="n">
        <f aca="false">AND($A178&gt;=Premissas!$C$16,$A178&lt;EDATE(Premissas!$C$16,3))*Premissas!$C$10/3*(1+Premissas!$C$56)^$C178</f>
        <v>0</v>
      </c>
      <c r="AD178" s="22" t="n">
        <f aca="false">L178-M178-N178-AC178</f>
        <v>2275.24477906068</v>
      </c>
      <c r="AE178" s="22" t="n">
        <f aca="false">AE177+AD178</f>
        <v>-110753.906008984</v>
      </c>
      <c r="AF178" s="22" t="n">
        <f aca="false">IF($A178&gt;=Premissas!$C$18,O178*(1-Premissas!$C$45)-Premissas!$C$46*MAX(0,O178*(1-Premissas!$C$45)-(SUM($AC$5:$AC$355)+Premissas!$C$26*Premissas!$C$60)),"")</f>
        <v>601501.565679423</v>
      </c>
      <c r="AG178" s="22" t="n">
        <f aca="false">IF($A178&gt;=Premissas!$C$18,AE178+AF178,"")</f>
        <v>490747.659670439</v>
      </c>
      <c r="AH178" s="22" t="n">
        <f aca="false">AH177*(1+$P178)-AD178</f>
        <v>734357.943563561</v>
      </c>
      <c r="AI178" s="22" t="n">
        <f aca="false">($A178=Premissas!$C$16)*0.2*Premissas!$C$11+AND($A178&gt;Premissas!$C$16,$A178&lt;=EDATE(Premissas!$C$16,43))*0.8*Premissas!$C$11/43*(1+Premissas!$C$56)^$C178</f>
        <v>0</v>
      </c>
      <c r="AJ178" s="22" t="n">
        <f aca="false">L178-M178-N178-AI178</f>
        <v>2275.24477906068</v>
      </c>
      <c r="AK178" s="22" t="n">
        <f aca="false">AK177+AJ178</f>
        <v>-156618.391427046</v>
      </c>
      <c r="AL178" s="22" t="n">
        <f aca="false">IF($A178&gt;=Premissas!$C$18,O178*(1-Premissas!$C$45)-Premissas!$C$46*MAX(0,O178*(1-Premissas!$C$45)-(SUM($AI$5:$AI$355)+Premissas!$C$26*Premissas!$C$60)),"")</f>
        <v>608381.238492132</v>
      </c>
      <c r="AM178" s="22" t="n">
        <f aca="false">IF($A178&gt;=Premissas!$C$18,AK178+AL178,"")</f>
        <v>451762.847065086</v>
      </c>
      <c r="AN178" s="22" t="n">
        <f aca="false">AN177*(1+$P178)-AJ178</f>
        <v>749759.72853313</v>
      </c>
      <c r="AO178" s="22" t="n">
        <f aca="false">V178+S178</f>
        <v>542089.400667769</v>
      </c>
    </row>
    <row r="179" customFormat="false" ht="15" hidden="false" customHeight="false" outlineLevel="0" collapsed="false">
      <c r="A179" s="26" t="n">
        <f aca="false">DATE(YEAR(A178),MONTH(A178)+1,1)</f>
        <v>51592</v>
      </c>
      <c r="B179" s="22" t="str">
        <f aca="false">IF($A179&lt;Premissas!$C$18,"Obra",IF($A179&lt;Premissas!$C$20,"Entrega/mobília","Airbnb"))</f>
        <v>Airbnb</v>
      </c>
      <c r="C179" s="36" t="n">
        <f aca="false">(YEAR($A179)-YEAR(Premissas!$C$16))*12+MONTH($A179)-MONTH(Premissas!$C$16)</f>
        <v>174</v>
      </c>
      <c r="D179" s="33" t="n">
        <f aca="false">IF($A179&gt;=Premissas!$C$20,Premissas!$C$31*IF(((YEAR($A179)-YEAR(Premissas!$C$20))*12+MONTH($A179)-MONTH(Premissas!$C$20))&lt;Premissas!$C$33,Premissas!$C$34,1),0)</f>
        <v>0.62</v>
      </c>
      <c r="E179" s="22" t="n">
        <f aca="false">D179*Premissas!$C$30*Premissas!$C$32*(1+Premissas!$C$58)^$C179</f>
        <v>8211.7623577269</v>
      </c>
      <c r="F179" s="22" t="n">
        <f aca="false">E179*Premissas!$C$35</f>
        <v>1313.8819772363</v>
      </c>
      <c r="G179" s="22" t="n">
        <f aca="false">E179*Premissas!$C$36</f>
        <v>1642.35247154538</v>
      </c>
      <c r="H179" s="22" t="n">
        <f aca="false">IF($A179&gt;=Premissas!$C$18,Premissas!$C$37*(1+Premissas!$C$58)^$C179,0)</f>
        <v>1059.5822397067</v>
      </c>
      <c r="I179" s="22" t="n">
        <f aca="false">IF($A179&gt;=Premissas!$C$20,Premissas!$C$38*(1+Premissas!$C$58)^$C179,0)</f>
        <v>494.471711863125</v>
      </c>
      <c r="J179" s="22" t="n">
        <f aca="false">IF($A179&gt;=Premissas!$C$20,Premissas!$C$39*(1+Premissas!$C$58)^$C179,0)</f>
        <v>264.895559926674</v>
      </c>
      <c r="K179" s="22" t="n">
        <f aca="false">IF($A179&gt;=Premissas!$C$20,MAX(0,E179-F179-G179-H179)*Premissas!$C$41,0)</f>
        <v>1153.88505904059</v>
      </c>
      <c r="L179" s="22" t="n">
        <f aca="false">E179-F179-G179-H179-I179-J179-K179</f>
        <v>2282.69333840813</v>
      </c>
      <c r="M179" s="22" t="n">
        <f aca="false">($A179=Premissas!$C$18)*Premissas!$C$26*Premissas!$C$60</f>
        <v>0</v>
      </c>
      <c r="N179" s="22" t="n">
        <f aca="false">IF(AND($A179&gt;=Premissas!$C$18,$A179&lt;Premissas!$C$20),Premissas!$C$27/MAX(1,Premissas!$C$19),0)</f>
        <v>0</v>
      </c>
      <c r="O179" s="22" t="n">
        <f aca="false">IF($A179&gt;=Premissas!$C$18,Premissas!$C$60*(1+Premissas!$C$59)^((YEAR($A179)-YEAR(Premissas!$C$18))*12+MONTH($A179)-MONTH(Premissas!$C$18)),"")</f>
        <v>698389.836222332</v>
      </c>
      <c r="P179" s="31" t="n">
        <f aca="false">(1+IF(YEAR($A179)&lt;=2026,Premissas!$C$49,IF(YEAR($A179)=2027,Premissas!$C$50,IF(YEAR($A179)=2028,Premissas!$C$51,Premissas!$C$52)))*(1-Premissas!$C$53))^(1/12)-1</f>
        <v>0.00682149336596227</v>
      </c>
      <c r="Q179" s="22" t="n">
        <f aca="false">($A179=Premissas!$C$16)*Premissas!$C$13</f>
        <v>0</v>
      </c>
      <c r="R179" s="22" t="n">
        <f aca="false">L179-M179-N179-Q179</f>
        <v>2282.69333840813</v>
      </c>
      <c r="S179" s="22" t="n">
        <f aca="false">S178+R179</f>
        <v>-69922.748790551</v>
      </c>
      <c r="T179" s="22" t="n">
        <f aca="false">IF($A179&gt;=Premissas!$C$18,O179*(1-Premissas!$C$45)-Premissas!$C$46*MAX(0,O179*(1-Premissas!$C$45)-(SUM($Q$5:$Q$355)+Premissas!$C$26*Premissas!$C$60)),"")</f>
        <v>597983.487488389</v>
      </c>
      <c r="U179" s="22" t="n">
        <f aca="false">IF($A179&gt;=Premissas!$C$18,S179+T179,"")</f>
        <v>528060.738697838</v>
      </c>
      <c r="V179" s="22" t="n">
        <f aca="false">V178*(1+$P179)-R179</f>
        <v>616202.557653203</v>
      </c>
      <c r="W179" s="22" t="n">
        <f aca="false">($A179=Premissas!$C$16)*Premissas!$C$9</f>
        <v>0</v>
      </c>
      <c r="X179" s="22" t="n">
        <f aca="false">L179-M179-N179-W179</f>
        <v>2282.69333840813</v>
      </c>
      <c r="Y179" s="22" t="n">
        <f aca="false">Y178+X179</f>
        <v>-100850.748790551</v>
      </c>
      <c r="Z179" s="22" t="n">
        <f aca="false">IF($A179&gt;=Premissas!$C$18,O179*(1-Premissas!$C$45)-Premissas!$C$46*MAX(0,O179*(1-Premissas!$C$45)-(SUM($W$5:$W$355)+Premissas!$C$26*Premissas!$C$60)),"")</f>
        <v>602622.687488389</v>
      </c>
      <c r="AA179" s="22" t="n">
        <f aca="false">IF($A179&gt;=Premissas!$C$18,Y179+Z179,"")</f>
        <v>501771.938697838</v>
      </c>
      <c r="AB179" s="22" t="n">
        <f aca="false">AB178*(1+$P179)-X179</f>
        <v>720465.271860845</v>
      </c>
      <c r="AC179" s="22" t="n">
        <f aca="false">AND($A179&gt;=Premissas!$C$16,$A179&lt;EDATE(Premissas!$C$16,3))*Premissas!$C$10/3*(1+Premissas!$C$56)^$C179</f>
        <v>0</v>
      </c>
      <c r="AD179" s="22" t="n">
        <f aca="false">L179-M179-N179-AC179</f>
        <v>2282.69333840813</v>
      </c>
      <c r="AE179" s="22" t="n">
        <f aca="false">AE178+AD179</f>
        <v>-108471.212670576</v>
      </c>
      <c r="AF179" s="22" t="n">
        <f aca="false">IF($A179&gt;=Premissas!$C$18,O179*(1-Premissas!$C$45)-Premissas!$C$46*MAX(0,O179*(1-Premissas!$C$45)-(SUM($AC$5:$AC$355)+Premissas!$C$26*Premissas!$C$60)),"")</f>
        <v>603765.757070393</v>
      </c>
      <c r="AG179" s="22" t="n">
        <f aca="false">IF($A179&gt;=Premissas!$C$18,AE179+AF179,"")</f>
        <v>495294.544399817</v>
      </c>
      <c r="AH179" s="22" t="n">
        <f aca="false">AH178*(1+$P179)-AD179</f>
        <v>737084.668065413</v>
      </c>
      <c r="AI179" s="22" t="n">
        <f aca="false">($A179=Premissas!$C$16)*0.2*Premissas!$C$11+AND($A179&gt;Premissas!$C$16,$A179&lt;=EDATE(Premissas!$C$16,43))*0.8*Premissas!$C$11/43*(1+Premissas!$C$56)^$C179</f>
        <v>0</v>
      </c>
      <c r="AJ179" s="22" t="n">
        <f aca="false">L179-M179-N179-AI179</f>
        <v>2282.69333840813</v>
      </c>
      <c r="AK179" s="22" t="n">
        <f aca="false">AK178+AJ179</f>
        <v>-154335.698088638</v>
      </c>
      <c r="AL179" s="22" t="n">
        <f aca="false">IF($A179&gt;=Premissas!$C$18,O179*(1-Premissas!$C$45)-Premissas!$C$46*MAX(0,O179*(1-Premissas!$C$45)-(SUM($AI$5:$AI$355)+Premissas!$C$26*Premissas!$C$60)),"")</f>
        <v>610645.429883102</v>
      </c>
      <c r="AM179" s="22" t="n">
        <f aca="false">IF($A179&gt;=Premissas!$C$18,AK179+AL179,"")</f>
        <v>456309.731794465</v>
      </c>
      <c r="AN179" s="22" t="n">
        <f aca="false">AN178*(1+$P179)-AJ179</f>
        <v>752591.516208977</v>
      </c>
      <c r="AO179" s="22" t="n">
        <f aca="false">V179+S179</f>
        <v>546279.808862652</v>
      </c>
    </row>
    <row r="180" customFormat="false" ht="15" hidden="false" customHeight="false" outlineLevel="0" collapsed="false">
      <c r="A180" s="26" t="n">
        <f aca="false">DATE(YEAR(A179),MONTH(A179)+1,1)</f>
        <v>51622</v>
      </c>
      <c r="B180" s="22" t="str">
        <f aca="false">IF($A180&lt;Premissas!$C$18,"Obra",IF($A180&lt;Premissas!$C$20,"Entrega/mobília","Airbnb"))</f>
        <v>Airbnb</v>
      </c>
      <c r="C180" s="36" t="n">
        <f aca="false">(YEAR($A180)-YEAR(Premissas!$C$16))*12+MONTH($A180)-MONTH(Premissas!$C$16)</f>
        <v>175</v>
      </c>
      <c r="D180" s="33" t="n">
        <f aca="false">IF($A180&gt;=Premissas!$C$20,Premissas!$C$31*IF(((YEAR($A180)-YEAR(Premissas!$C$20))*12+MONTH($A180)-MONTH(Premissas!$C$20))&lt;Premissas!$C$33,Premissas!$C$34,1),0)</f>
        <v>0.62</v>
      </c>
      <c r="E180" s="22" t="n">
        <f aca="false">D180*Premissas!$C$30*Premissas!$C$32*(1+Premissas!$C$58)^$C180</f>
        <v>8238.64553083935</v>
      </c>
      <c r="F180" s="22" t="n">
        <f aca="false">E180*Premissas!$C$35</f>
        <v>1318.1832849343</v>
      </c>
      <c r="G180" s="22" t="n">
        <f aca="false">E180*Premissas!$C$36</f>
        <v>1647.72910616787</v>
      </c>
      <c r="H180" s="22" t="n">
        <f aca="false">IF($A180&gt;=Premissas!$C$18,Premissas!$C$37*(1+Premissas!$C$58)^$C180,0)</f>
        <v>1063.05103623734</v>
      </c>
      <c r="I180" s="22" t="n">
        <f aca="false">IF($A180&gt;=Premissas!$C$20,Premissas!$C$38*(1+Premissas!$C$58)^$C180,0)</f>
        <v>496.090483577423</v>
      </c>
      <c r="J180" s="22" t="n">
        <f aca="false">IF($A180&gt;=Premissas!$C$20,Premissas!$C$39*(1+Premissas!$C$58)^$C180,0)</f>
        <v>265.762759059334</v>
      </c>
      <c r="K180" s="22" t="n">
        <f aca="false">IF($A180&gt;=Premissas!$C$20,MAX(0,E180-F180-G180-H180)*Premissas!$C$41,0)</f>
        <v>1157.66257846246</v>
      </c>
      <c r="L180" s="22" t="n">
        <f aca="false">E180-F180-G180-H180-I180-J180-K180</f>
        <v>2290.16628240063</v>
      </c>
      <c r="M180" s="22" t="n">
        <f aca="false">($A180=Premissas!$C$18)*Premissas!$C$26*Premissas!$C$60</f>
        <v>0</v>
      </c>
      <c r="N180" s="22" t="n">
        <f aca="false">IF(AND($A180&gt;=Premissas!$C$18,$A180&lt;Premissas!$C$20),Premissas!$C$27/MAX(1,Premissas!$C$19),0)</f>
        <v>0</v>
      </c>
      <c r="O180" s="22" t="n">
        <f aca="false">IF($A180&gt;=Premissas!$C$18,Premissas!$C$60*(1+Premissas!$C$59)^((YEAR($A180)-YEAR(Premissas!$C$18))*12+MONTH($A180)-MONTH(Premissas!$C$18)),"")</f>
        <v>701235.162864344</v>
      </c>
      <c r="P180" s="31" t="n">
        <f aca="false">(1+IF(YEAR($A180)&lt;=2026,Premissas!$C$49,IF(YEAR($A180)=2027,Premissas!$C$50,IF(YEAR($A180)=2028,Premissas!$C$51,Premissas!$C$52)))*(1-Premissas!$C$53))^(1/12)-1</f>
        <v>0.00682149336596227</v>
      </c>
      <c r="Q180" s="22" t="n">
        <f aca="false">($A180=Premissas!$C$16)*Premissas!$C$13</f>
        <v>0</v>
      </c>
      <c r="R180" s="22" t="n">
        <f aca="false">L180-M180-N180-Q180</f>
        <v>2290.16628240063</v>
      </c>
      <c r="S180" s="22" t="n">
        <f aca="false">S179+R180</f>
        <v>-67632.5825081503</v>
      </c>
      <c r="T180" s="22" t="n">
        <f aca="false">IF($A180&gt;=Premissas!$C$18,O180*(1-Premissas!$C$45)-Premissas!$C$46*MAX(0,O180*(1-Premissas!$C$45)-(SUM($Q$5:$Q$355)+Premissas!$C$26*Premissas!$C$60)),"")</f>
        <v>600256.903475357</v>
      </c>
      <c r="U180" s="22" t="n">
        <f aca="false">IF($A180&gt;=Premissas!$C$18,S180+T180,"")</f>
        <v>532624.320967206</v>
      </c>
      <c r="V180" s="22" t="n">
        <f aca="false">V179*(1+$P180)-R180</f>
        <v>618115.813029923</v>
      </c>
      <c r="W180" s="22" t="n">
        <f aca="false">($A180=Premissas!$C$16)*Premissas!$C$9</f>
        <v>0</v>
      </c>
      <c r="X180" s="22" t="n">
        <f aca="false">L180-M180-N180-W180</f>
        <v>2290.16628240063</v>
      </c>
      <c r="Y180" s="22" t="n">
        <f aca="false">Y179+X180</f>
        <v>-98560.5825081502</v>
      </c>
      <c r="Z180" s="22" t="n">
        <f aca="false">IF($A180&gt;=Premissas!$C$18,O180*(1-Premissas!$C$45)-Premissas!$C$46*MAX(0,O180*(1-Premissas!$C$45)-(SUM($W$5:$W$355)+Premissas!$C$26*Premissas!$C$60)),"")</f>
        <v>604896.103475357</v>
      </c>
      <c r="AA180" s="22" t="n">
        <f aca="false">IF($A180&gt;=Premissas!$C$18,Y180+Z180,"")</f>
        <v>506335.520967207</v>
      </c>
      <c r="AB180" s="22" t="n">
        <f aca="false">AB179*(1+$P180)-X180</f>
        <v>723089.754650849</v>
      </c>
      <c r="AC180" s="22" t="n">
        <f aca="false">AND($A180&gt;=Premissas!$C$16,$A180&lt;EDATE(Premissas!$C$16,3))*Premissas!$C$10/3*(1+Premissas!$C$56)^$C180</f>
        <v>0</v>
      </c>
      <c r="AD180" s="22" t="n">
        <f aca="false">L180-M180-N180-AC180</f>
        <v>2290.16628240063</v>
      </c>
      <c r="AE180" s="22" t="n">
        <f aca="false">AE179+AD180</f>
        <v>-106181.046388175</v>
      </c>
      <c r="AF180" s="22" t="n">
        <f aca="false">IF($A180&gt;=Premissas!$C$18,O180*(1-Premissas!$C$45)-Premissas!$C$46*MAX(0,O180*(1-Premissas!$C$45)-(SUM($AC$5:$AC$355)+Premissas!$C$26*Premissas!$C$60)),"")</f>
        <v>606039.173057361</v>
      </c>
      <c r="AG180" s="22" t="n">
        <f aca="false">IF($A180&gt;=Premissas!$C$18,AE180+AF180,"")</f>
        <v>499858.126669185</v>
      </c>
      <c r="AH180" s="22" t="n">
        <f aca="false">AH179*(1+$P180)-AD180</f>
        <v>739822.519956373</v>
      </c>
      <c r="AI180" s="22" t="n">
        <f aca="false">($A180=Premissas!$C$16)*0.2*Premissas!$C$11+AND($A180&gt;Premissas!$C$16,$A180&lt;=EDATE(Premissas!$C$16,43))*0.8*Premissas!$C$11/43*(1+Premissas!$C$56)^$C180</f>
        <v>0</v>
      </c>
      <c r="AJ180" s="22" t="n">
        <f aca="false">L180-M180-N180-AI180</f>
        <v>2290.16628240063</v>
      </c>
      <c r="AK180" s="22" t="n">
        <f aca="false">AK179+AJ180</f>
        <v>-152045.531806237</v>
      </c>
      <c r="AL180" s="22" t="n">
        <f aca="false">IF($A180&gt;=Premissas!$C$18,O180*(1-Premissas!$C$45)-Premissas!$C$46*MAX(0,O180*(1-Premissas!$C$45)-(SUM($AI$5:$AI$355)+Premissas!$C$26*Premissas!$C$60)),"")</f>
        <v>612918.84587007</v>
      </c>
      <c r="AM180" s="22" t="n">
        <f aca="false">IF($A180&gt;=Premissas!$C$18,AK180+AL180,"")</f>
        <v>460873.314063833</v>
      </c>
      <c r="AN180" s="22" t="n">
        <f aca="false">AN179*(1+$P180)-AJ180</f>
        <v>755435.147961675</v>
      </c>
      <c r="AO180" s="22" t="n">
        <f aca="false">V180+S180</f>
        <v>550483.230521772</v>
      </c>
    </row>
    <row r="181" customFormat="false" ht="15" hidden="false" customHeight="false" outlineLevel="0" collapsed="false">
      <c r="A181" s="26" t="n">
        <f aca="false">DATE(YEAR(A180),MONTH(A180)+1,1)</f>
        <v>51653</v>
      </c>
      <c r="B181" s="22" t="str">
        <f aca="false">IF($A181&lt;Premissas!$C$18,"Obra",IF($A181&lt;Premissas!$C$20,"Entrega/mobília","Airbnb"))</f>
        <v>Airbnb</v>
      </c>
      <c r="C181" s="36" t="n">
        <f aca="false">(YEAR($A181)-YEAR(Premissas!$C$16))*12+MONTH($A181)-MONTH(Premissas!$C$16)</f>
        <v>176</v>
      </c>
      <c r="D181" s="33" t="n">
        <f aca="false">IF($A181&gt;=Premissas!$C$20,Premissas!$C$31*IF(((YEAR($A181)-YEAR(Premissas!$C$20))*12+MONTH($A181)-MONTH(Premissas!$C$20))&lt;Premissas!$C$33,Premissas!$C$34,1),0)</f>
        <v>0.62</v>
      </c>
      <c r="E181" s="22" t="n">
        <f aca="false">D181*Premissas!$C$30*Premissas!$C$32*(1+Premissas!$C$58)^$C181</f>
        <v>8265.6167124651</v>
      </c>
      <c r="F181" s="22" t="n">
        <f aca="false">E181*Premissas!$C$35</f>
        <v>1322.49867399442</v>
      </c>
      <c r="G181" s="22" t="n">
        <f aca="false">E181*Premissas!$C$36</f>
        <v>1653.12334249302</v>
      </c>
      <c r="H181" s="22" t="n">
        <f aca="false">IF($A181&gt;=Premissas!$C$18,Premissas!$C$37*(1+Premissas!$C$58)^$C181,0)</f>
        <v>1066.53118870517</v>
      </c>
      <c r="I181" s="22" t="n">
        <f aca="false">IF($A181&gt;=Premissas!$C$20,Premissas!$C$38*(1+Premissas!$C$58)^$C181,0)</f>
        <v>497.714554729081</v>
      </c>
      <c r="J181" s="22" t="n">
        <f aca="false">IF($A181&gt;=Premissas!$C$20,Premissas!$C$39*(1+Premissas!$C$58)^$C181,0)</f>
        <v>266.632797176294</v>
      </c>
      <c r="K181" s="22" t="n">
        <f aca="false">IF($A181&gt;=Premissas!$C$20,MAX(0,E181-F181-G181-H181)*Premissas!$C$41,0)</f>
        <v>1161.45246449993</v>
      </c>
      <c r="L181" s="22" t="n">
        <f aca="false">E181-F181-G181-H181-I181-J181-K181</f>
        <v>2297.66369086718</v>
      </c>
      <c r="M181" s="22" t="n">
        <f aca="false">($A181=Premissas!$C$18)*Premissas!$C$26*Premissas!$C$60</f>
        <v>0</v>
      </c>
      <c r="N181" s="22" t="n">
        <f aca="false">IF(AND($A181&gt;=Premissas!$C$18,$A181&lt;Premissas!$C$20),Premissas!$C$27/MAX(1,Premissas!$C$19),0)</f>
        <v>0</v>
      </c>
      <c r="O181" s="22" t="n">
        <f aca="false">IF($A181&gt;=Premissas!$C$18,Premissas!$C$60*(1+Premissas!$C$59)^((YEAR($A181)-YEAR(Premissas!$C$18))*12+MONTH($A181)-MONTH(Premissas!$C$18)),"")</f>
        <v>704092.0817193</v>
      </c>
      <c r="P181" s="31" t="n">
        <f aca="false">(1+IF(YEAR($A181)&lt;=2026,Premissas!$C$49,IF(YEAR($A181)=2027,Premissas!$C$50,IF(YEAR($A181)=2028,Premissas!$C$51,Premissas!$C$52)))*(1-Premissas!$C$53))^(1/12)-1</f>
        <v>0.00682149336596227</v>
      </c>
      <c r="Q181" s="22" t="n">
        <f aca="false">($A181=Premissas!$C$16)*Premissas!$C$13</f>
        <v>0</v>
      </c>
      <c r="R181" s="22" t="n">
        <f aca="false">L181-M181-N181-Q181</f>
        <v>2297.66369086718</v>
      </c>
      <c r="S181" s="22" t="n">
        <f aca="false">S180+R181</f>
        <v>-65334.9188172832</v>
      </c>
      <c r="T181" s="22" t="n">
        <f aca="false">IF($A181&gt;=Premissas!$C$18,O181*(1-Premissas!$C$45)-Premissas!$C$46*MAX(0,O181*(1-Premissas!$C$45)-(SUM($Q$5:$Q$355)+Premissas!$C$26*Premissas!$C$60)),"")</f>
        <v>602539.581640467</v>
      </c>
      <c r="U181" s="22" t="n">
        <f aca="false">IF($A181&gt;=Premissas!$C$18,S181+T181,"")</f>
        <v>537204.662823184</v>
      </c>
      <c r="V181" s="22" t="n">
        <f aca="false">V180*(1+$P181)-R181</f>
        <v>620034.622257036</v>
      </c>
      <c r="W181" s="22" t="n">
        <f aca="false">($A181=Premissas!$C$16)*Premissas!$C$9</f>
        <v>0</v>
      </c>
      <c r="X181" s="22" t="n">
        <f aca="false">L181-M181-N181-W181</f>
        <v>2297.66369086718</v>
      </c>
      <c r="Y181" s="22" t="n">
        <f aca="false">Y180+X181</f>
        <v>-96262.918817283</v>
      </c>
      <c r="Z181" s="22" t="n">
        <f aca="false">IF($A181&gt;=Premissas!$C$18,O181*(1-Premissas!$C$45)-Premissas!$C$46*MAX(0,O181*(1-Premissas!$C$45)-(SUM($W$5:$W$355)+Premissas!$C$26*Premissas!$C$60)),"")</f>
        <v>607178.781640467</v>
      </c>
      <c r="AA181" s="22" t="n">
        <f aca="false">IF($A181&gt;=Premissas!$C$18,Y181+Z181,"")</f>
        <v>510915.862823184</v>
      </c>
      <c r="AB181" s="22" t="n">
        <f aca="false">AB180*(1+$P181)-X181</f>
        <v>725724.642924328</v>
      </c>
      <c r="AC181" s="22" t="n">
        <f aca="false">AND($A181&gt;=Premissas!$C$16,$A181&lt;EDATE(Premissas!$C$16,3))*Premissas!$C$10/3*(1+Premissas!$C$56)^$C181</f>
        <v>0</v>
      </c>
      <c r="AD181" s="22" t="n">
        <f aca="false">L181-M181-N181-AC181</f>
        <v>2297.66369086718</v>
      </c>
      <c r="AE181" s="22" t="n">
        <f aca="false">AE180+AD181</f>
        <v>-103883.382697308</v>
      </c>
      <c r="AF181" s="22" t="n">
        <f aca="false">IF($A181&gt;=Premissas!$C$18,O181*(1-Premissas!$C$45)-Premissas!$C$46*MAX(0,O181*(1-Premissas!$C$45)-(SUM($AC$5:$AC$355)+Premissas!$C$26*Premissas!$C$60)),"")</f>
        <v>608321.85122247</v>
      </c>
      <c r="AG181" s="22" t="n">
        <f aca="false">IF($A181&gt;=Premissas!$C$18,AE181+AF181,"")</f>
        <v>504438.468525162</v>
      </c>
      <c r="AH181" s="22" t="n">
        <f aca="false">AH180*(1+$P181)-AD181</f>
        <v>742571.550677378</v>
      </c>
      <c r="AI181" s="22" t="n">
        <f aca="false">($A181=Premissas!$C$16)*0.2*Premissas!$C$11+AND($A181&gt;Premissas!$C$16,$A181&lt;=EDATE(Premissas!$C$16,43))*0.8*Premissas!$C$11/43*(1+Premissas!$C$56)^$C181</f>
        <v>0</v>
      </c>
      <c r="AJ181" s="22" t="n">
        <f aca="false">L181-M181-N181-AI181</f>
        <v>2297.66369086718</v>
      </c>
      <c r="AK181" s="22" t="n">
        <f aca="false">AK180+AJ181</f>
        <v>-149747.86811537</v>
      </c>
      <c r="AL181" s="22" t="n">
        <f aca="false">IF($A181&gt;=Premissas!$C$18,O181*(1-Premissas!$C$45)-Premissas!$C$46*MAX(0,O181*(1-Premissas!$C$45)-(SUM($AI$5:$AI$355)+Premissas!$C$26*Premissas!$C$60)),"")</f>
        <v>615201.52403518</v>
      </c>
      <c r="AM181" s="22" t="n">
        <f aca="false">IF($A181&gt;=Premissas!$C$18,AK181+AL181,"")</f>
        <v>465453.65591981</v>
      </c>
      <c r="AN181" s="22" t="n">
        <f aca="false">AN180*(1+$P181)-AJ181</f>
        <v>758290.680121043</v>
      </c>
      <c r="AO181" s="22" t="n">
        <f aca="false">V181+S181</f>
        <v>554699.703439753</v>
      </c>
    </row>
    <row r="182" customFormat="false" ht="15" hidden="false" customHeight="false" outlineLevel="0" collapsed="false">
      <c r="A182" s="26" t="n">
        <f aca="false">DATE(YEAR(A181),MONTH(A181)+1,1)</f>
        <v>51683</v>
      </c>
      <c r="B182" s="22" t="str">
        <f aca="false">IF($A182&lt;Premissas!$C$18,"Obra",IF($A182&lt;Premissas!$C$20,"Entrega/mobília","Airbnb"))</f>
        <v>Airbnb</v>
      </c>
      <c r="C182" s="36" t="n">
        <f aca="false">(YEAR($A182)-YEAR(Premissas!$C$16))*12+MONTH($A182)-MONTH(Premissas!$C$16)</f>
        <v>177</v>
      </c>
      <c r="D182" s="33" t="n">
        <f aca="false">IF($A182&gt;=Premissas!$C$20,Premissas!$C$31*IF(((YEAR($A182)-YEAR(Premissas!$C$20))*12+MONTH($A182)-MONTH(Premissas!$C$20))&lt;Premissas!$C$33,Premissas!$C$34,1),0)</f>
        <v>0.62</v>
      </c>
      <c r="E182" s="22" t="n">
        <f aca="false">D182*Premissas!$C$30*Premissas!$C$32*(1+Premissas!$C$58)^$C182</f>
        <v>8292.6761907211</v>
      </c>
      <c r="F182" s="22" t="n">
        <f aca="false">E182*Premissas!$C$35</f>
        <v>1326.82819051538</v>
      </c>
      <c r="G182" s="22" t="n">
        <f aca="false">E182*Premissas!$C$36</f>
        <v>1658.53523814422</v>
      </c>
      <c r="H182" s="22" t="n">
        <f aca="false">IF($A182&gt;=Premissas!$C$18,Premissas!$C$37*(1+Premissas!$C$58)^$C182,0)</f>
        <v>1070.02273428659</v>
      </c>
      <c r="I182" s="22" t="n">
        <f aca="false">IF($A182&gt;=Premissas!$C$20,Premissas!$C$38*(1+Premissas!$C$58)^$C182,0)</f>
        <v>499.343942667077</v>
      </c>
      <c r="J182" s="22" t="n">
        <f aca="false">IF($A182&gt;=Premissas!$C$20,Premissas!$C$39*(1+Premissas!$C$58)^$C182,0)</f>
        <v>267.505683571649</v>
      </c>
      <c r="K182" s="22" t="n">
        <f aca="false">IF($A182&gt;=Premissas!$C$20,MAX(0,E182-F182-G182-H182)*Premissas!$C$41,0)</f>
        <v>1165.2547576381</v>
      </c>
      <c r="L182" s="22" t="n">
        <f aca="false">E182-F182-G182-H182-I182-J182-K182</f>
        <v>2305.18564389809</v>
      </c>
      <c r="M182" s="22" t="n">
        <f aca="false">($A182=Premissas!$C$18)*Premissas!$C$26*Premissas!$C$60</f>
        <v>0</v>
      </c>
      <c r="N182" s="22" t="n">
        <f aca="false">IF(AND($A182&gt;=Premissas!$C$18,$A182&lt;Premissas!$C$20),Premissas!$C$27/MAX(1,Premissas!$C$19),0)</f>
        <v>0</v>
      </c>
      <c r="O182" s="22" t="n">
        <f aca="false">IF($A182&gt;=Premissas!$C$18,Premissas!$C$60*(1+Premissas!$C$59)^((YEAR($A182)-YEAR(Premissas!$C$18))*12+MONTH($A182)-MONTH(Premissas!$C$18)),"")</f>
        <v>706960.640015311</v>
      </c>
      <c r="P182" s="31" t="n">
        <f aca="false">(1+IF(YEAR($A182)&lt;=2026,Premissas!$C$49,IF(YEAR($A182)=2027,Premissas!$C$50,IF(YEAR($A182)=2028,Premissas!$C$51,Premissas!$C$52)))*(1-Premissas!$C$53))^(1/12)-1</f>
        <v>0.00682149336596227</v>
      </c>
      <c r="Q182" s="22" t="n">
        <f aca="false">($A182=Premissas!$C$16)*Premissas!$C$13</f>
        <v>0</v>
      </c>
      <c r="R182" s="22" t="n">
        <f aca="false">L182-M182-N182-Q182</f>
        <v>2305.18564389809</v>
      </c>
      <c r="S182" s="22" t="n">
        <f aca="false">S181+R182</f>
        <v>-63029.7331733851</v>
      </c>
      <c r="T182" s="22" t="n">
        <f aca="false">IF($A182&gt;=Premissas!$C$18,O182*(1-Premissas!$C$45)-Premissas!$C$46*MAX(0,O182*(1-Premissas!$C$45)-(SUM($Q$5:$Q$355)+Premissas!$C$26*Premissas!$C$60)),"")</f>
        <v>604831.55971898</v>
      </c>
      <c r="U182" s="22" t="n">
        <f aca="false">IF($A182&gt;=Premissas!$C$18,S182+T182,"")</f>
        <v>541801.826545595</v>
      </c>
      <c r="V182" s="22" t="n">
        <f aca="false">V181*(1+$P182)-R182</f>
        <v>621958.998675531</v>
      </c>
      <c r="W182" s="22" t="n">
        <f aca="false">($A182=Premissas!$C$16)*Premissas!$C$9</f>
        <v>0</v>
      </c>
      <c r="X182" s="22" t="n">
        <f aca="false">L182-M182-N182-W182</f>
        <v>2305.18564389809</v>
      </c>
      <c r="Y182" s="22" t="n">
        <f aca="false">Y181+X182</f>
        <v>-93957.7331733849</v>
      </c>
      <c r="Z182" s="22" t="n">
        <f aca="false">IF($A182&gt;=Premissas!$C$18,O182*(1-Premissas!$C$45)-Premissas!$C$46*MAX(0,O182*(1-Premissas!$C$45)-(SUM($W$5:$W$355)+Premissas!$C$26*Premissas!$C$60)),"")</f>
        <v>609470.75971898</v>
      </c>
      <c r="AA182" s="22" t="n">
        <f aca="false">IF($A182&gt;=Premissas!$C$18,Y182+Z182,"")</f>
        <v>515513.026545595</v>
      </c>
      <c r="AB182" s="22" t="n">
        <f aca="false">AB181*(1+$P182)-X182</f>
        <v>728369.983117653</v>
      </c>
      <c r="AC182" s="22" t="n">
        <f aca="false">AND($A182&gt;=Premissas!$C$16,$A182&lt;EDATE(Premissas!$C$16,3))*Premissas!$C$10/3*(1+Premissas!$C$56)^$C182</f>
        <v>0</v>
      </c>
      <c r="AD182" s="22" t="n">
        <f aca="false">L182-M182-N182-AC182</f>
        <v>2305.18564389809</v>
      </c>
      <c r="AE182" s="22" t="n">
        <f aca="false">AE181+AD182</f>
        <v>-101578.19705341</v>
      </c>
      <c r="AF182" s="22" t="n">
        <f aca="false">IF($A182&gt;=Premissas!$C$18,O182*(1-Premissas!$C$45)-Premissas!$C$46*MAX(0,O182*(1-Premissas!$C$45)-(SUM($AC$5:$AC$355)+Premissas!$C$26*Premissas!$C$60)),"")</f>
        <v>610613.829300983</v>
      </c>
      <c r="AG182" s="22" t="n">
        <f aca="false">IF($A182&gt;=Premissas!$C$18,AE182+AF182,"")</f>
        <v>509035.632247573</v>
      </c>
      <c r="AH182" s="22" t="n">
        <f aca="false">AH181*(1+$P182)-AD182</f>
        <v>745331.811940178</v>
      </c>
      <c r="AI182" s="22" t="n">
        <f aca="false">($A182=Premissas!$C$16)*0.2*Premissas!$C$11+AND($A182&gt;Premissas!$C$16,$A182&lt;=EDATE(Premissas!$C$16,43))*0.8*Premissas!$C$11/43*(1+Premissas!$C$56)^$C182</f>
        <v>0</v>
      </c>
      <c r="AJ182" s="22" t="n">
        <f aca="false">L182-M182-N182-AI182</f>
        <v>2305.18564389809</v>
      </c>
      <c r="AK182" s="22" t="n">
        <f aca="false">AK181+AJ182</f>
        <v>-147442.682471472</v>
      </c>
      <c r="AL182" s="22" t="n">
        <f aca="false">IF($A182&gt;=Premissas!$C$18,O182*(1-Premissas!$C$45)-Premissas!$C$46*MAX(0,O182*(1-Premissas!$C$45)-(SUM($AI$5:$AI$355)+Premissas!$C$26*Premissas!$C$60)),"")</f>
        <v>617493.502113693</v>
      </c>
      <c r="AM182" s="22" t="n">
        <f aca="false">IF($A182&gt;=Premissas!$C$18,AK182+AL182,"")</f>
        <v>470050.819642221</v>
      </c>
      <c r="AN182" s="22" t="n">
        <f aca="false">AN181*(1+$P182)-AJ182</f>
        <v>761158.169321062</v>
      </c>
      <c r="AO182" s="22" t="n">
        <f aca="false">V182+S182</f>
        <v>558929.265502146</v>
      </c>
    </row>
    <row r="183" customFormat="false" ht="15" hidden="false" customHeight="false" outlineLevel="0" collapsed="false">
      <c r="A183" s="26" t="n">
        <f aca="false">DATE(YEAR(A182),MONTH(A182)+1,1)</f>
        <v>51714</v>
      </c>
      <c r="B183" s="22" t="str">
        <f aca="false">IF($A183&lt;Premissas!$C$18,"Obra",IF($A183&lt;Premissas!$C$20,"Entrega/mobília","Airbnb"))</f>
        <v>Airbnb</v>
      </c>
      <c r="C183" s="36" t="n">
        <f aca="false">(YEAR($A183)-YEAR(Premissas!$C$16))*12+MONTH($A183)-MONTH(Premissas!$C$16)</f>
        <v>178</v>
      </c>
      <c r="D183" s="33" t="n">
        <f aca="false">IF($A183&gt;=Premissas!$C$20,Premissas!$C$31*IF(((YEAR($A183)-YEAR(Premissas!$C$20))*12+MONTH($A183)-MONTH(Premissas!$C$20))&lt;Premissas!$C$33,Premissas!$C$34,1),0)</f>
        <v>0.62</v>
      </c>
      <c r="E183" s="22" t="n">
        <f aca="false">D183*Premissas!$C$30*Premissas!$C$32*(1+Premissas!$C$58)^$C183</f>
        <v>8319.82425466756</v>
      </c>
      <c r="F183" s="22" t="n">
        <f aca="false">E183*Premissas!$C$35</f>
        <v>1331.17188074681</v>
      </c>
      <c r="G183" s="22" t="n">
        <f aca="false">E183*Premissas!$C$36</f>
        <v>1663.96485093351</v>
      </c>
      <c r="H183" s="22" t="n">
        <f aca="false">IF($A183&gt;=Premissas!$C$18,Premissas!$C$37*(1+Premissas!$C$58)^$C183,0)</f>
        <v>1073.52571027969</v>
      </c>
      <c r="I183" s="22" t="n">
        <f aca="false">IF($A183&gt;=Premissas!$C$20,Premissas!$C$38*(1+Premissas!$C$58)^$C183,0)</f>
        <v>500.978664797186</v>
      </c>
      <c r="J183" s="22" t="n">
        <f aca="false">IF($A183&gt;=Premissas!$C$20,Premissas!$C$39*(1+Premissas!$C$58)^$C183,0)</f>
        <v>268.381427569921</v>
      </c>
      <c r="K183" s="22" t="n">
        <f aca="false">IF($A183&gt;=Premissas!$C$20,MAX(0,E183-F183-G183-H183)*Premissas!$C$41,0)</f>
        <v>1169.06949849458</v>
      </c>
      <c r="L183" s="22" t="n">
        <f aca="false">E183-F183-G183-H183-I183-J183-K183</f>
        <v>2312.73222184587</v>
      </c>
      <c r="M183" s="22" t="n">
        <f aca="false">($A183=Premissas!$C$18)*Premissas!$C$26*Premissas!$C$60</f>
        <v>0</v>
      </c>
      <c r="N183" s="22" t="n">
        <f aca="false">IF(AND($A183&gt;=Premissas!$C$18,$A183&lt;Premissas!$C$20),Premissas!$C$27/MAX(1,Premissas!$C$19),0)</f>
        <v>0</v>
      </c>
      <c r="O183" s="22" t="n">
        <f aca="false">IF($A183&gt;=Premissas!$C$18,Premissas!$C$60*(1+Premissas!$C$59)^((YEAR($A183)-YEAR(Premissas!$C$18))*12+MONTH($A183)-MONTH(Premissas!$C$18)),"")</f>
        <v>709840.885172901</v>
      </c>
      <c r="P183" s="31" t="n">
        <f aca="false">(1+IF(YEAR($A183)&lt;=2026,Premissas!$C$49,IF(YEAR($A183)=2027,Premissas!$C$50,IF(YEAR($A183)=2028,Premissas!$C$51,Premissas!$C$52)))*(1-Premissas!$C$53))^(1/12)-1</f>
        <v>0.00682149336596227</v>
      </c>
      <c r="Q183" s="22" t="n">
        <f aca="false">($A183=Premissas!$C$16)*Premissas!$C$13</f>
        <v>0</v>
      </c>
      <c r="R183" s="22" t="n">
        <f aca="false">L183-M183-N183-Q183</f>
        <v>2312.73222184587</v>
      </c>
      <c r="S183" s="22" t="n">
        <f aca="false">S182+R183</f>
        <v>-60717.0009515392</v>
      </c>
      <c r="T183" s="22" t="n">
        <f aca="false">IF($A183&gt;=Premissas!$C$18,O183*(1-Premissas!$C$45)-Premissas!$C$46*MAX(0,O183*(1-Premissas!$C$45)-(SUM($Q$5:$Q$355)+Premissas!$C$26*Premissas!$C$60)),"")</f>
        <v>607132.875599894</v>
      </c>
      <c r="U183" s="22" t="n">
        <f aca="false">IF($A183&gt;=Premissas!$C$18,S183+T183,"")</f>
        <v>546415.874648354</v>
      </c>
      <c r="V183" s="22" t="n">
        <f aca="false">V182*(1+$P183)-R183</f>
        <v>623888.955637051</v>
      </c>
      <c r="W183" s="22" t="n">
        <f aca="false">($A183=Premissas!$C$16)*Premissas!$C$9</f>
        <v>0</v>
      </c>
      <c r="X183" s="22" t="n">
        <f aca="false">L183-M183-N183-W183</f>
        <v>2312.73222184587</v>
      </c>
      <c r="Y183" s="22" t="n">
        <f aca="false">Y182+X183</f>
        <v>-91645.0009515391</v>
      </c>
      <c r="Z183" s="22" t="n">
        <f aca="false">IF($A183&gt;=Premissas!$C$18,O183*(1-Premissas!$C$45)-Premissas!$C$46*MAX(0,O183*(1-Premissas!$C$45)-(SUM($W$5:$W$355)+Premissas!$C$26*Premissas!$C$60)),"")</f>
        <v>611772.075599894</v>
      </c>
      <c r="AA183" s="22" t="n">
        <f aca="false">IF($A183&gt;=Premissas!$C$18,Y183+Z183,"")</f>
        <v>520127.074648355</v>
      </c>
      <c r="AB183" s="22" t="n">
        <f aca="false">AB182*(1+$P183)-X183</f>
        <v>731025.821903611</v>
      </c>
      <c r="AC183" s="22" t="n">
        <f aca="false">AND($A183&gt;=Premissas!$C$16,$A183&lt;EDATE(Premissas!$C$16,3))*Premissas!$C$10/3*(1+Premissas!$C$56)^$C183</f>
        <v>0</v>
      </c>
      <c r="AD183" s="22" t="n">
        <f aca="false">L183-M183-N183-AC183</f>
        <v>2312.73222184587</v>
      </c>
      <c r="AE183" s="22" t="n">
        <f aca="false">AE182+AD183</f>
        <v>-99265.4648315639</v>
      </c>
      <c r="AF183" s="22" t="n">
        <f aca="false">IF($A183&gt;=Premissas!$C$18,O183*(1-Premissas!$C$45)-Premissas!$C$46*MAX(0,O183*(1-Premissas!$C$45)-(SUM($AC$5:$AC$355)+Premissas!$C$26*Premissas!$C$60)),"")</f>
        <v>612915.145181897</v>
      </c>
      <c r="AG183" s="22" t="n">
        <f aca="false">IF($A183&gt;=Premissas!$C$18,AE183+AF183,"")</f>
        <v>513649.680350333</v>
      </c>
      <c r="AH183" s="22" t="n">
        <f aca="false">AH182*(1+$P183)-AD183</f>
        <v>748103.355728922</v>
      </c>
      <c r="AI183" s="22" t="n">
        <f aca="false">($A183=Premissas!$C$16)*0.2*Premissas!$C$11+AND($A183&gt;Premissas!$C$16,$A183&lt;=EDATE(Premissas!$C$16,43))*0.8*Premissas!$C$11/43*(1+Premissas!$C$56)^$C183</f>
        <v>0</v>
      </c>
      <c r="AJ183" s="22" t="n">
        <f aca="false">L183-M183-N183-AI183</f>
        <v>2312.73222184587</v>
      </c>
      <c r="AK183" s="22" t="n">
        <f aca="false">AK182+AJ183</f>
        <v>-145129.950249626</v>
      </c>
      <c r="AL183" s="22" t="n">
        <f aca="false">IF($A183&gt;=Premissas!$C$18,O183*(1-Premissas!$C$45)-Premissas!$C$46*MAX(0,O183*(1-Premissas!$C$45)-(SUM($AI$5:$AI$355)+Premissas!$C$26*Premissas!$C$60)),"")</f>
        <v>619794.817994607</v>
      </c>
      <c r="AM183" s="22" t="n">
        <f aca="false">IF($A183&gt;=Premissas!$C$18,AK183+AL183,"")</f>
        <v>474664.867744981</v>
      </c>
      <c r="AN183" s="22" t="n">
        <f aca="false">AN182*(1+$P183)-AJ183</f>
        <v>764037.672501688</v>
      </c>
      <c r="AO183" s="22" t="n">
        <f aca="false">V183+S183</f>
        <v>563171.954685511</v>
      </c>
    </row>
    <row r="184" customFormat="false" ht="15" hidden="false" customHeight="false" outlineLevel="0" collapsed="false">
      <c r="A184" s="26" t="n">
        <f aca="false">DATE(YEAR(A183),MONTH(A183)+1,1)</f>
        <v>51745</v>
      </c>
      <c r="B184" s="22" t="str">
        <f aca="false">IF($A184&lt;Premissas!$C$18,"Obra",IF($A184&lt;Premissas!$C$20,"Entrega/mobília","Airbnb"))</f>
        <v>Airbnb</v>
      </c>
      <c r="C184" s="36" t="n">
        <f aca="false">(YEAR($A184)-YEAR(Premissas!$C$16))*12+MONTH($A184)-MONTH(Premissas!$C$16)</f>
        <v>179</v>
      </c>
      <c r="D184" s="33" t="n">
        <f aca="false">IF($A184&gt;=Premissas!$C$20,Premissas!$C$31*IF(((YEAR($A184)-YEAR(Premissas!$C$20))*12+MONTH($A184)-MONTH(Premissas!$C$20))&lt;Premissas!$C$33,Premissas!$C$34,1),0)</f>
        <v>0.62</v>
      </c>
      <c r="E184" s="22" t="n">
        <f aca="false">D184*Premissas!$C$30*Premissas!$C$32*(1+Premissas!$C$58)^$C184</f>
        <v>8347.06119431097</v>
      </c>
      <c r="F184" s="22" t="n">
        <f aca="false">E184*Premissas!$C$35</f>
        <v>1335.52979108976</v>
      </c>
      <c r="G184" s="22" t="n">
        <f aca="false">E184*Premissas!$C$36</f>
        <v>1669.41223886219</v>
      </c>
      <c r="H184" s="22" t="n">
        <f aca="false">IF($A184&gt;=Premissas!$C$18,Premissas!$C$37*(1+Premissas!$C$58)^$C184,0)</f>
        <v>1077.04015410464</v>
      </c>
      <c r="I184" s="22" t="n">
        <f aca="false">IF($A184&gt;=Premissas!$C$20,Premissas!$C$38*(1+Premissas!$C$58)^$C184,0)</f>
        <v>502.618738582166</v>
      </c>
      <c r="J184" s="22" t="n">
        <f aca="false">IF($A184&gt;=Premissas!$C$20,Premissas!$C$39*(1+Premissas!$C$58)^$C184,0)</f>
        <v>269.26003852616</v>
      </c>
      <c r="K184" s="22" t="n">
        <f aca="false">IF($A184&gt;=Premissas!$C$20,MAX(0,E184-F184-G184-H184)*Premissas!$C$41,0)</f>
        <v>1172.89672781995</v>
      </c>
      <c r="L184" s="22" t="n">
        <f aca="false">E184-F184-G184-H184-I184-J184-K184</f>
        <v>2320.3035053261</v>
      </c>
      <c r="M184" s="22" t="n">
        <f aca="false">($A184=Premissas!$C$18)*Premissas!$C$26*Premissas!$C$60</f>
        <v>0</v>
      </c>
      <c r="N184" s="22" t="n">
        <f aca="false">IF(AND($A184&gt;=Premissas!$C$18,$A184&lt;Premissas!$C$20),Premissas!$C$27/MAX(1,Premissas!$C$19),0)</f>
        <v>0</v>
      </c>
      <c r="O184" s="22" t="n">
        <f aca="false">IF($A184&gt;=Premissas!$C$18,Premissas!$C$60*(1+Premissas!$C$59)^((YEAR($A184)-YEAR(Premissas!$C$18))*12+MONTH($A184)-MONTH(Premissas!$C$18)),"")</f>
        <v>712732.864805789</v>
      </c>
      <c r="P184" s="31" t="n">
        <f aca="false">(1+IF(YEAR($A184)&lt;=2026,Premissas!$C$49,IF(YEAR($A184)=2027,Premissas!$C$50,IF(YEAR($A184)=2028,Premissas!$C$51,Premissas!$C$52)))*(1-Premissas!$C$53))^(1/12)-1</f>
        <v>0.00682149336596227</v>
      </c>
      <c r="Q184" s="22" t="n">
        <f aca="false">($A184=Premissas!$C$16)*Premissas!$C$13</f>
        <v>0</v>
      </c>
      <c r="R184" s="22" t="n">
        <f aca="false">L184-M184-N184-Q184</f>
        <v>2320.3035053261</v>
      </c>
      <c r="S184" s="22" t="n">
        <f aca="false">S183+R184</f>
        <v>-58396.6974462131</v>
      </c>
      <c r="T184" s="22" t="n">
        <f aca="false">IF($A184&gt;=Premissas!$C$18,O184*(1-Premissas!$C$45)-Premissas!$C$46*MAX(0,O184*(1-Premissas!$C$45)-(SUM($Q$5:$Q$355)+Premissas!$C$26*Premissas!$C$60)),"")</f>
        <v>609443.567326572</v>
      </c>
      <c r="U184" s="22" t="n">
        <f aca="false">IF($A184&gt;=Premissas!$C$18,S184+T184,"")</f>
        <v>551046.869880359</v>
      </c>
      <c r="V184" s="22" t="n">
        <f aca="false">V183*(1+$P184)-R184</f>
        <v>625824.5065037</v>
      </c>
      <c r="W184" s="22" t="n">
        <f aca="false">($A184=Premissas!$C$16)*Premissas!$C$9</f>
        <v>0</v>
      </c>
      <c r="X184" s="22" t="n">
        <f aca="false">L184-M184-N184-W184</f>
        <v>2320.3035053261</v>
      </c>
      <c r="Y184" s="22" t="n">
        <f aca="false">Y183+X184</f>
        <v>-89324.697446213</v>
      </c>
      <c r="Z184" s="22" t="n">
        <f aca="false">IF($A184&gt;=Premissas!$C$18,O184*(1-Premissas!$C$45)-Premissas!$C$46*MAX(0,O184*(1-Premissas!$C$45)-(SUM($W$5:$W$355)+Premissas!$C$26*Premissas!$C$60)),"")</f>
        <v>614082.767326572</v>
      </c>
      <c r="AA184" s="22" t="n">
        <f aca="false">IF($A184&gt;=Premissas!$C$18,Y184+Z184,"")</f>
        <v>524758.069880359</v>
      </c>
      <c r="AB184" s="22" t="n">
        <f aca="false">AB183*(1+$P184)-X184</f>
        <v>733692.206192747</v>
      </c>
      <c r="AC184" s="22" t="n">
        <f aca="false">AND($A184&gt;=Premissas!$C$16,$A184&lt;EDATE(Premissas!$C$16,3))*Premissas!$C$10/3*(1+Premissas!$C$56)^$C184</f>
        <v>0</v>
      </c>
      <c r="AD184" s="22" t="n">
        <f aca="false">L184-M184-N184-AC184</f>
        <v>2320.3035053261</v>
      </c>
      <c r="AE184" s="22" t="n">
        <f aca="false">AE183+AD184</f>
        <v>-96945.1613262378</v>
      </c>
      <c r="AF184" s="22" t="n">
        <f aca="false">IF($A184&gt;=Premissas!$C$18,O184*(1-Premissas!$C$45)-Premissas!$C$46*MAX(0,O184*(1-Premissas!$C$45)-(SUM($AC$5:$AC$355)+Premissas!$C$26*Premissas!$C$60)),"")</f>
        <v>615225.836908576</v>
      </c>
      <c r="AG184" s="22" t="n">
        <f aca="false">IF($A184&gt;=Premissas!$C$18,AE184+AF184,"")</f>
        <v>518280.675582338</v>
      </c>
      <c r="AH184" s="22" t="n">
        <f aca="false">AH183*(1+$P184)-AD184</f>
        <v>750886.234301755</v>
      </c>
      <c r="AI184" s="22" t="n">
        <f aca="false">($A184=Premissas!$C$16)*0.2*Premissas!$C$11+AND($A184&gt;Premissas!$C$16,$A184&lt;=EDATE(Premissas!$C$16,43))*0.8*Premissas!$C$11/43*(1+Premissas!$C$56)^$C184</f>
        <v>0</v>
      </c>
      <c r="AJ184" s="22" t="n">
        <f aca="false">L184-M184-N184-AI184</f>
        <v>2320.3035053261</v>
      </c>
      <c r="AK184" s="22" t="n">
        <f aca="false">AK183+AJ184</f>
        <v>-142809.6467443</v>
      </c>
      <c r="AL184" s="22" t="n">
        <f aca="false">IF($A184&gt;=Premissas!$C$18,O184*(1-Premissas!$C$45)-Premissas!$C$46*MAX(0,O184*(1-Premissas!$C$45)-(SUM($AI$5:$AI$355)+Premissas!$C$26*Premissas!$C$60)),"")</f>
        <v>622105.509721285</v>
      </c>
      <c r="AM184" s="22" t="n">
        <f aca="false">IF($A184&gt;=Premissas!$C$18,AK184+AL184,"")</f>
        <v>479295.862976985</v>
      </c>
      <c r="AN184" s="22" t="n">
        <f aca="false">AN183*(1+$P184)-AJ184</f>
        <v>766929.246910677</v>
      </c>
      <c r="AO184" s="22" t="n">
        <f aca="false">V184+S184</f>
        <v>567427.809057487</v>
      </c>
    </row>
    <row r="185" customFormat="false" ht="15" hidden="false" customHeight="false" outlineLevel="0" collapsed="false">
      <c r="A185" s="26" t="n">
        <f aca="false">DATE(YEAR(A184),MONTH(A184)+1,1)</f>
        <v>51775</v>
      </c>
      <c r="B185" s="22" t="str">
        <f aca="false">IF($A185&lt;Premissas!$C$18,"Obra",IF($A185&lt;Premissas!$C$20,"Entrega/mobília","Airbnb"))</f>
        <v>Airbnb</v>
      </c>
      <c r="C185" s="36" t="n">
        <f aca="false">(YEAR($A185)-YEAR(Premissas!$C$16))*12+MONTH($A185)-MONTH(Premissas!$C$16)</f>
        <v>180</v>
      </c>
      <c r="D185" s="33" t="n">
        <f aca="false">IF($A185&gt;=Premissas!$C$20,Premissas!$C$31*IF(((YEAR($A185)-YEAR(Premissas!$C$20))*12+MONTH($A185)-MONTH(Premissas!$C$20))&lt;Premissas!$C$33,Premissas!$C$34,1),0)</f>
        <v>0.62</v>
      </c>
      <c r="E185" s="22" t="n">
        <f aca="false">D185*Premissas!$C$30*Premissas!$C$32*(1+Premissas!$C$58)^$C185</f>
        <v>8374.38730060723</v>
      </c>
      <c r="F185" s="22" t="n">
        <f aca="false">E185*Premissas!$C$35</f>
        <v>1339.90196809716</v>
      </c>
      <c r="G185" s="22" t="n">
        <f aca="false">E185*Premissas!$C$36</f>
        <v>1674.87746012145</v>
      </c>
      <c r="H185" s="22" t="n">
        <f aca="false">IF($A185&gt;=Premissas!$C$18,Premissas!$C$37*(1+Premissas!$C$58)^$C185,0)</f>
        <v>1080.56610330416</v>
      </c>
      <c r="I185" s="22" t="n">
        <f aca="false">IF($A185&gt;=Premissas!$C$20,Premissas!$C$38*(1+Premissas!$C$58)^$C185,0)</f>
        <v>504.264181541941</v>
      </c>
      <c r="J185" s="22" t="n">
        <f aca="false">IF($A185&gt;=Premissas!$C$20,Premissas!$C$39*(1+Premissas!$C$58)^$C185,0)</f>
        <v>270.14152582604</v>
      </c>
      <c r="K185" s="22" t="n">
        <f aca="false">IF($A185&gt;=Premissas!$C$20,MAX(0,E185-F185-G185-H185)*Premissas!$C$41,0)</f>
        <v>1176.73648649823</v>
      </c>
      <c r="L185" s="22" t="n">
        <f aca="false">E185-F185-G185-H185-I185-J185-K185</f>
        <v>2327.89957521826</v>
      </c>
      <c r="M185" s="22" t="n">
        <f aca="false">($A185=Premissas!$C$18)*Premissas!$C$26*Premissas!$C$60</f>
        <v>0</v>
      </c>
      <c r="N185" s="22" t="n">
        <f aca="false">IF(AND($A185&gt;=Premissas!$C$18,$A185&lt;Premissas!$C$20),Premissas!$C$27/MAX(1,Premissas!$C$19),0)</f>
        <v>0</v>
      </c>
      <c r="O185" s="22" t="n">
        <f aca="false">IF($A185&gt;=Premissas!$C$18,Premissas!$C$60*(1+Premissas!$C$59)^((YEAR($A185)-YEAR(Premissas!$C$18))*12+MONTH($A185)-MONTH(Premissas!$C$18)),"")</f>
        <v>715636.626721683</v>
      </c>
      <c r="P185" s="31" t="n">
        <f aca="false">(1+IF(YEAR($A185)&lt;=2026,Premissas!$C$49,IF(YEAR($A185)=2027,Premissas!$C$50,IF(YEAR($A185)=2028,Premissas!$C$51,Premissas!$C$52)))*(1-Premissas!$C$53))^(1/12)-1</f>
        <v>0.00682149336596227</v>
      </c>
      <c r="Q185" s="22" t="n">
        <f aca="false">($A185=Premissas!$C$16)*Premissas!$C$13</f>
        <v>0</v>
      </c>
      <c r="R185" s="22" t="n">
        <f aca="false">L185-M185-N185-Q185</f>
        <v>2327.89957521826</v>
      </c>
      <c r="S185" s="22" t="n">
        <f aca="false">S184+R185</f>
        <v>-56068.7978709949</v>
      </c>
      <c r="T185" s="22" t="n">
        <f aca="false">IF($A185&gt;=Premissas!$C$18,O185*(1-Premissas!$C$45)-Premissas!$C$46*MAX(0,O185*(1-Premissas!$C$45)-(SUM($Q$5:$Q$355)+Premissas!$C$26*Premissas!$C$60)),"")</f>
        <v>611763.67309737</v>
      </c>
      <c r="U185" s="22" t="n">
        <f aca="false">IF($A185&gt;=Premissas!$C$18,S185+T185,"")</f>
        <v>555694.875226376</v>
      </c>
      <c r="V185" s="22" t="n">
        <f aca="false">V184*(1+$P185)-R185</f>
        <v>627765.664647853</v>
      </c>
      <c r="W185" s="22" t="n">
        <f aca="false">($A185=Premissas!$C$16)*Premissas!$C$9</f>
        <v>0</v>
      </c>
      <c r="X185" s="22" t="n">
        <f aca="false">L185-M185-N185-W185</f>
        <v>2327.89957521826</v>
      </c>
      <c r="Y185" s="22" t="n">
        <f aca="false">Y184+X185</f>
        <v>-86996.7978709947</v>
      </c>
      <c r="Z185" s="22" t="n">
        <f aca="false">IF($A185&gt;=Premissas!$C$18,O185*(1-Premissas!$C$45)-Premissas!$C$46*MAX(0,O185*(1-Premissas!$C$45)-(SUM($W$5:$W$355)+Premissas!$C$26*Premissas!$C$60)),"")</f>
        <v>616402.87309737</v>
      </c>
      <c r="AA185" s="22" t="n">
        <f aca="false">IF($A185&gt;=Premissas!$C$18,Y185+Z185,"")</f>
        <v>529406.075226376</v>
      </c>
      <c r="AB185" s="22" t="n">
        <f aca="false">AB184*(1+$P185)-X185</f>
        <v>736369.183134731</v>
      </c>
      <c r="AC185" s="22" t="n">
        <f aca="false">AND($A185&gt;=Premissas!$C$16,$A185&lt;EDATE(Premissas!$C$16,3))*Premissas!$C$10/3*(1+Premissas!$C$56)^$C185</f>
        <v>0</v>
      </c>
      <c r="AD185" s="22" t="n">
        <f aca="false">L185-M185-N185-AC185</f>
        <v>2327.89957521826</v>
      </c>
      <c r="AE185" s="22" t="n">
        <f aca="false">AE184+AD185</f>
        <v>-94617.2617510195</v>
      </c>
      <c r="AF185" s="22" t="n">
        <f aca="false">IF($A185&gt;=Premissas!$C$18,O185*(1-Premissas!$C$45)-Premissas!$C$46*MAX(0,O185*(1-Premissas!$C$45)-(SUM($AC$5:$AC$355)+Premissas!$C$26*Premissas!$C$60)),"")</f>
        <v>617545.942679374</v>
      </c>
      <c r="AG185" s="22" t="n">
        <f aca="false">IF($A185&gt;=Premissas!$C$18,AE185+AF185,"")</f>
        <v>522928.680928355</v>
      </c>
      <c r="AH185" s="22" t="n">
        <f aca="false">AH184*(1+$P185)-AD185</f>
        <v>753680.500192419</v>
      </c>
      <c r="AI185" s="22" t="n">
        <f aca="false">($A185=Premissas!$C$16)*0.2*Premissas!$C$11+AND($A185&gt;Premissas!$C$16,$A185&lt;=EDATE(Premissas!$C$16,43))*0.8*Premissas!$C$11/43*(1+Premissas!$C$56)^$C185</f>
        <v>0</v>
      </c>
      <c r="AJ185" s="22" t="n">
        <f aca="false">L185-M185-N185-AI185</f>
        <v>2327.89957521826</v>
      </c>
      <c r="AK185" s="22" t="n">
        <f aca="false">AK184+AJ185</f>
        <v>-140481.747169081</v>
      </c>
      <c r="AL185" s="22" t="n">
        <f aca="false">IF($A185&gt;=Premissas!$C$18,O185*(1-Premissas!$C$45)-Premissas!$C$46*MAX(0,O185*(1-Premissas!$C$45)-(SUM($AI$5:$AI$355)+Premissas!$C$26*Premissas!$C$60)),"")</f>
        <v>624425.615492083</v>
      </c>
      <c r="AM185" s="22" t="n">
        <f aca="false">IF($A185&gt;=Premissas!$C$18,AK185+AL185,"")</f>
        <v>483943.868323002</v>
      </c>
      <c r="AN185" s="22" t="n">
        <f aca="false">AN184*(1+$P185)-AJ185</f>
        <v>769832.950105422</v>
      </c>
      <c r="AO185" s="22" t="n">
        <f aca="false">V185+S185</f>
        <v>571696.866776858</v>
      </c>
    </row>
    <row r="186" customFormat="false" ht="15" hidden="false" customHeight="false" outlineLevel="0" collapsed="false">
      <c r="A186" s="26" t="n">
        <f aca="false">DATE(YEAR(A185),MONTH(A185)+1,1)</f>
        <v>51806</v>
      </c>
      <c r="B186" s="22" t="str">
        <f aca="false">IF($A186&lt;Premissas!$C$18,"Obra",IF($A186&lt;Premissas!$C$20,"Entrega/mobília","Airbnb"))</f>
        <v>Airbnb</v>
      </c>
      <c r="C186" s="36" t="n">
        <f aca="false">(YEAR($A186)-YEAR(Premissas!$C$16))*12+MONTH($A186)-MONTH(Premissas!$C$16)</f>
        <v>181</v>
      </c>
      <c r="D186" s="33" t="n">
        <f aca="false">IF($A186&gt;=Premissas!$C$20,Premissas!$C$31*IF(((YEAR($A186)-YEAR(Premissas!$C$20))*12+MONTH($A186)-MONTH(Premissas!$C$20))&lt;Premissas!$C$33,Premissas!$C$34,1),0)</f>
        <v>0.62</v>
      </c>
      <c r="E186" s="22" t="n">
        <f aca="false">D186*Premissas!$C$30*Premissas!$C$32*(1+Premissas!$C$58)^$C186</f>
        <v>8401.80286546477</v>
      </c>
      <c r="F186" s="22" t="n">
        <f aca="false">E186*Premissas!$C$35</f>
        <v>1344.28845847436</v>
      </c>
      <c r="G186" s="22" t="n">
        <f aca="false">E186*Premissas!$C$36</f>
        <v>1680.36057309295</v>
      </c>
      <c r="H186" s="22" t="n">
        <f aca="false">IF($A186&gt;=Premissas!$C$18,Premissas!$C$37*(1+Premissas!$C$58)^$C186,0)</f>
        <v>1084.10359554384</v>
      </c>
      <c r="I186" s="22" t="n">
        <f aca="false">IF($A186&gt;=Premissas!$C$20,Premissas!$C$38*(1+Premissas!$C$58)^$C186,0)</f>
        <v>505.915011253793</v>
      </c>
      <c r="J186" s="22" t="n">
        <f aca="false">IF($A186&gt;=Premissas!$C$20,Premissas!$C$39*(1+Premissas!$C$58)^$C186,0)</f>
        <v>271.02589888596</v>
      </c>
      <c r="K186" s="22" t="n">
        <f aca="false">IF($A186&gt;=Premissas!$C$20,MAX(0,E186-F186-G186-H186)*Premissas!$C$41,0)</f>
        <v>1180.58881554724</v>
      </c>
      <c r="L186" s="22" t="n">
        <f aca="false">E186-F186-G186-H186-I186-J186-K186</f>
        <v>2335.52051266662</v>
      </c>
      <c r="M186" s="22" t="n">
        <f aca="false">($A186=Premissas!$C$18)*Premissas!$C$26*Premissas!$C$60</f>
        <v>0</v>
      </c>
      <c r="N186" s="22" t="n">
        <f aca="false">IF(AND($A186&gt;=Premissas!$C$18,$A186&lt;Premissas!$C$20),Premissas!$C$27/MAX(1,Premissas!$C$19),0)</f>
        <v>0</v>
      </c>
      <c r="O186" s="22" t="n">
        <f aca="false">IF($A186&gt;=Premissas!$C$18,Premissas!$C$60*(1+Premissas!$C$59)^((YEAR($A186)-YEAR(Premissas!$C$18))*12+MONTH($A186)-MONTH(Premissas!$C$18)),"")</f>
        <v>718552.218923059</v>
      </c>
      <c r="P186" s="31" t="n">
        <f aca="false">(1+IF(YEAR($A186)&lt;=2026,Premissas!$C$49,IF(YEAR($A186)=2027,Premissas!$C$50,IF(YEAR($A186)=2028,Premissas!$C$51,Premissas!$C$52)))*(1-Premissas!$C$53))^(1/12)-1</f>
        <v>0.00682149336596227</v>
      </c>
      <c r="Q186" s="22" t="n">
        <f aca="false">($A186=Premissas!$C$16)*Premissas!$C$13</f>
        <v>0</v>
      </c>
      <c r="R186" s="22" t="n">
        <f aca="false">L186-M186-N186-Q186</f>
        <v>2335.52051266662</v>
      </c>
      <c r="S186" s="22" t="n">
        <f aca="false">S185+R186</f>
        <v>-53733.2773583282</v>
      </c>
      <c r="T186" s="22" t="n">
        <f aca="false">IF($A186&gt;=Premissas!$C$18,O186*(1-Premissas!$C$45)-Premissas!$C$46*MAX(0,O186*(1-Premissas!$C$45)-(SUM($Q$5:$Q$355)+Premissas!$C$26*Premissas!$C$60)),"")</f>
        <v>614093.23126627</v>
      </c>
      <c r="U186" s="22" t="n">
        <f aca="false">IF($A186&gt;=Premissas!$C$18,S186+T186,"")</f>
        <v>560359.953907942</v>
      </c>
      <c r="V186" s="22" t="n">
        <f aca="false">V185*(1+$P186)-R186</f>
        <v>629712.443451961</v>
      </c>
      <c r="W186" s="22" t="n">
        <f aca="false">($A186=Premissas!$C$16)*Premissas!$C$9</f>
        <v>0</v>
      </c>
      <c r="X186" s="22" t="n">
        <f aca="false">L186-M186-N186-W186</f>
        <v>2335.52051266662</v>
      </c>
      <c r="Y186" s="22" t="n">
        <f aca="false">Y185+X186</f>
        <v>-84661.2773583281</v>
      </c>
      <c r="Z186" s="22" t="n">
        <f aca="false">IF($A186&gt;=Premissas!$C$18,O186*(1-Premissas!$C$45)-Premissas!$C$46*MAX(0,O186*(1-Premissas!$C$45)-(SUM($W$5:$W$355)+Premissas!$C$26*Premissas!$C$60)),"")</f>
        <v>618732.43126627</v>
      </c>
      <c r="AA186" s="22" t="n">
        <f aca="false">IF($A186&gt;=Premissas!$C$18,Y186+Z186,"")</f>
        <v>534071.153907942</v>
      </c>
      <c r="AB186" s="22" t="n">
        <f aca="false">AB185*(1+$P186)-X186</f>
        <v>739056.800119717</v>
      </c>
      <c r="AC186" s="22" t="n">
        <f aca="false">AND($A186&gt;=Premissas!$C$16,$A186&lt;EDATE(Premissas!$C$16,3))*Premissas!$C$10/3*(1+Premissas!$C$56)^$C186</f>
        <v>0</v>
      </c>
      <c r="AD186" s="22" t="n">
        <f aca="false">L186-M186-N186-AC186</f>
        <v>2335.52051266662</v>
      </c>
      <c r="AE186" s="22" t="n">
        <f aca="false">AE185+AD186</f>
        <v>-92281.7412383529</v>
      </c>
      <c r="AF186" s="22" t="n">
        <f aca="false">IF($A186&gt;=Premissas!$C$18,O186*(1-Premissas!$C$45)-Premissas!$C$46*MAX(0,O186*(1-Premissas!$C$45)-(SUM($AC$5:$AC$355)+Premissas!$C$26*Premissas!$C$60)),"")</f>
        <v>619875.500848274</v>
      </c>
      <c r="AG186" s="22" t="n">
        <f aca="false">IF($A186&gt;=Premissas!$C$18,AE186+AF186,"")</f>
        <v>527593.759609921</v>
      </c>
      <c r="AH186" s="22" t="n">
        <f aca="false">AH185*(1+$P186)-AD186</f>
        <v>756486.20621187</v>
      </c>
      <c r="AI186" s="22" t="n">
        <f aca="false">($A186=Premissas!$C$16)*0.2*Premissas!$C$11+AND($A186&gt;Premissas!$C$16,$A186&lt;=EDATE(Premissas!$C$16,43))*0.8*Premissas!$C$11/43*(1+Premissas!$C$56)^$C186</f>
        <v>0</v>
      </c>
      <c r="AJ186" s="22" t="n">
        <f aca="false">L186-M186-N186-AI186</f>
        <v>2335.52051266662</v>
      </c>
      <c r="AK186" s="22" t="n">
        <f aca="false">AK185+AJ186</f>
        <v>-138146.226656415</v>
      </c>
      <c r="AL186" s="22" t="n">
        <f aca="false">IF($A186&gt;=Premissas!$C$18,O186*(1-Premissas!$C$45)-Premissas!$C$46*MAX(0,O186*(1-Premissas!$C$45)-(SUM($AI$5:$AI$355)+Premissas!$C$26*Premissas!$C$60)),"")</f>
        <v>626755.173660983</v>
      </c>
      <c r="AM186" s="22" t="n">
        <f aca="false">IF($A186&gt;=Premissas!$C$18,AK186+AL186,"")</f>
        <v>488608.947004569</v>
      </c>
      <c r="AN186" s="22" t="n">
        <f aca="false">AN185*(1+$P186)-AJ186</f>
        <v>772748.839954799</v>
      </c>
      <c r="AO186" s="22" t="n">
        <f aca="false">V186+S186</f>
        <v>575979.166093633</v>
      </c>
    </row>
    <row r="187" customFormat="false" ht="15" hidden="false" customHeight="false" outlineLevel="0" collapsed="false">
      <c r="A187" s="26" t="n">
        <f aca="false">DATE(YEAR(A186),MONTH(A186)+1,1)</f>
        <v>51836</v>
      </c>
      <c r="B187" s="22" t="str">
        <f aca="false">IF($A187&lt;Premissas!$C$18,"Obra",IF($A187&lt;Premissas!$C$20,"Entrega/mobília","Airbnb"))</f>
        <v>Airbnb</v>
      </c>
      <c r="C187" s="36" t="n">
        <f aca="false">(YEAR($A187)-YEAR(Premissas!$C$16))*12+MONTH($A187)-MONTH(Premissas!$C$16)</f>
        <v>182</v>
      </c>
      <c r="D187" s="33" t="n">
        <f aca="false">IF($A187&gt;=Premissas!$C$20,Premissas!$C$31*IF(((YEAR($A187)-YEAR(Premissas!$C$20))*12+MONTH($A187)-MONTH(Premissas!$C$20))&lt;Premissas!$C$33,Premissas!$C$34,1),0)</f>
        <v>0.62</v>
      </c>
      <c r="E187" s="22" t="n">
        <f aca="false">D187*Premissas!$C$30*Premissas!$C$32*(1+Premissas!$C$58)^$C187</f>
        <v>8429.30818174764</v>
      </c>
      <c r="F187" s="22" t="n">
        <f aca="false">E187*Premissas!$C$35</f>
        <v>1348.68930907962</v>
      </c>
      <c r="G187" s="22" t="n">
        <f aca="false">E187*Premissas!$C$36</f>
        <v>1685.86163634953</v>
      </c>
      <c r="H187" s="22" t="n">
        <f aca="false">IF($A187&gt;=Premissas!$C$18,Premissas!$C$37*(1+Premissas!$C$58)^$C187,0)</f>
        <v>1087.6526686126</v>
      </c>
      <c r="I187" s="22" t="n">
        <f aca="false">IF($A187&gt;=Premissas!$C$20,Premissas!$C$38*(1+Premissas!$C$58)^$C187,0)</f>
        <v>507.571245352546</v>
      </c>
      <c r="J187" s="22" t="n">
        <f aca="false">IF($A187&gt;=Premissas!$C$20,Premissas!$C$39*(1+Premissas!$C$58)^$C187,0)</f>
        <v>271.91316715315</v>
      </c>
      <c r="K187" s="22" t="n">
        <f aca="false">IF($A187&gt;=Premissas!$C$20,MAX(0,E187-F187-G187-H187)*Premissas!$C$41,0)</f>
        <v>1184.45375611912</v>
      </c>
      <c r="L187" s="22" t="n">
        <f aca="false">E187-F187-G187-H187-I187-J187-K187</f>
        <v>2343.16639908108</v>
      </c>
      <c r="M187" s="22" t="n">
        <f aca="false">($A187=Premissas!$C$18)*Premissas!$C$26*Premissas!$C$60</f>
        <v>0</v>
      </c>
      <c r="N187" s="22" t="n">
        <f aca="false">IF(AND($A187&gt;=Premissas!$C$18,$A187&lt;Premissas!$C$20),Premissas!$C$27/MAX(1,Premissas!$C$19),0)</f>
        <v>0</v>
      </c>
      <c r="O187" s="22" t="n">
        <f aca="false">IF($A187&gt;=Premissas!$C$18,Premissas!$C$60*(1+Premissas!$C$59)^((YEAR($A187)-YEAR(Premissas!$C$18))*12+MONTH($A187)-MONTH(Premissas!$C$18)),"")</f>
        <v>721479.689607967</v>
      </c>
      <c r="P187" s="31" t="n">
        <f aca="false">(1+IF(YEAR($A187)&lt;=2026,Premissas!$C$49,IF(YEAR($A187)=2027,Premissas!$C$50,IF(YEAR($A187)=2028,Premissas!$C$51,Premissas!$C$52)))*(1-Premissas!$C$53))^(1/12)-1</f>
        <v>0.00682149336596227</v>
      </c>
      <c r="Q187" s="22" t="n">
        <f aca="false">($A187=Premissas!$C$16)*Premissas!$C$13</f>
        <v>0</v>
      </c>
      <c r="R187" s="22" t="n">
        <f aca="false">L187-M187-N187-Q187</f>
        <v>2343.16639908108</v>
      </c>
      <c r="S187" s="22" t="n">
        <f aca="false">S186+R187</f>
        <v>-51390.1109592472</v>
      </c>
      <c r="T187" s="22" t="n">
        <f aca="false">IF($A187&gt;=Premissas!$C$18,O187*(1-Premissas!$C$45)-Premissas!$C$46*MAX(0,O187*(1-Premissas!$C$45)-(SUM($Q$5:$Q$355)+Premissas!$C$26*Premissas!$C$60)),"")</f>
        <v>616432.280343512</v>
      </c>
      <c r="U187" s="22" t="n">
        <f aca="false">IF($A187&gt;=Premissas!$C$18,S187+T187,"")</f>
        <v>565042.169384265</v>
      </c>
      <c r="V187" s="22" t="n">
        <f aca="false">V186*(1+$P187)-R187</f>
        <v>631664.856308351</v>
      </c>
      <c r="W187" s="22" t="n">
        <f aca="false">($A187=Premissas!$C$16)*Premissas!$C$9</f>
        <v>0</v>
      </c>
      <c r="X187" s="22" t="n">
        <f aca="false">L187-M187-N187-W187</f>
        <v>2343.16639908108</v>
      </c>
      <c r="Y187" s="22" t="n">
        <f aca="false">Y186+X187</f>
        <v>-82318.110959247</v>
      </c>
      <c r="Z187" s="22" t="n">
        <f aca="false">IF($A187&gt;=Premissas!$C$18,O187*(1-Premissas!$C$45)-Premissas!$C$46*MAX(0,O187*(1-Premissas!$C$45)-(SUM($W$5:$W$355)+Premissas!$C$26*Premissas!$C$60)),"")</f>
        <v>621071.480343512</v>
      </c>
      <c r="AA187" s="22" t="n">
        <f aca="false">IF($A187&gt;=Premissas!$C$18,Y187+Z187,"")</f>
        <v>538753.369384265</v>
      </c>
      <c r="AB187" s="22" t="n">
        <f aca="false">AB186*(1+$P187)-X187</f>
        <v>741755.104779722</v>
      </c>
      <c r="AC187" s="22" t="n">
        <f aca="false">AND($A187&gt;=Premissas!$C$16,$A187&lt;EDATE(Premissas!$C$16,3))*Premissas!$C$10/3*(1+Premissas!$C$56)^$C187</f>
        <v>0</v>
      </c>
      <c r="AD187" s="22" t="n">
        <f aca="false">L187-M187-N187-AC187</f>
        <v>2343.16639908108</v>
      </c>
      <c r="AE187" s="22" t="n">
        <f aca="false">AE186+AD187</f>
        <v>-89938.5748392718</v>
      </c>
      <c r="AF187" s="22" t="n">
        <f aca="false">IF($A187&gt;=Premissas!$C$18,O187*(1-Premissas!$C$45)-Premissas!$C$46*MAX(0,O187*(1-Premissas!$C$45)-(SUM($AC$5:$AC$355)+Premissas!$C$26*Premissas!$C$60)),"")</f>
        <v>622214.549925515</v>
      </c>
      <c r="AG187" s="22" t="n">
        <f aca="false">IF($A187&gt;=Premissas!$C$18,AE187+AF187,"")</f>
        <v>532275.975086244</v>
      </c>
      <c r="AH187" s="22" t="n">
        <f aca="false">AH186*(1+$P187)-AD187</f>
        <v>759303.405449905</v>
      </c>
      <c r="AI187" s="22" t="n">
        <f aca="false">($A187=Premissas!$C$16)*0.2*Premissas!$C$11+AND($A187&gt;Premissas!$C$16,$A187&lt;=EDATE(Premissas!$C$16,43))*0.8*Premissas!$C$11/43*(1+Premissas!$C$56)^$C187</f>
        <v>0</v>
      </c>
      <c r="AJ187" s="22" t="n">
        <f aca="false">L187-M187-N187-AI187</f>
        <v>2343.16639908108</v>
      </c>
      <c r="AK187" s="22" t="n">
        <f aca="false">AK186+AJ187</f>
        <v>-135803.060257334</v>
      </c>
      <c r="AL187" s="22" t="n">
        <f aca="false">IF($A187&gt;=Premissas!$C$18,O187*(1-Premissas!$C$45)-Premissas!$C$46*MAX(0,O187*(1-Premissas!$C$45)-(SUM($AI$5:$AI$355)+Premissas!$C$26*Premissas!$C$60)),"")</f>
        <v>629094.222738225</v>
      </c>
      <c r="AM187" s="22" t="n">
        <f aca="false">IF($A187&gt;=Premissas!$C$18,AK187+AL187,"")</f>
        <v>493291.162480891</v>
      </c>
      <c r="AN187" s="22" t="n">
        <f aca="false">AN186*(1+$P187)-AJ187</f>
        <v>775676.974641025</v>
      </c>
      <c r="AO187" s="22" t="n">
        <f aca="false">V187+S187</f>
        <v>580274.745349104</v>
      </c>
    </row>
    <row r="188" customFormat="false" ht="15" hidden="false" customHeight="false" outlineLevel="0" collapsed="false">
      <c r="A188" s="26" t="n">
        <f aca="false">DATE(YEAR(A187),MONTH(A187)+1,1)</f>
        <v>51867</v>
      </c>
      <c r="B188" s="22" t="str">
        <f aca="false">IF($A188&lt;Premissas!$C$18,"Obra",IF($A188&lt;Premissas!$C$20,"Entrega/mobília","Airbnb"))</f>
        <v>Airbnb</v>
      </c>
      <c r="C188" s="36" t="n">
        <f aca="false">(YEAR($A188)-YEAR(Premissas!$C$16))*12+MONTH($A188)-MONTH(Premissas!$C$16)</f>
        <v>183</v>
      </c>
      <c r="D188" s="33" t="n">
        <f aca="false">IF($A188&gt;=Premissas!$C$20,Premissas!$C$31*IF(((YEAR($A188)-YEAR(Premissas!$C$20))*12+MONTH($A188)-MONTH(Premissas!$C$20))&lt;Premissas!$C$33,Premissas!$C$34,1),0)</f>
        <v>0.62</v>
      </c>
      <c r="E188" s="22" t="n">
        <f aca="false">D188*Premissas!$C$30*Premissas!$C$32*(1+Premissas!$C$58)^$C188</f>
        <v>8456.90354327864</v>
      </c>
      <c r="F188" s="22" t="n">
        <f aca="false">E188*Premissas!$C$35</f>
        <v>1353.10456692458</v>
      </c>
      <c r="G188" s="22" t="n">
        <f aca="false">E188*Premissas!$C$36</f>
        <v>1691.38070865573</v>
      </c>
      <c r="H188" s="22" t="n">
        <f aca="false">IF($A188&gt;=Premissas!$C$18,Premissas!$C$37*(1+Premissas!$C$58)^$C188,0)</f>
        <v>1091.21336042305</v>
      </c>
      <c r="I188" s="22" t="n">
        <f aca="false">IF($A188&gt;=Premissas!$C$20,Premissas!$C$38*(1+Premissas!$C$58)^$C188,0)</f>
        <v>509.232901530757</v>
      </c>
      <c r="J188" s="22" t="n">
        <f aca="false">IF($A188&gt;=Premissas!$C$20,Premissas!$C$39*(1+Premissas!$C$58)^$C188,0)</f>
        <v>272.803340105763</v>
      </c>
      <c r="K188" s="22" t="n">
        <f aca="false">IF($A188&gt;=Premissas!$C$20,MAX(0,E188-F188-G188-H188)*Premissas!$C$41,0)</f>
        <v>1188.3313495007</v>
      </c>
      <c r="L188" s="22" t="n">
        <f aca="false">E188-F188-G188-H188-I188-J188-K188</f>
        <v>2350.83731613806</v>
      </c>
      <c r="M188" s="22" t="n">
        <f aca="false">($A188=Premissas!$C$18)*Premissas!$C$26*Premissas!$C$60</f>
        <v>0</v>
      </c>
      <c r="N188" s="22" t="n">
        <f aca="false">IF(AND($A188&gt;=Premissas!$C$18,$A188&lt;Premissas!$C$20),Premissas!$C$27/MAX(1,Premissas!$C$19),0)</f>
        <v>0</v>
      </c>
      <c r="O188" s="22" t="n">
        <f aca="false">IF($A188&gt;=Premissas!$C$18,Premissas!$C$60*(1+Premissas!$C$59)^((YEAR($A188)-YEAR(Premissas!$C$18))*12+MONTH($A188)-MONTH(Premissas!$C$18)),"")</f>
        <v>724419.087170818</v>
      </c>
      <c r="P188" s="31" t="n">
        <f aca="false">(1+IF(YEAR($A188)&lt;=2026,Premissas!$C$49,IF(YEAR($A188)=2027,Premissas!$C$50,IF(YEAR($A188)=2028,Premissas!$C$51,Premissas!$C$52)))*(1-Premissas!$C$53))^(1/12)-1</f>
        <v>0.00682149336596227</v>
      </c>
      <c r="Q188" s="22" t="n">
        <f aca="false">($A188=Premissas!$C$16)*Premissas!$C$13</f>
        <v>0</v>
      </c>
      <c r="R188" s="22" t="n">
        <f aca="false">L188-M188-N188-Q188</f>
        <v>2350.83731613806</v>
      </c>
      <c r="S188" s="22" t="n">
        <f aca="false">S187+R188</f>
        <v>-49039.2736431091</v>
      </c>
      <c r="T188" s="22" t="n">
        <f aca="false">IF($A188&gt;=Premissas!$C$18,O188*(1-Premissas!$C$45)-Premissas!$C$46*MAX(0,O188*(1-Premissas!$C$45)-(SUM($Q$5:$Q$355)+Premissas!$C$26*Premissas!$C$60)),"")</f>
        <v>618780.85899623</v>
      </c>
      <c r="U188" s="22" t="n">
        <f aca="false">IF($A188&gt;=Premissas!$C$18,S188+T188,"")</f>
        <v>569741.585353121</v>
      </c>
      <c r="V188" s="22" t="n">
        <f aca="false">V187*(1+$P188)-R188</f>
        <v>633622.916619032</v>
      </c>
      <c r="W188" s="22" t="n">
        <f aca="false">($A188=Premissas!$C$16)*Premissas!$C$9</f>
        <v>0</v>
      </c>
      <c r="X188" s="22" t="n">
        <f aca="false">L188-M188-N188-W188</f>
        <v>2350.83731613806</v>
      </c>
      <c r="Y188" s="22" t="n">
        <f aca="false">Y187+X188</f>
        <v>-79967.273643109</v>
      </c>
      <c r="Z188" s="22" t="n">
        <f aca="false">IF($A188&gt;=Premissas!$C$18,O188*(1-Premissas!$C$45)-Premissas!$C$46*MAX(0,O188*(1-Premissas!$C$45)-(SUM($W$5:$W$355)+Premissas!$C$26*Premissas!$C$60)),"")</f>
        <v>623420.05899623</v>
      </c>
      <c r="AA188" s="22" t="n">
        <f aca="false">IF($A188&gt;=Premissas!$C$18,Y188+Z188,"")</f>
        <v>543452.785353121</v>
      </c>
      <c r="AB188" s="22" t="n">
        <f aca="false">AB187*(1+$P188)-X188</f>
        <v>744464.144990007</v>
      </c>
      <c r="AC188" s="22" t="n">
        <f aca="false">AND($A188&gt;=Premissas!$C$16,$A188&lt;EDATE(Premissas!$C$16,3))*Premissas!$C$10/3*(1+Premissas!$C$56)^$C188</f>
        <v>0</v>
      </c>
      <c r="AD188" s="22" t="n">
        <f aca="false">L188-M188-N188-AC188</f>
        <v>2350.83731613806</v>
      </c>
      <c r="AE188" s="22" t="n">
        <f aca="false">AE187+AD188</f>
        <v>-87587.7375231338</v>
      </c>
      <c r="AF188" s="22" t="n">
        <f aca="false">IF($A188&gt;=Premissas!$C$18,O188*(1-Premissas!$C$45)-Premissas!$C$46*MAX(0,O188*(1-Premissas!$C$45)-(SUM($AC$5:$AC$355)+Premissas!$C$26*Premissas!$C$60)),"")</f>
        <v>624563.128578233</v>
      </c>
      <c r="AG188" s="22" t="n">
        <f aca="false">IF($A188&gt;=Premissas!$C$18,AE188+AF188,"")</f>
        <v>536975.3910551</v>
      </c>
      <c r="AH188" s="22" t="n">
        <f aca="false">AH187*(1+$P188)-AD188</f>
        <v>762132.151276796</v>
      </c>
      <c r="AI188" s="22" t="n">
        <f aca="false">($A188=Premissas!$C$16)*0.2*Premissas!$C$11+AND($A188&gt;Premissas!$C$16,$A188&lt;=EDATE(Premissas!$C$16,43))*0.8*Premissas!$C$11/43*(1+Premissas!$C$56)^$C188</f>
        <v>0</v>
      </c>
      <c r="AJ188" s="22" t="n">
        <f aca="false">L188-M188-N188-AI188</f>
        <v>2350.83731613806</v>
      </c>
      <c r="AK188" s="22" t="n">
        <f aca="false">AK187+AJ188</f>
        <v>-133452.222941196</v>
      </c>
      <c r="AL188" s="22" t="n">
        <f aca="false">IF($A188&gt;=Premissas!$C$18,O188*(1-Premissas!$C$45)-Premissas!$C$46*MAX(0,O188*(1-Premissas!$C$45)-(SUM($AI$5:$AI$355)+Premissas!$C$26*Premissas!$C$60)),"")</f>
        <v>631442.801390943</v>
      </c>
      <c r="AM188" s="22" t="n">
        <f aca="false">IF($A188&gt;=Premissas!$C$18,AK188+AL188,"")</f>
        <v>497990.578449747</v>
      </c>
      <c r="AN188" s="22" t="n">
        <f aca="false">AN187*(1+$P188)-AJ188</f>
        <v>778617.41266153</v>
      </c>
      <c r="AO188" s="22" t="n">
        <f aca="false">V188+S188</f>
        <v>584583.642975923</v>
      </c>
    </row>
    <row r="189" customFormat="false" ht="15" hidden="false" customHeight="false" outlineLevel="0" collapsed="false">
      <c r="A189" s="26" t="n">
        <f aca="false">DATE(YEAR(A188),MONTH(A188)+1,1)</f>
        <v>51898</v>
      </c>
      <c r="B189" s="22" t="str">
        <f aca="false">IF($A189&lt;Premissas!$C$18,"Obra",IF($A189&lt;Premissas!$C$20,"Entrega/mobília","Airbnb"))</f>
        <v>Airbnb</v>
      </c>
      <c r="C189" s="36" t="n">
        <f aca="false">(YEAR($A189)-YEAR(Premissas!$C$16))*12+MONTH($A189)-MONTH(Premissas!$C$16)</f>
        <v>184</v>
      </c>
      <c r="D189" s="33" t="n">
        <f aca="false">IF($A189&gt;=Premissas!$C$20,Premissas!$C$31*IF(((YEAR($A189)-YEAR(Premissas!$C$20))*12+MONTH($A189)-MONTH(Premissas!$C$20))&lt;Premissas!$C$33,Premissas!$C$34,1),0)</f>
        <v>0.62</v>
      </c>
      <c r="E189" s="22" t="n">
        <f aca="false">D189*Premissas!$C$30*Premissas!$C$32*(1+Premissas!$C$58)^$C189</f>
        <v>8484.58924484249</v>
      </c>
      <c r="F189" s="22" t="n">
        <f aca="false">E189*Premissas!$C$35</f>
        <v>1357.5342791748</v>
      </c>
      <c r="G189" s="22" t="n">
        <f aca="false">E189*Premissas!$C$36</f>
        <v>1696.9178489685</v>
      </c>
      <c r="H189" s="22" t="n">
        <f aca="false">IF($A189&gt;=Premissas!$C$18,Premissas!$C$37*(1+Premissas!$C$58)^$C189,0)</f>
        <v>1094.78570901193</v>
      </c>
      <c r="I189" s="22" t="n">
        <f aca="false">IF($A189&gt;=Premissas!$C$20,Premissas!$C$38*(1+Premissas!$C$58)^$C189,0)</f>
        <v>510.899997538903</v>
      </c>
      <c r="J189" s="22" t="n">
        <f aca="false">IF($A189&gt;=Premissas!$C$20,Premissas!$C$39*(1+Premissas!$C$58)^$C189,0)</f>
        <v>273.696427252984</v>
      </c>
      <c r="K189" s="22" t="n">
        <f aca="false">IF($A189&gt;=Premissas!$C$20,MAX(0,E189-F189-G189-H189)*Premissas!$C$41,0)</f>
        <v>1192.221637114</v>
      </c>
      <c r="L189" s="22" t="n">
        <f aca="false">E189-F189-G189-H189-I189-J189-K189</f>
        <v>2358.53334578138</v>
      </c>
      <c r="M189" s="22" t="n">
        <f aca="false">($A189=Premissas!$C$18)*Premissas!$C$26*Premissas!$C$60</f>
        <v>0</v>
      </c>
      <c r="N189" s="22" t="n">
        <f aca="false">IF(AND($A189&gt;=Premissas!$C$18,$A189&lt;Premissas!$C$20),Premissas!$C$27/MAX(1,Premissas!$C$19),0)</f>
        <v>0</v>
      </c>
      <c r="O189" s="22" t="n">
        <f aca="false">IF($A189&gt;=Premissas!$C$18,Premissas!$C$60*(1+Premissas!$C$59)^((YEAR($A189)-YEAR(Premissas!$C$18))*12+MONTH($A189)-MONTH(Premissas!$C$18)),"")</f>
        <v>727370.460203189</v>
      </c>
      <c r="P189" s="31" t="n">
        <f aca="false">(1+IF(YEAR($A189)&lt;=2026,Premissas!$C$49,IF(YEAR($A189)=2027,Premissas!$C$50,IF(YEAR($A189)=2028,Premissas!$C$51,Premissas!$C$52)))*(1-Premissas!$C$53))^(1/12)-1</f>
        <v>0.00682149336596227</v>
      </c>
      <c r="Q189" s="22" t="n">
        <f aca="false">($A189=Premissas!$C$16)*Premissas!$C$13</f>
        <v>0</v>
      </c>
      <c r="R189" s="22" t="n">
        <f aca="false">L189-M189-N189-Q189</f>
        <v>2358.53334578138</v>
      </c>
      <c r="S189" s="22" t="n">
        <f aca="false">S188+R189</f>
        <v>-46680.7402973277</v>
      </c>
      <c r="T189" s="22" t="n">
        <f aca="false">IF($A189&gt;=Premissas!$C$18,O189*(1-Premissas!$C$45)-Premissas!$C$46*MAX(0,O189*(1-Premissas!$C$45)-(SUM($Q$5:$Q$355)+Premissas!$C$26*Premissas!$C$60)),"")</f>
        <v>621139.006049095</v>
      </c>
      <c r="U189" s="22" t="n">
        <f aca="false">IF($A189&gt;=Premissas!$C$18,S189+T189,"")</f>
        <v>574458.265751767</v>
      </c>
      <c r="V189" s="22" t="n">
        <f aca="false">V188*(1+$P189)-R189</f>
        <v>635586.637795489</v>
      </c>
      <c r="W189" s="22" t="n">
        <f aca="false">($A189=Premissas!$C$16)*Premissas!$C$9</f>
        <v>0</v>
      </c>
      <c r="X189" s="22" t="n">
        <f aca="false">L189-M189-N189-W189</f>
        <v>2358.53334578138</v>
      </c>
      <c r="Y189" s="22" t="n">
        <f aca="false">Y188+X189</f>
        <v>-77608.7402973276</v>
      </c>
      <c r="Z189" s="22" t="n">
        <f aca="false">IF($A189&gt;=Premissas!$C$18,O189*(1-Premissas!$C$45)-Premissas!$C$46*MAX(0,O189*(1-Premissas!$C$45)-(SUM($W$5:$W$355)+Premissas!$C$26*Premissas!$C$60)),"")</f>
        <v>625778.206049095</v>
      </c>
      <c r="AA189" s="22" t="n">
        <f aca="false">IF($A189&gt;=Premissas!$C$18,Y189+Z189,"")</f>
        <v>548169.465751767</v>
      </c>
      <c r="AB189" s="22" t="n">
        <f aca="false">AB188*(1+$P189)-X189</f>
        <v>747183.968870472</v>
      </c>
      <c r="AC189" s="22" t="n">
        <f aca="false">AND($A189&gt;=Premissas!$C$16,$A189&lt;EDATE(Premissas!$C$16,3))*Premissas!$C$10/3*(1+Premissas!$C$56)^$C189</f>
        <v>0</v>
      </c>
      <c r="AD189" s="22" t="n">
        <f aca="false">L189-M189-N189-AC189</f>
        <v>2358.53334578138</v>
      </c>
      <c r="AE189" s="22" t="n">
        <f aca="false">AE188+AD189</f>
        <v>-85229.2041773524</v>
      </c>
      <c r="AF189" s="22" t="n">
        <f aca="false">IF($A189&gt;=Premissas!$C$18,O189*(1-Premissas!$C$45)-Premissas!$C$46*MAX(0,O189*(1-Premissas!$C$45)-(SUM($AC$5:$AC$355)+Premissas!$C$26*Premissas!$C$60)),"")</f>
        <v>626921.275631098</v>
      </c>
      <c r="AG189" s="22" t="n">
        <f aca="false">IF($A189&gt;=Premissas!$C$18,AE189+AF189,"")</f>
        <v>541692.071453746</v>
      </c>
      <c r="AH189" s="22" t="n">
        <f aca="false">AH188*(1+$P189)-AD189</f>
        <v>764972.497344936</v>
      </c>
      <c r="AI189" s="22" t="n">
        <f aca="false">($A189=Premissas!$C$16)*0.2*Premissas!$C$11+AND($A189&gt;Premissas!$C$16,$A189&lt;=EDATE(Premissas!$C$16,43))*0.8*Premissas!$C$11/43*(1+Premissas!$C$56)^$C189</f>
        <v>0</v>
      </c>
      <c r="AJ189" s="22" t="n">
        <f aca="false">L189-M189-N189-AI189</f>
        <v>2358.53334578138</v>
      </c>
      <c r="AK189" s="22" t="n">
        <f aca="false">AK188+AJ189</f>
        <v>-131093.689595414</v>
      </c>
      <c r="AL189" s="22" t="n">
        <f aca="false">IF($A189&gt;=Premissas!$C$18,O189*(1-Premissas!$C$45)-Premissas!$C$46*MAX(0,O189*(1-Premissas!$C$45)-(SUM($AI$5:$AI$355)+Premissas!$C$26*Premissas!$C$60)),"")</f>
        <v>633800.948443808</v>
      </c>
      <c r="AM189" s="22" t="n">
        <f aca="false">IF($A189&gt;=Premissas!$C$18,AK189+AL189,"")</f>
        <v>502707.258848393</v>
      </c>
      <c r="AN189" s="22" t="n">
        <f aca="false">AN188*(1+$P189)-AJ189</f>
        <v>781570.212830842</v>
      </c>
      <c r="AO189" s="22" t="n">
        <f aca="false">V189+S189</f>
        <v>588905.897498161</v>
      </c>
    </row>
    <row r="190" customFormat="false" ht="15" hidden="false" customHeight="false" outlineLevel="0" collapsed="false">
      <c r="A190" s="26" t="n">
        <f aca="false">DATE(YEAR(A189),MONTH(A189)+1,1)</f>
        <v>51926</v>
      </c>
      <c r="B190" s="22" t="str">
        <f aca="false">IF($A190&lt;Premissas!$C$18,"Obra",IF($A190&lt;Premissas!$C$20,"Entrega/mobília","Airbnb"))</f>
        <v>Airbnb</v>
      </c>
      <c r="C190" s="36" t="n">
        <f aca="false">(YEAR($A190)-YEAR(Premissas!$C$16))*12+MONTH($A190)-MONTH(Premissas!$C$16)</f>
        <v>185</v>
      </c>
      <c r="D190" s="33" t="n">
        <f aca="false">IF($A190&gt;=Premissas!$C$20,Premissas!$C$31*IF(((YEAR($A190)-YEAR(Premissas!$C$20))*12+MONTH($A190)-MONTH(Premissas!$C$20))&lt;Premissas!$C$33,Premissas!$C$34,1),0)</f>
        <v>0.62</v>
      </c>
      <c r="E190" s="22" t="n">
        <f aca="false">D190*Premissas!$C$30*Premissas!$C$32*(1+Premissas!$C$58)^$C190</f>
        <v>8512.36558218895</v>
      </c>
      <c r="F190" s="22" t="n">
        <f aca="false">E190*Premissas!$C$35</f>
        <v>1361.97849315023</v>
      </c>
      <c r="G190" s="22" t="n">
        <f aca="false">E190*Premissas!$C$36</f>
        <v>1702.47311643779</v>
      </c>
      <c r="H190" s="22" t="n">
        <f aca="false">IF($A190&gt;=Premissas!$C$18,Premissas!$C$37*(1+Premissas!$C$58)^$C190,0)</f>
        <v>1098.36975254051</v>
      </c>
      <c r="I190" s="22" t="n">
        <f aca="false">IF($A190&gt;=Premissas!$C$20,Premissas!$C$38*(1+Premissas!$C$58)^$C190,0)</f>
        <v>512.572551185571</v>
      </c>
      <c r="J190" s="22" t="n">
        <f aca="false">IF($A190&gt;=Premissas!$C$20,Premissas!$C$39*(1+Premissas!$C$58)^$C190,0)</f>
        <v>274.592438135127</v>
      </c>
      <c r="K190" s="22" t="n">
        <f aca="false">IF($A190&gt;=Premissas!$C$20,MAX(0,E190-F190-G190-H190)*Premissas!$C$41,0)</f>
        <v>1196.12466051661</v>
      </c>
      <c r="L190" s="22" t="n">
        <f aca="false">E190-F190-G190-H190-I190-J190-K190</f>
        <v>2366.2545702231</v>
      </c>
      <c r="M190" s="22" t="n">
        <f aca="false">($A190=Premissas!$C$18)*Premissas!$C$26*Premissas!$C$60</f>
        <v>0</v>
      </c>
      <c r="N190" s="22" t="n">
        <f aca="false">IF(AND($A190&gt;=Premissas!$C$18,$A190&lt;Premissas!$C$20),Premissas!$C$27/MAX(1,Premissas!$C$19),0)</f>
        <v>0</v>
      </c>
      <c r="O190" s="22" t="n">
        <f aca="false">IF($A190&gt;=Premissas!$C$18,Premissas!$C$60*(1+Premissas!$C$59)^((YEAR($A190)-YEAR(Premissas!$C$18))*12+MONTH($A190)-MONTH(Premissas!$C$18)),"")</f>
        <v>730333.857494627</v>
      </c>
      <c r="P190" s="31" t="n">
        <f aca="false">(1+IF(YEAR($A190)&lt;=2026,Premissas!$C$49,IF(YEAR($A190)=2027,Premissas!$C$50,IF(YEAR($A190)=2028,Premissas!$C$51,Premissas!$C$52)))*(1-Premissas!$C$53))^(1/12)-1</f>
        <v>0.00682149336596227</v>
      </c>
      <c r="Q190" s="22" t="n">
        <f aca="false">($A190=Premissas!$C$16)*Premissas!$C$13</f>
        <v>0</v>
      </c>
      <c r="R190" s="22" t="n">
        <f aca="false">L190-M190-N190-Q190</f>
        <v>2366.2545702231</v>
      </c>
      <c r="S190" s="22" t="n">
        <f aca="false">S189+R190</f>
        <v>-44314.4857271046</v>
      </c>
      <c r="T190" s="22" t="n">
        <f aca="false">IF($A190&gt;=Premissas!$C$18,O190*(1-Premissas!$C$45)-Premissas!$C$46*MAX(0,O190*(1-Premissas!$C$45)-(SUM($Q$5:$Q$355)+Premissas!$C$26*Premissas!$C$60)),"")</f>
        <v>623506.760484953</v>
      </c>
      <c r="U190" s="22" t="n">
        <f aca="false">IF($A190&gt;=Premissas!$C$18,S190+T190,"")</f>
        <v>579192.274757848</v>
      </c>
      <c r="V190" s="22" t="n">
        <f aca="false">V189*(1+$P190)-R190</f>
        <v>637556.033258482</v>
      </c>
      <c r="W190" s="22" t="n">
        <f aca="false">($A190=Premissas!$C$16)*Premissas!$C$9</f>
        <v>0</v>
      </c>
      <c r="X190" s="22" t="n">
        <f aca="false">L190-M190-N190-W190</f>
        <v>2366.2545702231</v>
      </c>
      <c r="Y190" s="22" t="n">
        <f aca="false">Y189+X190</f>
        <v>-75242.4857271045</v>
      </c>
      <c r="Z190" s="22" t="n">
        <f aca="false">IF($A190&gt;=Premissas!$C$18,O190*(1-Premissas!$C$45)-Premissas!$C$46*MAX(0,O190*(1-Premissas!$C$45)-(SUM($W$5:$W$355)+Premissas!$C$26*Premissas!$C$60)),"")</f>
        <v>628145.960484953</v>
      </c>
      <c r="AA190" s="22" t="n">
        <f aca="false">IF($A190&gt;=Premissas!$C$18,Y190+Z190,"")</f>
        <v>552903.474757848</v>
      </c>
      <c r="AB190" s="22" t="n">
        <f aca="false">AB189*(1+$P190)-X190</f>
        <v>749914.624787052</v>
      </c>
      <c r="AC190" s="22" t="n">
        <f aca="false">AND($A190&gt;=Premissas!$C$16,$A190&lt;EDATE(Premissas!$C$16,3))*Premissas!$C$10/3*(1+Premissas!$C$56)^$C190</f>
        <v>0</v>
      </c>
      <c r="AD190" s="22" t="n">
        <f aca="false">L190-M190-N190-AC190</f>
        <v>2366.2545702231</v>
      </c>
      <c r="AE190" s="22" t="n">
        <f aca="false">AE189+AD190</f>
        <v>-82862.9496071293</v>
      </c>
      <c r="AF190" s="22" t="n">
        <f aca="false">IF($A190&gt;=Premissas!$C$18,O190*(1-Premissas!$C$45)-Premissas!$C$46*MAX(0,O190*(1-Premissas!$C$45)-(SUM($AC$5:$AC$355)+Premissas!$C$26*Premissas!$C$60)),"")</f>
        <v>629289.030066956</v>
      </c>
      <c r="AG190" s="22" t="n">
        <f aca="false">IF($A190&gt;=Premissas!$C$18,AE190+AF190,"")</f>
        <v>546426.080459827</v>
      </c>
      <c r="AH190" s="22" t="n">
        <f aca="false">AH189*(1+$P190)-AD190</f>
        <v>767824.497590495</v>
      </c>
      <c r="AI190" s="22" t="n">
        <f aca="false">($A190=Premissas!$C$16)*0.2*Premissas!$C$11+AND($A190&gt;Premissas!$C$16,$A190&lt;=EDATE(Premissas!$C$16,43))*0.8*Premissas!$C$11/43*(1+Premissas!$C$56)^$C190</f>
        <v>0</v>
      </c>
      <c r="AJ190" s="22" t="n">
        <f aca="false">L190-M190-N190-AI190</f>
        <v>2366.2545702231</v>
      </c>
      <c r="AK190" s="22" t="n">
        <f aca="false">AK189+AJ190</f>
        <v>-128727.435025191</v>
      </c>
      <c r="AL190" s="22" t="n">
        <f aca="false">IF($A190&gt;=Premissas!$C$18,O190*(1-Premissas!$C$45)-Premissas!$C$46*MAX(0,O190*(1-Premissas!$C$45)-(SUM($AI$5:$AI$355)+Premissas!$C$26*Premissas!$C$60)),"")</f>
        <v>636168.702879666</v>
      </c>
      <c r="AM190" s="22" t="n">
        <f aca="false">IF($A190&gt;=Premissas!$C$18,AK190+AL190,"")</f>
        <v>507441.267854475</v>
      </c>
      <c r="AN190" s="22" t="n">
        <f aca="false">AN189*(1+$P190)-AJ190</f>
        <v>784535.434282478</v>
      </c>
      <c r="AO190" s="22" t="n">
        <f aca="false">V190+S190</f>
        <v>593241.547531378</v>
      </c>
    </row>
    <row r="191" customFormat="false" ht="15" hidden="false" customHeight="false" outlineLevel="0" collapsed="false">
      <c r="A191" s="26" t="n">
        <f aca="false">DATE(YEAR(A190),MONTH(A190)+1,1)</f>
        <v>51957</v>
      </c>
      <c r="B191" s="22" t="str">
        <f aca="false">IF($A191&lt;Premissas!$C$18,"Obra",IF($A191&lt;Premissas!$C$20,"Entrega/mobília","Airbnb"))</f>
        <v>Airbnb</v>
      </c>
      <c r="C191" s="36" t="n">
        <f aca="false">(YEAR($A191)-YEAR(Premissas!$C$16))*12+MONTH($A191)-MONTH(Premissas!$C$16)</f>
        <v>186</v>
      </c>
      <c r="D191" s="33" t="n">
        <f aca="false">IF($A191&gt;=Premissas!$C$20,Premissas!$C$31*IF(((YEAR($A191)-YEAR(Premissas!$C$20))*12+MONTH($A191)-MONTH(Premissas!$C$20))&lt;Premissas!$C$33,Premissas!$C$34,1),0)</f>
        <v>0.62</v>
      </c>
      <c r="E191" s="22" t="n">
        <f aca="false">D191*Premissas!$C$30*Premissas!$C$32*(1+Premissas!$C$58)^$C191</f>
        <v>8540.23285203598</v>
      </c>
      <c r="F191" s="22" t="n">
        <f aca="false">E191*Premissas!$C$35</f>
        <v>1366.43725632576</v>
      </c>
      <c r="G191" s="22" t="n">
        <f aca="false">E191*Premissas!$C$36</f>
        <v>1708.0465704072</v>
      </c>
      <c r="H191" s="22" t="n">
        <f aca="false">IF($A191&gt;=Premissas!$C$18,Premissas!$C$37*(1+Premissas!$C$58)^$C191,0)</f>
        <v>1101.96552929497</v>
      </c>
      <c r="I191" s="22" t="n">
        <f aca="false">IF($A191&gt;=Premissas!$C$20,Premissas!$C$38*(1+Premissas!$C$58)^$C191,0)</f>
        <v>514.250580337651</v>
      </c>
      <c r="J191" s="22" t="n">
        <f aca="false">IF($A191&gt;=Premissas!$C$20,Premissas!$C$39*(1+Premissas!$C$58)^$C191,0)</f>
        <v>275.491382323741</v>
      </c>
      <c r="K191" s="22" t="n">
        <f aca="false">IF($A191&gt;=Premissas!$C$20,MAX(0,E191-F191-G191-H191)*Premissas!$C$41,0)</f>
        <v>1200.04046140222</v>
      </c>
      <c r="L191" s="22" t="n">
        <f aca="false">E191-F191-G191-H191-I191-J191-K191</f>
        <v>2374.00107194445</v>
      </c>
      <c r="M191" s="22" t="n">
        <f aca="false">($A191=Premissas!$C$18)*Premissas!$C$26*Premissas!$C$60</f>
        <v>0</v>
      </c>
      <c r="N191" s="22" t="n">
        <f aca="false">IF(AND($A191&gt;=Premissas!$C$18,$A191&lt;Premissas!$C$20),Premissas!$C$27/MAX(1,Premissas!$C$19),0)</f>
        <v>0</v>
      </c>
      <c r="O191" s="22" t="n">
        <f aca="false">IF($A191&gt;=Premissas!$C$18,Premissas!$C$60*(1+Premissas!$C$59)^((YEAR($A191)-YEAR(Premissas!$C$18))*12+MONTH($A191)-MONTH(Premissas!$C$18)),"")</f>
        <v>733309.328033449</v>
      </c>
      <c r="P191" s="31" t="n">
        <f aca="false">(1+IF(YEAR($A191)&lt;=2026,Premissas!$C$49,IF(YEAR($A191)=2027,Premissas!$C$50,IF(YEAR($A191)=2028,Premissas!$C$51,Premissas!$C$52)))*(1-Premissas!$C$53))^(1/12)-1</f>
        <v>0.00682149336596227</v>
      </c>
      <c r="Q191" s="22" t="n">
        <f aca="false">($A191=Premissas!$C$16)*Premissas!$C$13</f>
        <v>0</v>
      </c>
      <c r="R191" s="22" t="n">
        <f aca="false">L191-M191-N191-Q191</f>
        <v>2374.00107194445</v>
      </c>
      <c r="S191" s="22" t="n">
        <f aca="false">S190+R191</f>
        <v>-41940.4846551602</v>
      </c>
      <c r="T191" s="22" t="n">
        <f aca="false">IF($A191&gt;=Premissas!$C$18,O191*(1-Premissas!$C$45)-Premissas!$C$46*MAX(0,O191*(1-Premissas!$C$45)-(SUM($Q$5:$Q$355)+Premissas!$C$26*Premissas!$C$60)),"")</f>
        <v>625884.161445472</v>
      </c>
      <c r="U191" s="22" t="n">
        <f aca="false">IF($A191&gt;=Premissas!$C$18,S191+T191,"")</f>
        <v>583943.676790312</v>
      </c>
      <c r="V191" s="22" t="n">
        <f aca="false">V190*(1+$P191)-R191</f>
        <v>639531.11643784</v>
      </c>
      <c r="W191" s="22" t="n">
        <f aca="false">($A191=Premissas!$C$16)*Premissas!$C$9</f>
        <v>0</v>
      </c>
      <c r="X191" s="22" t="n">
        <f aca="false">L191-M191-N191-W191</f>
        <v>2374.00107194445</v>
      </c>
      <c r="Y191" s="22" t="n">
        <f aca="false">Y190+X191</f>
        <v>-72868.48465516</v>
      </c>
      <c r="Z191" s="22" t="n">
        <f aca="false">IF($A191&gt;=Premissas!$C$18,O191*(1-Premissas!$C$45)-Premissas!$C$46*MAX(0,O191*(1-Premissas!$C$45)-(SUM($W$5:$W$355)+Premissas!$C$26*Premissas!$C$60)),"")</f>
        <v>630523.361445472</v>
      </c>
      <c r="AA191" s="22" t="n">
        <f aca="false">IF($A191&gt;=Premissas!$C$18,Y191+Z191,"")</f>
        <v>557654.876790312</v>
      </c>
      <c r="AB191" s="22" t="n">
        <f aca="false">AB190*(1+$P191)-X191</f>
        <v>752656.16135313</v>
      </c>
      <c r="AC191" s="22" t="n">
        <f aca="false">AND($A191&gt;=Premissas!$C$16,$A191&lt;EDATE(Premissas!$C$16,3))*Premissas!$C$10/3*(1+Premissas!$C$56)^$C191</f>
        <v>0</v>
      </c>
      <c r="AD191" s="22" t="n">
        <f aca="false">L191-M191-N191-AC191</f>
        <v>2374.00107194445</v>
      </c>
      <c r="AE191" s="22" t="n">
        <f aca="false">AE190+AD191</f>
        <v>-80488.9485351848</v>
      </c>
      <c r="AF191" s="22" t="n">
        <f aca="false">IF($A191&gt;=Premissas!$C$18,O191*(1-Premissas!$C$45)-Premissas!$C$46*MAX(0,O191*(1-Premissas!$C$45)-(SUM($AC$5:$AC$355)+Premissas!$C$26*Premissas!$C$60)),"")</f>
        <v>631666.431027476</v>
      </c>
      <c r="AG191" s="22" t="n">
        <f aca="false">IF($A191&gt;=Premissas!$C$18,AE191+AF191,"")</f>
        <v>551177.482492291</v>
      </c>
      <c r="AH191" s="22" t="n">
        <f aca="false">AH190*(1+$P191)-AD191</f>
        <v>770688.206235087</v>
      </c>
      <c r="AI191" s="22" t="n">
        <f aca="false">($A191=Premissas!$C$16)*0.2*Premissas!$C$11+AND($A191&gt;Premissas!$C$16,$A191&lt;=EDATE(Premissas!$C$16,43))*0.8*Premissas!$C$11/43*(1+Premissas!$C$56)^$C191</f>
        <v>0</v>
      </c>
      <c r="AJ191" s="22" t="n">
        <f aca="false">L191-M191-N191-AI191</f>
        <v>2374.00107194445</v>
      </c>
      <c r="AK191" s="22" t="n">
        <f aca="false">AK190+AJ191</f>
        <v>-126353.433953247</v>
      </c>
      <c r="AL191" s="22" t="n">
        <f aca="false">IF($A191&gt;=Premissas!$C$18,O191*(1-Premissas!$C$45)-Premissas!$C$46*MAX(0,O191*(1-Premissas!$C$45)-(SUM($AI$5:$AI$355)+Premissas!$C$26*Premissas!$C$60)),"")</f>
        <v>638546.103840185</v>
      </c>
      <c r="AM191" s="22" t="n">
        <f aca="false">IF($A191&gt;=Premissas!$C$18,AK191+AL191,"")</f>
        <v>512192.669886938</v>
      </c>
      <c r="AN191" s="22" t="n">
        <f aca="false">AN190*(1+$P191)-AJ191</f>
        <v>787513.136470854</v>
      </c>
      <c r="AO191" s="22" t="n">
        <f aca="false">V191+S191</f>
        <v>597590.631782679</v>
      </c>
    </row>
    <row r="192" customFormat="false" ht="15" hidden="false" customHeight="false" outlineLevel="0" collapsed="false">
      <c r="A192" s="26" t="n">
        <f aca="false">DATE(YEAR(A191),MONTH(A191)+1,1)</f>
        <v>51987</v>
      </c>
      <c r="B192" s="22" t="str">
        <f aca="false">IF($A192&lt;Premissas!$C$18,"Obra",IF($A192&lt;Premissas!$C$20,"Entrega/mobília","Airbnb"))</f>
        <v>Airbnb</v>
      </c>
      <c r="C192" s="36" t="n">
        <f aca="false">(YEAR($A192)-YEAR(Premissas!$C$16))*12+MONTH($A192)-MONTH(Premissas!$C$16)</f>
        <v>187</v>
      </c>
      <c r="D192" s="33" t="n">
        <f aca="false">IF($A192&gt;=Premissas!$C$20,Premissas!$C$31*IF(((YEAR($A192)-YEAR(Premissas!$C$20))*12+MONTH($A192)-MONTH(Premissas!$C$20))&lt;Premissas!$C$33,Premissas!$C$34,1),0)</f>
        <v>0.62</v>
      </c>
      <c r="E192" s="22" t="n">
        <f aca="false">D192*Premissas!$C$30*Premissas!$C$32*(1+Premissas!$C$58)^$C192</f>
        <v>8568.19135207293</v>
      </c>
      <c r="F192" s="22" t="n">
        <f aca="false">E192*Premissas!$C$35</f>
        <v>1370.91061633167</v>
      </c>
      <c r="G192" s="22" t="n">
        <f aca="false">E192*Premissas!$C$36</f>
        <v>1713.63827041459</v>
      </c>
      <c r="H192" s="22" t="n">
        <f aca="false">IF($A192&gt;=Premissas!$C$18,Premissas!$C$37*(1+Premissas!$C$58)^$C192,0)</f>
        <v>1105.57307768683</v>
      </c>
      <c r="I192" s="22" t="n">
        <f aca="false">IF($A192&gt;=Premissas!$C$20,Premissas!$C$38*(1+Premissas!$C$58)^$C192,0)</f>
        <v>515.934102920521</v>
      </c>
      <c r="J192" s="22" t="n">
        <f aca="false">IF($A192&gt;=Premissas!$C$20,Premissas!$C$39*(1+Premissas!$C$58)^$C192,0)</f>
        <v>276.393269421708</v>
      </c>
      <c r="K192" s="22" t="n">
        <f aca="false">IF($A192&gt;=Premissas!$C$20,MAX(0,E192-F192-G192-H192)*Premissas!$C$41,0)</f>
        <v>1203.96908160096</v>
      </c>
      <c r="L192" s="22" t="n">
        <f aca="false">E192-F192-G192-H192-I192-J192-K192</f>
        <v>2381.77293369666</v>
      </c>
      <c r="M192" s="22" t="n">
        <f aca="false">($A192=Premissas!$C$18)*Premissas!$C$26*Premissas!$C$60</f>
        <v>0</v>
      </c>
      <c r="N192" s="22" t="n">
        <f aca="false">IF(AND($A192&gt;=Premissas!$C$18,$A192&lt;Premissas!$C$20),Premissas!$C$27/MAX(1,Premissas!$C$19),0)</f>
        <v>0</v>
      </c>
      <c r="O192" s="22" t="n">
        <f aca="false">IF($A192&gt;=Premissas!$C$18,Premissas!$C$60*(1+Premissas!$C$59)^((YEAR($A192)-YEAR(Premissas!$C$18))*12+MONTH($A192)-MONTH(Premissas!$C$18)),"")</f>
        <v>736296.921007561</v>
      </c>
      <c r="P192" s="31" t="n">
        <f aca="false">(1+IF(YEAR($A192)&lt;=2026,Premissas!$C$49,IF(YEAR($A192)=2027,Premissas!$C$50,IF(YEAR($A192)=2028,Premissas!$C$51,Premissas!$C$52)))*(1-Premissas!$C$53))^(1/12)-1</f>
        <v>0.00682149336596227</v>
      </c>
      <c r="Q192" s="22" t="n">
        <f aca="false">($A192=Premissas!$C$16)*Premissas!$C$13</f>
        <v>0</v>
      </c>
      <c r="R192" s="22" t="n">
        <f aca="false">L192-M192-N192-Q192</f>
        <v>2381.77293369666</v>
      </c>
      <c r="S192" s="22" t="n">
        <f aca="false">S191+R192</f>
        <v>-39558.7117214635</v>
      </c>
      <c r="T192" s="22" t="n">
        <f aca="false">IF($A192&gt;=Premissas!$C$18,O192*(1-Premissas!$C$45)-Premissas!$C$46*MAX(0,O192*(1-Premissas!$C$45)-(SUM($Q$5:$Q$355)+Premissas!$C$26*Premissas!$C$60)),"")</f>
        <v>628271.248231788</v>
      </c>
      <c r="U192" s="22" t="n">
        <f aca="false">IF($A192&gt;=Premissas!$C$18,S192+T192,"")</f>
        <v>588712.536510324</v>
      </c>
      <c r="V192" s="22" t="n">
        <f aca="false">V191*(1+$P192)-R192</f>
        <v>641511.90077225</v>
      </c>
      <c r="W192" s="22" t="n">
        <f aca="false">($A192=Premissas!$C$16)*Premissas!$C$9</f>
        <v>0</v>
      </c>
      <c r="X192" s="22" t="n">
        <f aca="false">L192-M192-N192-W192</f>
        <v>2381.77293369666</v>
      </c>
      <c r="Y192" s="22" t="n">
        <f aca="false">Y191+X192</f>
        <v>-70486.7117214634</v>
      </c>
      <c r="Z192" s="22" t="n">
        <f aca="false">IF($A192&gt;=Premissas!$C$18,O192*(1-Premissas!$C$45)-Premissas!$C$46*MAX(0,O192*(1-Premissas!$C$45)-(SUM($W$5:$W$355)+Premissas!$C$26*Premissas!$C$60)),"")</f>
        <v>632910.448231788</v>
      </c>
      <c r="AA192" s="22" t="n">
        <f aca="false">IF($A192&gt;=Premissas!$C$18,Y192+Z192,"")</f>
        <v>562423.736510324</v>
      </c>
      <c r="AB192" s="22" t="n">
        <f aca="false">AB191*(1+$P192)-X192</f>
        <v>755408.627430955</v>
      </c>
      <c r="AC192" s="22" t="n">
        <f aca="false">AND($A192&gt;=Premissas!$C$16,$A192&lt;EDATE(Premissas!$C$16,3))*Premissas!$C$10/3*(1+Premissas!$C$56)^$C192</f>
        <v>0</v>
      </c>
      <c r="AD192" s="22" t="n">
        <f aca="false">L192-M192-N192-AC192</f>
        <v>2381.77293369666</v>
      </c>
      <c r="AE192" s="22" t="n">
        <f aca="false">AE191+AD192</f>
        <v>-78107.1756014882</v>
      </c>
      <c r="AF192" s="22" t="n">
        <f aca="false">IF($A192&gt;=Premissas!$C$18,O192*(1-Premissas!$C$45)-Premissas!$C$46*MAX(0,O192*(1-Premissas!$C$45)-(SUM($AC$5:$AC$355)+Premissas!$C$26*Premissas!$C$60)),"")</f>
        <v>634053.517813791</v>
      </c>
      <c r="AG192" s="22" t="n">
        <f aca="false">IF($A192&gt;=Premissas!$C$18,AE192+AF192,"")</f>
        <v>555946.342212303</v>
      </c>
      <c r="AH192" s="22" t="n">
        <f aca="false">AH191*(1+$P192)-AD192</f>
        <v>773563.677787449</v>
      </c>
      <c r="AI192" s="22" t="n">
        <f aca="false">($A192=Premissas!$C$16)*0.2*Premissas!$C$11+AND($A192&gt;Premissas!$C$16,$A192&lt;=EDATE(Premissas!$C$16,43))*0.8*Premissas!$C$11/43*(1+Premissas!$C$56)^$C192</f>
        <v>0</v>
      </c>
      <c r="AJ192" s="22" t="n">
        <f aca="false">L192-M192-N192-AI192</f>
        <v>2381.77293369666</v>
      </c>
      <c r="AK192" s="22" t="n">
        <f aca="false">AK191+AJ192</f>
        <v>-123971.66101955</v>
      </c>
      <c r="AL192" s="22" t="n">
        <f aca="false">IF($A192&gt;=Premissas!$C$18,O192*(1-Premissas!$C$45)-Premissas!$C$46*MAX(0,O192*(1-Premissas!$C$45)-(SUM($AI$5:$AI$355)+Premissas!$C$26*Premissas!$C$60)),"")</f>
        <v>640933.190626501</v>
      </c>
      <c r="AM192" s="22" t="n">
        <f aca="false">IF($A192&gt;=Premissas!$C$18,AK192+AL192,"")</f>
        <v>516961.52960695</v>
      </c>
      <c r="AN192" s="22" t="n">
        <f aca="false">AN191*(1+$P192)-AJ192</f>
        <v>790503.379173201</v>
      </c>
      <c r="AO192" s="22" t="n">
        <f aca="false">V192+S192</f>
        <v>601953.189050787</v>
      </c>
    </row>
    <row r="193" customFormat="false" ht="15" hidden="false" customHeight="false" outlineLevel="0" collapsed="false">
      <c r="A193" s="26" t="n">
        <f aca="false">DATE(YEAR(A192),MONTH(A192)+1,1)</f>
        <v>52018</v>
      </c>
      <c r="B193" s="22" t="str">
        <f aca="false">IF($A193&lt;Premissas!$C$18,"Obra",IF($A193&lt;Premissas!$C$20,"Entrega/mobília","Airbnb"))</f>
        <v>Airbnb</v>
      </c>
      <c r="C193" s="36" t="n">
        <f aca="false">(YEAR($A193)-YEAR(Premissas!$C$16))*12+MONTH($A193)-MONTH(Premissas!$C$16)</f>
        <v>188</v>
      </c>
      <c r="D193" s="33" t="n">
        <f aca="false">IF($A193&gt;=Premissas!$C$20,Premissas!$C$31*IF(((YEAR($A193)-YEAR(Premissas!$C$20))*12+MONTH($A193)-MONTH(Premissas!$C$20))&lt;Premissas!$C$33,Premissas!$C$34,1),0)</f>
        <v>0.62</v>
      </c>
      <c r="E193" s="22" t="n">
        <f aca="false">D193*Premissas!$C$30*Premissas!$C$32*(1+Premissas!$C$58)^$C193</f>
        <v>8596.24138096371</v>
      </c>
      <c r="F193" s="22" t="n">
        <f aca="false">E193*Premissas!$C$35</f>
        <v>1375.39862095419</v>
      </c>
      <c r="G193" s="22" t="n">
        <f aca="false">E193*Premissas!$C$36</f>
        <v>1719.24827619274</v>
      </c>
      <c r="H193" s="22" t="n">
        <f aca="false">IF($A193&gt;=Premissas!$C$18,Premissas!$C$37*(1+Premissas!$C$58)^$C193,0)</f>
        <v>1109.19243625338</v>
      </c>
      <c r="I193" s="22" t="n">
        <f aca="false">IF($A193&gt;=Premissas!$C$20,Premissas!$C$38*(1+Premissas!$C$58)^$C193,0)</f>
        <v>517.623136918245</v>
      </c>
      <c r="J193" s="22" t="n">
        <f aca="false">IF($A193&gt;=Premissas!$C$20,Premissas!$C$39*(1+Premissas!$C$58)^$C193,0)</f>
        <v>277.298109063345</v>
      </c>
      <c r="K193" s="22" t="n">
        <f aca="false">IF($A193&gt;=Premissas!$C$20,MAX(0,E193-F193-G193-H193)*Premissas!$C$41,0)</f>
        <v>1207.91056307993</v>
      </c>
      <c r="L193" s="22" t="n">
        <f aca="false">E193-F193-G193-H193-I193-J193-K193</f>
        <v>2389.57023850187</v>
      </c>
      <c r="M193" s="22" t="n">
        <f aca="false">($A193=Premissas!$C$18)*Premissas!$C$26*Premissas!$C$60</f>
        <v>0</v>
      </c>
      <c r="N193" s="22" t="n">
        <f aca="false">IF(AND($A193&gt;=Premissas!$C$18,$A193&lt;Premissas!$C$20),Premissas!$C$27/MAX(1,Premissas!$C$19),0)</f>
        <v>0</v>
      </c>
      <c r="O193" s="22" t="n">
        <f aca="false">IF($A193&gt;=Premissas!$C$18,Premissas!$C$60*(1+Premissas!$C$59)^((YEAR($A193)-YEAR(Premissas!$C$18))*12+MONTH($A193)-MONTH(Premissas!$C$18)),"")</f>
        <v>739296.685805265</v>
      </c>
      <c r="P193" s="31" t="n">
        <f aca="false">(1+IF(YEAR($A193)&lt;=2026,Premissas!$C$49,IF(YEAR($A193)=2027,Premissas!$C$50,IF(YEAR($A193)=2028,Premissas!$C$51,Premissas!$C$52)))*(1-Premissas!$C$53))^(1/12)-1</f>
        <v>0.00682149336596227</v>
      </c>
      <c r="Q193" s="22" t="n">
        <f aca="false">($A193=Premissas!$C$16)*Premissas!$C$13</f>
        <v>0</v>
      </c>
      <c r="R193" s="22" t="n">
        <f aca="false">L193-M193-N193-Q193</f>
        <v>2389.57023850187</v>
      </c>
      <c r="S193" s="22" t="n">
        <f aca="false">S192+R193</f>
        <v>-37169.1414829616</v>
      </c>
      <c r="T193" s="22" t="n">
        <f aca="false">IF($A193&gt;=Premissas!$C$18,O193*(1-Premissas!$C$45)-Premissas!$C$46*MAX(0,O193*(1-Premissas!$C$45)-(SUM($Q$5:$Q$355)+Premissas!$C$26*Premissas!$C$60)),"")</f>
        <v>630668.060305153</v>
      </c>
      <c r="U193" s="22" t="n">
        <f aca="false">IF($A193&gt;=Premissas!$C$18,S193+T193,"")</f>
        <v>593498.918822191</v>
      </c>
      <c r="V193" s="22" t="n">
        <f aca="false">V192*(1+$P193)-R193</f>
        <v>643498.399709052</v>
      </c>
      <c r="W193" s="22" t="n">
        <f aca="false">($A193=Premissas!$C$16)*Premissas!$C$9</f>
        <v>0</v>
      </c>
      <c r="X193" s="22" t="n">
        <f aca="false">L193-M193-N193-W193</f>
        <v>2389.57023850187</v>
      </c>
      <c r="Y193" s="22" t="n">
        <f aca="false">Y192+X193</f>
        <v>-68097.1414829615</v>
      </c>
      <c r="Z193" s="22" t="n">
        <f aca="false">IF($A193&gt;=Premissas!$C$18,O193*(1-Premissas!$C$45)-Premissas!$C$46*MAX(0,O193*(1-Premissas!$C$45)-(SUM($W$5:$W$355)+Premissas!$C$26*Premissas!$C$60)),"")</f>
        <v>635307.260305153</v>
      </c>
      <c r="AA193" s="22" t="n">
        <f aca="false">IF($A193&gt;=Premissas!$C$18,Y193+Z193,"")</f>
        <v>567210.118822192</v>
      </c>
      <c r="AB193" s="22" t="n">
        <f aca="false">AB192*(1+$P193)-X193</f>
        <v>758172.072133064</v>
      </c>
      <c r="AC193" s="22" t="n">
        <f aca="false">AND($A193&gt;=Premissas!$C$16,$A193&lt;EDATE(Premissas!$C$16,3))*Premissas!$C$10/3*(1+Premissas!$C$56)^$C193</f>
        <v>0</v>
      </c>
      <c r="AD193" s="22" t="n">
        <f aca="false">L193-M193-N193-AC193</f>
        <v>2389.57023850187</v>
      </c>
      <c r="AE193" s="22" t="n">
        <f aca="false">AE192+AD193</f>
        <v>-75717.6053629863</v>
      </c>
      <c r="AF193" s="22" t="n">
        <f aca="false">IF($A193&gt;=Premissas!$C$18,O193*(1-Premissas!$C$45)-Premissas!$C$46*MAX(0,O193*(1-Premissas!$C$45)-(SUM($AC$5:$AC$355)+Premissas!$C$26*Premissas!$C$60)),"")</f>
        <v>636450.329887157</v>
      </c>
      <c r="AG193" s="22" t="n">
        <f aca="false">IF($A193&gt;=Premissas!$C$18,AE193+AF193,"")</f>
        <v>560732.72452417</v>
      </c>
      <c r="AH193" s="22" t="n">
        <f aca="false">AH192*(1+$P193)-AD193</f>
        <v>776450.967045123</v>
      </c>
      <c r="AI193" s="22" t="n">
        <f aca="false">($A193=Premissas!$C$16)*0.2*Premissas!$C$11+AND($A193&gt;Premissas!$C$16,$A193&lt;=EDATE(Premissas!$C$16,43))*0.8*Premissas!$C$11/43*(1+Premissas!$C$56)^$C193</f>
        <v>0</v>
      </c>
      <c r="AJ193" s="22" t="n">
        <f aca="false">L193-M193-N193-AI193</f>
        <v>2389.57023850187</v>
      </c>
      <c r="AK193" s="22" t="n">
        <f aca="false">AK192+AJ193</f>
        <v>-121582.090781048</v>
      </c>
      <c r="AL193" s="22" t="n">
        <f aca="false">IF($A193&gt;=Premissas!$C$18,O193*(1-Premissas!$C$45)-Premissas!$C$46*MAX(0,O193*(1-Premissas!$C$45)-(SUM($AI$5:$AI$355)+Premissas!$C$26*Premissas!$C$60)),"")</f>
        <v>643330.002699866</v>
      </c>
      <c r="AM193" s="22" t="n">
        <f aca="false">IF($A193&gt;=Premissas!$C$18,AK193+AL193,"")</f>
        <v>521747.911918818</v>
      </c>
      <c r="AN193" s="22" t="n">
        <f aca="false">AN192*(1+$P193)-AJ193</f>
        <v>793506.2224915</v>
      </c>
      <c r="AO193" s="22" t="n">
        <f aca="false">V193+S193</f>
        <v>606329.258226091</v>
      </c>
    </row>
    <row r="194" customFormat="false" ht="15" hidden="false" customHeight="false" outlineLevel="0" collapsed="false">
      <c r="A194" s="26" t="n">
        <f aca="false">DATE(YEAR(A193),MONTH(A193)+1,1)</f>
        <v>52048</v>
      </c>
      <c r="B194" s="22" t="str">
        <f aca="false">IF($A194&lt;Premissas!$C$18,"Obra",IF($A194&lt;Premissas!$C$20,"Entrega/mobília","Airbnb"))</f>
        <v>Airbnb</v>
      </c>
      <c r="C194" s="36" t="n">
        <f aca="false">(YEAR($A194)-YEAR(Premissas!$C$16))*12+MONTH($A194)-MONTH(Premissas!$C$16)</f>
        <v>189</v>
      </c>
      <c r="D194" s="33" t="n">
        <f aca="false">IF($A194&gt;=Premissas!$C$20,Premissas!$C$31*IF(((YEAR($A194)-YEAR(Premissas!$C$20))*12+MONTH($A194)-MONTH(Premissas!$C$20))&lt;Premissas!$C$33,Premissas!$C$34,1),0)</f>
        <v>0.62</v>
      </c>
      <c r="E194" s="22" t="n">
        <f aca="false">D194*Premissas!$C$30*Premissas!$C$32*(1+Premissas!$C$58)^$C194</f>
        <v>8624.38323834995</v>
      </c>
      <c r="F194" s="22" t="n">
        <f aca="false">E194*Premissas!$C$35</f>
        <v>1379.90131813599</v>
      </c>
      <c r="G194" s="22" t="n">
        <f aca="false">E194*Premissas!$C$36</f>
        <v>1724.87664766999</v>
      </c>
      <c r="H194" s="22" t="n">
        <f aca="false">IF($A194&gt;=Premissas!$C$18,Premissas!$C$37*(1+Premissas!$C$58)^$C194,0)</f>
        <v>1112.82364365806</v>
      </c>
      <c r="I194" s="22" t="n">
        <f aca="false">IF($A194&gt;=Premissas!$C$20,Premissas!$C$38*(1+Premissas!$C$58)^$C194,0)</f>
        <v>519.317700373761</v>
      </c>
      <c r="J194" s="22" t="n">
        <f aca="false">IF($A194&gt;=Premissas!$C$20,Premissas!$C$39*(1+Premissas!$C$58)^$C194,0)</f>
        <v>278.205910914515</v>
      </c>
      <c r="K194" s="22" t="n">
        <f aca="false">IF($A194&gt;=Premissas!$C$20,MAX(0,E194-F194-G194-H194)*Premissas!$C$41,0)</f>
        <v>1211.86494794363</v>
      </c>
      <c r="L194" s="22" t="n">
        <f aca="false">E194-F194-G194-H194-I194-J194-K194</f>
        <v>2397.39306965401</v>
      </c>
      <c r="M194" s="22" t="n">
        <f aca="false">($A194=Premissas!$C$18)*Premissas!$C$26*Premissas!$C$60</f>
        <v>0</v>
      </c>
      <c r="N194" s="22" t="n">
        <f aca="false">IF(AND($A194&gt;=Premissas!$C$18,$A194&lt;Premissas!$C$20),Premissas!$C$27/MAX(1,Premissas!$C$19),0)</f>
        <v>0</v>
      </c>
      <c r="O194" s="22" t="n">
        <f aca="false">IF($A194&gt;=Premissas!$C$18,Premissas!$C$60*(1+Premissas!$C$59)^((YEAR($A194)-YEAR(Premissas!$C$18))*12+MONTH($A194)-MONTH(Premissas!$C$18)),"")</f>
        <v>742308.672016077</v>
      </c>
      <c r="P194" s="31" t="n">
        <f aca="false">(1+IF(YEAR($A194)&lt;=2026,Premissas!$C$49,IF(YEAR($A194)=2027,Premissas!$C$50,IF(YEAR($A194)=2028,Premissas!$C$51,Premissas!$C$52)))*(1-Premissas!$C$53))^(1/12)-1</f>
        <v>0.00682149336596227</v>
      </c>
      <c r="Q194" s="22" t="n">
        <f aca="false">($A194=Premissas!$C$16)*Premissas!$C$13</f>
        <v>0</v>
      </c>
      <c r="R194" s="22" t="n">
        <f aca="false">L194-M194-N194-Q194</f>
        <v>2397.39306965401</v>
      </c>
      <c r="S194" s="22" t="n">
        <f aca="false">S193+R194</f>
        <v>-34771.7484133076</v>
      </c>
      <c r="T194" s="22" t="n">
        <f aca="false">IF($A194&gt;=Premissas!$C$18,O194*(1-Premissas!$C$45)-Premissas!$C$46*MAX(0,O194*(1-Premissas!$C$45)-(SUM($Q$5:$Q$355)+Premissas!$C$26*Premissas!$C$60)),"")</f>
        <v>633074.637287592</v>
      </c>
      <c r="U194" s="22" t="n">
        <f aca="false">IF($A194&gt;=Premissas!$C$18,S194+T194,"")</f>
        <v>598302.888874284</v>
      </c>
      <c r="V194" s="22" t="n">
        <f aca="false">V193*(1+$P194)-R194</f>
        <v>645490.626704021</v>
      </c>
      <c r="W194" s="22" t="n">
        <f aca="false">($A194=Premissas!$C$16)*Premissas!$C$9</f>
        <v>0</v>
      </c>
      <c r="X194" s="22" t="n">
        <f aca="false">L194-M194-N194-W194</f>
        <v>2397.39306965401</v>
      </c>
      <c r="Y194" s="22" t="n">
        <f aca="false">Y193+X194</f>
        <v>-65699.7484133075</v>
      </c>
      <c r="Z194" s="22" t="n">
        <f aca="false">IF($A194&gt;=Premissas!$C$18,O194*(1-Premissas!$C$45)-Premissas!$C$46*MAX(0,O194*(1-Premissas!$C$45)-(SUM($W$5:$W$355)+Premissas!$C$26*Premissas!$C$60)),"")</f>
        <v>637713.837287592</v>
      </c>
      <c r="AA194" s="22" t="n">
        <f aca="false">IF($A194&gt;=Premissas!$C$18,Y194+Z194,"")</f>
        <v>572014.088874284</v>
      </c>
      <c r="AB194" s="22" t="n">
        <f aca="false">AB193*(1+$P194)-X194</f>
        <v>760946.544823723</v>
      </c>
      <c r="AC194" s="22" t="n">
        <f aca="false">AND($A194&gt;=Premissas!$C$16,$A194&lt;EDATE(Premissas!$C$16,3))*Premissas!$C$10/3*(1+Premissas!$C$56)^$C194</f>
        <v>0</v>
      </c>
      <c r="AD194" s="22" t="n">
        <f aca="false">L194-M194-N194-AC194</f>
        <v>2397.39306965401</v>
      </c>
      <c r="AE194" s="22" t="n">
        <f aca="false">AE193+AD194</f>
        <v>-73320.2122933323</v>
      </c>
      <c r="AF194" s="22" t="n">
        <f aca="false">IF($A194&gt;=Premissas!$C$18,O194*(1-Premissas!$C$45)-Premissas!$C$46*MAX(0,O194*(1-Premissas!$C$45)-(SUM($AC$5:$AC$355)+Premissas!$C$26*Premissas!$C$60)),"")</f>
        <v>638856.906869595</v>
      </c>
      <c r="AG194" s="22" t="n">
        <f aca="false">IF($A194&gt;=Premissas!$C$18,AE194+AF194,"")</f>
        <v>565536.694576263</v>
      </c>
      <c r="AH194" s="22" t="n">
        <f aca="false">AH193*(1+$P194)-AD194</f>
        <v>779350.129096163</v>
      </c>
      <c r="AI194" s="22" t="n">
        <f aca="false">($A194=Premissas!$C$16)*0.2*Premissas!$C$11+AND($A194&gt;Premissas!$C$16,$A194&lt;=EDATE(Premissas!$C$16,43))*0.8*Premissas!$C$11/43*(1+Premissas!$C$56)^$C194</f>
        <v>0</v>
      </c>
      <c r="AJ194" s="22" t="n">
        <f aca="false">L194-M194-N194-AI194</f>
        <v>2397.39306965401</v>
      </c>
      <c r="AK194" s="22" t="n">
        <f aca="false">AK193+AJ194</f>
        <v>-119184.697711394</v>
      </c>
      <c r="AL194" s="22" t="n">
        <f aca="false">IF($A194&gt;=Premissas!$C$18,O194*(1-Premissas!$C$45)-Premissas!$C$46*MAX(0,O194*(1-Premissas!$C$45)-(SUM($AI$5:$AI$355)+Premissas!$C$26*Premissas!$C$60)),"")</f>
        <v>645736.579682305</v>
      </c>
      <c r="AM194" s="22" t="n">
        <f aca="false">IF($A194&gt;=Premissas!$C$18,AK194+AL194,"")</f>
        <v>526551.88197091</v>
      </c>
      <c r="AN194" s="22" t="n">
        <f aca="false">AN193*(1+$P194)-AJ194</f>
        <v>796521.726854422</v>
      </c>
      <c r="AO194" s="22" t="n">
        <f aca="false">V194+S194</f>
        <v>610718.878290713</v>
      </c>
    </row>
    <row r="195" customFormat="false" ht="15" hidden="false" customHeight="false" outlineLevel="0" collapsed="false">
      <c r="A195" s="26" t="n">
        <f aca="false">DATE(YEAR(A194),MONTH(A194)+1,1)</f>
        <v>52079</v>
      </c>
      <c r="B195" s="22" t="str">
        <f aca="false">IF($A195&lt;Premissas!$C$18,"Obra",IF($A195&lt;Premissas!$C$20,"Entrega/mobília","Airbnb"))</f>
        <v>Airbnb</v>
      </c>
      <c r="C195" s="36" t="n">
        <f aca="false">(YEAR($A195)-YEAR(Premissas!$C$16))*12+MONTH($A195)-MONTH(Premissas!$C$16)</f>
        <v>190</v>
      </c>
      <c r="D195" s="33" t="n">
        <f aca="false">IF($A195&gt;=Premissas!$C$20,Premissas!$C$31*IF(((YEAR($A195)-YEAR(Premissas!$C$20))*12+MONTH($A195)-MONTH(Premissas!$C$20))&lt;Premissas!$C$33,Premissas!$C$34,1),0)</f>
        <v>0.62</v>
      </c>
      <c r="E195" s="22" t="n">
        <f aca="false">D195*Premissas!$C$30*Premissas!$C$32*(1+Premissas!$C$58)^$C195</f>
        <v>8652.61722485427</v>
      </c>
      <c r="F195" s="22" t="n">
        <f aca="false">E195*Premissas!$C$35</f>
        <v>1384.41875597668</v>
      </c>
      <c r="G195" s="22" t="n">
        <f aca="false">E195*Premissas!$C$36</f>
        <v>1730.52344497085</v>
      </c>
      <c r="H195" s="22" t="n">
        <f aca="false">IF($A195&gt;=Premissas!$C$18,Premissas!$C$37*(1+Premissas!$C$58)^$C195,0)</f>
        <v>1116.46673869087</v>
      </c>
      <c r="I195" s="22" t="n">
        <f aca="false">IF($A195&gt;=Premissas!$C$20,Premissas!$C$38*(1+Premissas!$C$58)^$C195,0)</f>
        <v>521.017811389074</v>
      </c>
      <c r="J195" s="22" t="n">
        <f aca="false">IF($A195&gt;=Premissas!$C$20,Premissas!$C$39*(1+Premissas!$C$58)^$C195,0)</f>
        <v>279.116684672718</v>
      </c>
      <c r="K195" s="22" t="n">
        <f aca="false">IF($A195&gt;=Premissas!$C$20,MAX(0,E195-F195-G195-H195)*Premissas!$C$41,0)</f>
        <v>1215.83227843436</v>
      </c>
      <c r="L195" s="22" t="n">
        <f aca="false">E195-F195-G195-H195-I195-J195-K195</f>
        <v>2405.24151071971</v>
      </c>
      <c r="M195" s="22" t="n">
        <f aca="false">($A195=Premissas!$C$18)*Premissas!$C$26*Premissas!$C$60</f>
        <v>0</v>
      </c>
      <c r="N195" s="22" t="n">
        <f aca="false">IF(AND($A195&gt;=Premissas!$C$18,$A195&lt;Premissas!$C$20),Premissas!$C$27/MAX(1,Premissas!$C$19),0)</f>
        <v>0</v>
      </c>
      <c r="O195" s="22" t="n">
        <f aca="false">IF($A195&gt;=Premissas!$C$18,Premissas!$C$60*(1+Premissas!$C$59)^((YEAR($A195)-YEAR(Premissas!$C$18))*12+MONTH($A195)-MONTH(Premissas!$C$18)),"")</f>
        <v>745332.929431546</v>
      </c>
      <c r="P195" s="31" t="n">
        <f aca="false">(1+IF(YEAR($A195)&lt;=2026,Premissas!$C$49,IF(YEAR($A195)=2027,Premissas!$C$50,IF(YEAR($A195)=2028,Premissas!$C$51,Premissas!$C$52)))*(1-Premissas!$C$53))^(1/12)-1</f>
        <v>0.00682149336596227</v>
      </c>
      <c r="Q195" s="22" t="n">
        <f aca="false">($A195=Premissas!$C$16)*Premissas!$C$13</f>
        <v>0</v>
      </c>
      <c r="R195" s="22" t="n">
        <f aca="false">L195-M195-N195-Q195</f>
        <v>2405.24151071971</v>
      </c>
      <c r="S195" s="22" t="n">
        <f aca="false">S194+R195</f>
        <v>-32366.5069025879</v>
      </c>
      <c r="T195" s="22" t="n">
        <f aca="false">IF($A195&gt;=Premissas!$C$18,O195*(1-Premissas!$C$45)-Premissas!$C$46*MAX(0,O195*(1-Premissas!$C$45)-(SUM($Q$5:$Q$355)+Premissas!$C$26*Premissas!$C$60)),"")</f>
        <v>635491.018962551</v>
      </c>
      <c r="U195" s="22" t="n">
        <f aca="false">IF($A195&gt;=Premissas!$C$18,S195+T195,"")</f>
        <v>603124.512059963</v>
      </c>
      <c r="V195" s="22" t="n">
        <f aca="false">V194*(1+$P195)-R195</f>
        <v>647488.595221153</v>
      </c>
      <c r="W195" s="22" t="n">
        <f aca="false">($A195=Premissas!$C$16)*Premissas!$C$9</f>
        <v>0</v>
      </c>
      <c r="X195" s="22" t="n">
        <f aca="false">L195-M195-N195-W195</f>
        <v>2405.24151071971</v>
      </c>
      <c r="Y195" s="22" t="n">
        <f aca="false">Y194+X195</f>
        <v>-63294.5069025878</v>
      </c>
      <c r="Z195" s="22" t="n">
        <f aca="false">IF($A195&gt;=Premissas!$C$18,O195*(1-Premissas!$C$45)-Premissas!$C$46*MAX(0,O195*(1-Premissas!$C$45)-(SUM($W$5:$W$355)+Premissas!$C$26*Premissas!$C$60)),"")</f>
        <v>640130.218962551</v>
      </c>
      <c r="AA195" s="22" t="n">
        <f aca="false">IF($A195&gt;=Premissas!$C$18,Y195+Z195,"")</f>
        <v>576835.712059964</v>
      </c>
      <c r="AB195" s="22" t="n">
        <f aca="false">AB194*(1+$P195)-X195</f>
        <v>763732.09512037</v>
      </c>
      <c r="AC195" s="22" t="n">
        <f aca="false">AND($A195&gt;=Premissas!$C$16,$A195&lt;EDATE(Premissas!$C$16,3))*Premissas!$C$10/3*(1+Premissas!$C$56)^$C195</f>
        <v>0</v>
      </c>
      <c r="AD195" s="22" t="n">
        <f aca="false">L195-M195-N195-AC195</f>
        <v>2405.24151071971</v>
      </c>
      <c r="AE195" s="22" t="n">
        <f aca="false">AE194+AD195</f>
        <v>-70914.9707826126</v>
      </c>
      <c r="AF195" s="22" t="n">
        <f aca="false">IF($A195&gt;=Premissas!$C$18,O195*(1-Premissas!$C$45)-Premissas!$C$46*MAX(0,O195*(1-Premissas!$C$45)-(SUM($AC$5:$AC$355)+Premissas!$C$26*Premissas!$C$60)),"")</f>
        <v>641273.288544555</v>
      </c>
      <c r="AG195" s="22" t="n">
        <f aca="false">IF($A195&gt;=Premissas!$C$18,AE195+AF195,"")</f>
        <v>570358.317761943</v>
      </c>
      <c r="AH195" s="22" t="n">
        <f aca="false">AH194*(1+$P195)-AD195</f>
        <v>782261.219320834</v>
      </c>
      <c r="AI195" s="22" t="n">
        <f aca="false">($A195=Premissas!$C$16)*0.2*Premissas!$C$11+AND($A195&gt;Premissas!$C$16,$A195&lt;=EDATE(Premissas!$C$16,43))*0.8*Premissas!$C$11/43*(1+Premissas!$C$56)^$C195</f>
        <v>0</v>
      </c>
      <c r="AJ195" s="22" t="n">
        <f aca="false">L195-M195-N195-AI195</f>
        <v>2405.24151071971</v>
      </c>
      <c r="AK195" s="22" t="n">
        <f aca="false">AK194+AJ195</f>
        <v>-116779.456200675</v>
      </c>
      <c r="AL195" s="22" t="n">
        <f aca="false">IF($A195&gt;=Premissas!$C$18,O195*(1-Premissas!$C$45)-Premissas!$C$46*MAX(0,O195*(1-Premissas!$C$45)-(SUM($AI$5:$AI$355)+Premissas!$C$26*Premissas!$C$60)),"")</f>
        <v>648152.961357264</v>
      </c>
      <c r="AM195" s="22" t="n">
        <f aca="false">IF($A195&gt;=Premissas!$C$18,AK195+AL195,"")</f>
        <v>531373.50515659</v>
      </c>
      <c r="AN195" s="22" t="n">
        <f aca="false">AN194*(1+$P195)-AJ195</f>
        <v>799549.953019284</v>
      </c>
      <c r="AO195" s="22" t="n">
        <f aca="false">V195+S195</f>
        <v>615122.088318565</v>
      </c>
    </row>
    <row r="196" customFormat="false" ht="15" hidden="false" customHeight="false" outlineLevel="0" collapsed="false">
      <c r="A196" s="26" t="n">
        <f aca="false">DATE(YEAR(A195),MONTH(A195)+1,1)</f>
        <v>52110</v>
      </c>
      <c r="B196" s="22" t="str">
        <f aca="false">IF($A196&lt;Premissas!$C$18,"Obra",IF($A196&lt;Premissas!$C$20,"Entrega/mobília","Airbnb"))</f>
        <v>Airbnb</v>
      </c>
      <c r="C196" s="36" t="n">
        <f aca="false">(YEAR($A196)-YEAR(Premissas!$C$16))*12+MONTH($A196)-MONTH(Premissas!$C$16)</f>
        <v>191</v>
      </c>
      <c r="D196" s="33" t="n">
        <f aca="false">IF($A196&gt;=Premissas!$C$20,Premissas!$C$31*IF(((YEAR($A196)-YEAR(Premissas!$C$20))*12+MONTH($A196)-MONTH(Premissas!$C$20))&lt;Premissas!$C$33,Premissas!$C$34,1),0)</f>
        <v>0.62</v>
      </c>
      <c r="E196" s="22" t="n">
        <f aca="false">D196*Premissas!$C$30*Premissas!$C$32*(1+Premissas!$C$58)^$C196</f>
        <v>8680.94364208341</v>
      </c>
      <c r="F196" s="22" t="n">
        <f aca="false">E196*Premissas!$C$35</f>
        <v>1388.95098273335</v>
      </c>
      <c r="G196" s="22" t="n">
        <f aca="false">E196*Premissas!$C$36</f>
        <v>1736.18872841668</v>
      </c>
      <c r="H196" s="22" t="n">
        <f aca="false">IF($A196&gt;=Premissas!$C$18,Premissas!$C$37*(1+Premissas!$C$58)^$C196,0)</f>
        <v>1120.12176026883</v>
      </c>
      <c r="I196" s="22" t="n">
        <f aca="false">IF($A196&gt;=Premissas!$C$20,Premissas!$C$38*(1+Premissas!$C$58)^$C196,0)</f>
        <v>522.723488125453</v>
      </c>
      <c r="J196" s="22" t="n">
        <f aca="false">IF($A196&gt;=Premissas!$C$20,Premissas!$C$39*(1+Premissas!$C$58)^$C196,0)</f>
        <v>280.030440067207</v>
      </c>
      <c r="K196" s="22" t="n">
        <f aca="false">IF($A196&gt;=Premissas!$C$20,MAX(0,E196-F196-G196-H196)*Premissas!$C$41,0)</f>
        <v>1219.81259693275</v>
      </c>
      <c r="L196" s="22" t="n">
        <f aca="false">E196-F196-G196-H196-I196-J196-K196</f>
        <v>2413.11564553915</v>
      </c>
      <c r="M196" s="22" t="n">
        <f aca="false">($A196=Premissas!$C$18)*Premissas!$C$26*Premissas!$C$60</f>
        <v>0</v>
      </c>
      <c r="N196" s="22" t="n">
        <f aca="false">IF(AND($A196&gt;=Premissas!$C$18,$A196&lt;Premissas!$C$20),Premissas!$C$27/MAX(1,Premissas!$C$19),0)</f>
        <v>0</v>
      </c>
      <c r="O196" s="22" t="n">
        <f aca="false">IF($A196&gt;=Premissas!$C$18,Premissas!$C$60*(1+Premissas!$C$59)^((YEAR($A196)-YEAR(Premissas!$C$18))*12+MONTH($A196)-MONTH(Premissas!$C$18)),"")</f>
        <v>748369.508046079</v>
      </c>
      <c r="P196" s="31" t="n">
        <f aca="false">(1+IF(YEAR($A196)&lt;=2026,Premissas!$C$49,IF(YEAR($A196)=2027,Premissas!$C$50,IF(YEAR($A196)=2028,Premissas!$C$51,Premissas!$C$52)))*(1-Premissas!$C$53))^(1/12)-1</f>
        <v>0.00682149336596227</v>
      </c>
      <c r="Q196" s="22" t="n">
        <f aca="false">($A196=Premissas!$C$16)*Premissas!$C$13</f>
        <v>0</v>
      </c>
      <c r="R196" s="22" t="n">
        <f aca="false">L196-M196-N196-Q196</f>
        <v>2413.11564553915</v>
      </c>
      <c r="S196" s="22" t="n">
        <f aca="false">S195+R196</f>
        <v>-29953.3912570488</v>
      </c>
      <c r="T196" s="22" t="n">
        <f aca="false">IF($A196&gt;=Premissas!$C$18,O196*(1-Premissas!$C$45)-Premissas!$C$46*MAX(0,O196*(1-Premissas!$C$45)-(SUM($Q$5:$Q$355)+Premissas!$C$26*Premissas!$C$60)),"")</f>
        <v>637917.245275563</v>
      </c>
      <c r="U196" s="22" t="n">
        <f aca="false">IF($A196&gt;=Premissas!$C$18,S196+T196,"")</f>
        <v>607963.854018515</v>
      </c>
      <c r="V196" s="22" t="n">
        <f aca="false">V195*(1+$P196)-R196</f>
        <v>649492.318732451</v>
      </c>
      <c r="W196" s="22" t="n">
        <f aca="false">($A196=Premissas!$C$16)*Premissas!$C$9</f>
        <v>0</v>
      </c>
      <c r="X196" s="22" t="n">
        <f aca="false">L196-M196-N196-W196</f>
        <v>2413.11564553915</v>
      </c>
      <c r="Y196" s="22" t="n">
        <f aca="false">Y195+X196</f>
        <v>-60881.3912570486</v>
      </c>
      <c r="Z196" s="22" t="n">
        <f aca="false">IF($A196&gt;=Premissas!$C$18,O196*(1-Premissas!$C$45)-Premissas!$C$46*MAX(0,O196*(1-Premissas!$C$45)-(SUM($W$5:$W$355)+Premissas!$C$26*Premissas!$C$60)),"")</f>
        <v>642556.445275564</v>
      </c>
      <c r="AA196" s="22" t="n">
        <f aca="false">IF($A196&gt;=Premissas!$C$18,Y196+Z196,"")</f>
        <v>581675.054018515</v>
      </c>
      <c r="AB196" s="22" t="n">
        <f aca="false">AB195*(1+$P196)-X196</f>
        <v>766528.772895067</v>
      </c>
      <c r="AC196" s="22" t="n">
        <f aca="false">AND($A196&gt;=Premissas!$C$16,$A196&lt;EDATE(Premissas!$C$16,3))*Premissas!$C$10/3*(1+Premissas!$C$56)^$C196</f>
        <v>0</v>
      </c>
      <c r="AD196" s="22" t="n">
        <f aca="false">L196-M196-N196-AC196</f>
        <v>2413.11564553915</v>
      </c>
      <c r="AE196" s="22" t="n">
        <f aca="false">AE195+AD196</f>
        <v>-68501.8551370735</v>
      </c>
      <c r="AF196" s="22" t="n">
        <f aca="false">IF($A196&gt;=Premissas!$C$18,O196*(1-Premissas!$C$45)-Premissas!$C$46*MAX(0,O196*(1-Premissas!$C$45)-(SUM($AC$5:$AC$355)+Premissas!$C$26*Premissas!$C$60)),"")</f>
        <v>643699.514857567</v>
      </c>
      <c r="AG196" s="22" t="n">
        <f aca="false">IF($A196&gt;=Premissas!$C$18,AE196+AF196,"")</f>
        <v>575197.659720494</v>
      </c>
      <c r="AH196" s="22" t="n">
        <f aca="false">AH195*(1+$P196)-AD196</f>
        <v>785184.293393342</v>
      </c>
      <c r="AI196" s="22" t="n">
        <f aca="false">($A196=Premissas!$C$16)*0.2*Premissas!$C$11+AND($A196&gt;Premissas!$C$16,$A196&lt;=EDATE(Premissas!$C$16,43))*0.8*Premissas!$C$11/43*(1+Premissas!$C$56)^$C196</f>
        <v>0</v>
      </c>
      <c r="AJ196" s="22" t="n">
        <f aca="false">L196-M196-N196-AI196</f>
        <v>2413.11564553915</v>
      </c>
      <c r="AK196" s="22" t="n">
        <f aca="false">AK195+AJ196</f>
        <v>-114366.340555135</v>
      </c>
      <c r="AL196" s="22" t="n">
        <f aca="false">IF($A196&gt;=Premissas!$C$18,O196*(1-Premissas!$C$45)-Premissas!$C$46*MAX(0,O196*(1-Premissas!$C$45)-(SUM($AI$5:$AI$355)+Premissas!$C$26*Premissas!$C$60)),"")</f>
        <v>650579.187670277</v>
      </c>
      <c r="AM196" s="22" t="n">
        <f aca="false">IF($A196&gt;=Premissas!$C$18,AK196+AL196,"")</f>
        <v>536212.847115141</v>
      </c>
      <c r="AN196" s="22" t="n">
        <f aca="false">AN195*(1+$P196)-AJ196</f>
        <v>802590.962074022</v>
      </c>
      <c r="AO196" s="22" t="n">
        <f aca="false">V196+S196</f>
        <v>619538.927475403</v>
      </c>
    </row>
    <row r="197" customFormat="false" ht="15" hidden="false" customHeight="false" outlineLevel="0" collapsed="false">
      <c r="A197" s="26" t="n">
        <f aca="false">DATE(YEAR(A196),MONTH(A196)+1,1)</f>
        <v>52140</v>
      </c>
      <c r="B197" s="22" t="str">
        <f aca="false">IF($A197&lt;Premissas!$C$18,"Obra",IF($A197&lt;Premissas!$C$20,"Entrega/mobília","Airbnb"))</f>
        <v>Airbnb</v>
      </c>
      <c r="C197" s="36" t="n">
        <f aca="false">(YEAR($A197)-YEAR(Premissas!$C$16))*12+MONTH($A197)-MONTH(Premissas!$C$16)</f>
        <v>192</v>
      </c>
      <c r="D197" s="33" t="n">
        <f aca="false">IF($A197&gt;=Premissas!$C$20,Premissas!$C$31*IF(((YEAR($A197)-YEAR(Premissas!$C$20))*12+MONTH($A197)-MONTH(Premissas!$C$20))&lt;Premissas!$C$33,Premissas!$C$34,1),0)</f>
        <v>0.62</v>
      </c>
      <c r="E197" s="22" t="n">
        <f aca="false">D197*Premissas!$C$30*Premissas!$C$32*(1+Premissas!$C$58)^$C197</f>
        <v>8709.36279263153</v>
      </c>
      <c r="F197" s="22" t="n">
        <f aca="false">E197*Premissas!$C$35</f>
        <v>1393.49804682104</v>
      </c>
      <c r="G197" s="22" t="n">
        <f aca="false">E197*Premissas!$C$36</f>
        <v>1741.87255852631</v>
      </c>
      <c r="H197" s="22" t="n">
        <f aca="false">IF($A197&gt;=Premissas!$C$18,Premissas!$C$37*(1+Premissas!$C$58)^$C197,0)</f>
        <v>1123.78874743633</v>
      </c>
      <c r="I197" s="22" t="n">
        <f aca="false">IF($A197&gt;=Premissas!$C$20,Premissas!$C$38*(1+Premissas!$C$58)^$C197,0)</f>
        <v>524.434748803619</v>
      </c>
      <c r="J197" s="22" t="n">
        <f aca="false">IF($A197&gt;=Premissas!$C$20,Premissas!$C$39*(1+Premissas!$C$58)^$C197,0)</f>
        <v>280.947186859082</v>
      </c>
      <c r="K197" s="22" t="n">
        <f aca="false">IF($A197&gt;=Premissas!$C$20,MAX(0,E197-F197-G197-H197)*Premissas!$C$41,0)</f>
        <v>1223.80594595816</v>
      </c>
      <c r="L197" s="22" t="n">
        <f aca="false">E197-F197-G197-H197-I197-J197-K197</f>
        <v>2421.01555822699</v>
      </c>
      <c r="M197" s="22" t="n">
        <f aca="false">($A197=Premissas!$C$18)*Premissas!$C$26*Premissas!$C$60</f>
        <v>0</v>
      </c>
      <c r="N197" s="22" t="n">
        <f aca="false">IF(AND($A197&gt;=Premissas!$C$18,$A197&lt;Premissas!$C$20),Premissas!$C$27/MAX(1,Premissas!$C$19),0)</f>
        <v>0</v>
      </c>
      <c r="O197" s="22" t="n">
        <f aca="false">IF($A197&gt;=Premissas!$C$18,Premissas!$C$60*(1+Premissas!$C$59)^((YEAR($A197)-YEAR(Premissas!$C$18))*12+MONTH($A197)-MONTH(Premissas!$C$18)),"")</f>
        <v>751418.458057767</v>
      </c>
      <c r="P197" s="31" t="n">
        <f aca="false">(1+IF(YEAR($A197)&lt;=2026,Premissas!$C$49,IF(YEAR($A197)=2027,Premissas!$C$50,IF(YEAR($A197)=2028,Premissas!$C$51,Premissas!$C$52)))*(1-Premissas!$C$53))^(1/12)-1</f>
        <v>0.00682149336596227</v>
      </c>
      <c r="Q197" s="22" t="n">
        <f aca="false">($A197=Premissas!$C$16)*Premissas!$C$13</f>
        <v>0</v>
      </c>
      <c r="R197" s="22" t="n">
        <f aca="false">L197-M197-N197-Q197</f>
        <v>2421.01555822699</v>
      </c>
      <c r="S197" s="22" t="n">
        <f aca="false">S196+R197</f>
        <v>-27532.3756988218</v>
      </c>
      <c r="T197" s="22" t="n">
        <f aca="false">IF($A197&gt;=Premissas!$C$18,O197*(1-Premissas!$C$45)-Premissas!$C$46*MAX(0,O197*(1-Premissas!$C$45)-(SUM($Q$5:$Q$355)+Premissas!$C$26*Premissas!$C$60)),"")</f>
        <v>640353.356334902</v>
      </c>
      <c r="U197" s="22" t="n">
        <f aca="false">IF($A197&gt;=Premissas!$C$18,S197+T197,"")</f>
        <v>612820.98063608</v>
      </c>
      <c r="V197" s="22" t="n">
        <f aca="false">V196*(1+$P197)-R197</f>
        <v>651501.810717701</v>
      </c>
      <c r="W197" s="22" t="n">
        <f aca="false">($A197=Premissas!$C$16)*Premissas!$C$9</f>
        <v>0</v>
      </c>
      <c r="X197" s="22" t="n">
        <f aca="false">L197-M197-N197-W197</f>
        <v>2421.01555822699</v>
      </c>
      <c r="Y197" s="22" t="n">
        <f aca="false">Y196+X197</f>
        <v>-58460.3756988217</v>
      </c>
      <c r="Z197" s="22" t="n">
        <f aca="false">IF($A197&gt;=Premissas!$C$18,O197*(1-Premissas!$C$45)-Premissas!$C$46*MAX(0,O197*(1-Premissas!$C$45)-(SUM($W$5:$W$355)+Premissas!$C$26*Premissas!$C$60)),"")</f>
        <v>644992.556334902</v>
      </c>
      <c r="AA197" s="22" t="n">
        <f aca="false">IF($A197&gt;=Premissas!$C$18,Y197+Z197,"")</f>
        <v>586532.18063608</v>
      </c>
      <c r="AB197" s="22" t="n">
        <f aca="false">AB196*(1+$P197)-X197</f>
        <v>769336.628275963</v>
      </c>
      <c r="AC197" s="22" t="n">
        <f aca="false">AND($A197&gt;=Premissas!$C$16,$A197&lt;EDATE(Premissas!$C$16,3))*Premissas!$C$10/3*(1+Premissas!$C$56)^$C197</f>
        <v>0</v>
      </c>
      <c r="AD197" s="22" t="n">
        <f aca="false">L197-M197-N197-AC197</f>
        <v>2421.01555822699</v>
      </c>
      <c r="AE197" s="22" t="n">
        <f aca="false">AE196+AD197</f>
        <v>-66080.8395788465</v>
      </c>
      <c r="AF197" s="22" t="n">
        <f aca="false">IF($A197&gt;=Premissas!$C$18,O197*(1-Premissas!$C$45)-Premissas!$C$46*MAX(0,O197*(1-Premissas!$C$45)-(SUM($AC$5:$AC$355)+Premissas!$C$26*Premissas!$C$60)),"")</f>
        <v>646135.625916906</v>
      </c>
      <c r="AG197" s="22" t="n">
        <f aca="false">IF($A197&gt;=Premissas!$C$18,AE197+AF197,"")</f>
        <v>580054.786338059</v>
      </c>
      <c r="AH197" s="22" t="n">
        <f aca="false">AH196*(1+$P197)-AD197</f>
        <v>788119.407283555</v>
      </c>
      <c r="AI197" s="22" t="n">
        <f aca="false">($A197=Premissas!$C$16)*0.2*Premissas!$C$11+AND($A197&gt;Premissas!$C$16,$A197&lt;=EDATE(Premissas!$C$16,43))*0.8*Premissas!$C$11/43*(1+Premissas!$C$56)^$C197</f>
        <v>0</v>
      </c>
      <c r="AJ197" s="22" t="n">
        <f aca="false">L197-M197-N197-AI197</f>
        <v>2421.01555822699</v>
      </c>
      <c r="AK197" s="22" t="n">
        <f aca="false">AK196+AJ197</f>
        <v>-111945.324996908</v>
      </c>
      <c r="AL197" s="22" t="n">
        <f aca="false">IF($A197&gt;=Premissas!$C$18,O197*(1-Premissas!$C$45)-Premissas!$C$46*MAX(0,O197*(1-Premissas!$C$45)-(SUM($AI$5:$AI$355)+Premissas!$C$26*Premissas!$C$60)),"")</f>
        <v>653015.298729615</v>
      </c>
      <c r="AM197" s="22" t="n">
        <f aca="false">IF($A197&gt;=Premissas!$C$18,AK197+AL197,"")</f>
        <v>541069.973732707</v>
      </c>
      <c r="AN197" s="22" t="n">
        <f aca="false">AN196*(1+$P197)-AJ197</f>
        <v>805644.815439164</v>
      </c>
      <c r="AO197" s="22" t="n">
        <f aca="false">V197+S197</f>
        <v>623969.43501888</v>
      </c>
    </row>
    <row r="198" customFormat="false" ht="15" hidden="false" customHeight="false" outlineLevel="0" collapsed="false">
      <c r="A198" s="26" t="n">
        <f aca="false">DATE(YEAR(A197),MONTH(A197)+1,1)</f>
        <v>52171</v>
      </c>
      <c r="B198" s="22" t="str">
        <f aca="false">IF($A198&lt;Premissas!$C$18,"Obra",IF($A198&lt;Premissas!$C$20,"Entrega/mobília","Airbnb"))</f>
        <v>Airbnb</v>
      </c>
      <c r="C198" s="36" t="n">
        <f aca="false">(YEAR($A198)-YEAR(Premissas!$C$16))*12+MONTH($A198)-MONTH(Premissas!$C$16)</f>
        <v>193</v>
      </c>
      <c r="D198" s="33" t="n">
        <f aca="false">IF($A198&gt;=Premissas!$C$20,Premissas!$C$31*IF(((YEAR($A198)-YEAR(Premissas!$C$20))*12+MONTH($A198)-MONTH(Premissas!$C$20))&lt;Premissas!$C$33,Premissas!$C$34,1),0)</f>
        <v>0.62</v>
      </c>
      <c r="E198" s="22" t="n">
        <f aca="false">D198*Premissas!$C$30*Premissas!$C$32*(1+Premissas!$C$58)^$C198</f>
        <v>8737.87498008337</v>
      </c>
      <c r="F198" s="22" t="n">
        <f aca="false">E198*Premissas!$C$35</f>
        <v>1398.05999681334</v>
      </c>
      <c r="G198" s="22" t="n">
        <f aca="false">E198*Premissas!$C$36</f>
        <v>1747.57499601667</v>
      </c>
      <c r="H198" s="22" t="n">
        <f aca="false">IF($A198&gt;=Premissas!$C$18,Premissas!$C$37*(1+Premissas!$C$58)^$C198,0)</f>
        <v>1127.4677393656</v>
      </c>
      <c r="I198" s="22" t="n">
        <f aca="false">IF($A198&gt;=Premissas!$C$20,Premissas!$C$38*(1+Premissas!$C$58)^$C198,0)</f>
        <v>526.151611703945</v>
      </c>
      <c r="J198" s="22" t="n">
        <f aca="false">IF($A198&gt;=Premissas!$C$20,Premissas!$C$39*(1+Premissas!$C$58)^$C198,0)</f>
        <v>281.866934841399</v>
      </c>
      <c r="K198" s="22" t="n">
        <f aca="false">IF($A198&gt;=Premissas!$C$20,MAX(0,E198-F198-G198-H198)*Premissas!$C$41,0)</f>
        <v>1227.81236816913</v>
      </c>
      <c r="L198" s="22" t="n">
        <f aca="false">E198-F198-G198-H198-I198-J198-K198</f>
        <v>2428.94133317328</v>
      </c>
      <c r="M198" s="22" t="n">
        <f aca="false">($A198=Premissas!$C$18)*Premissas!$C$26*Premissas!$C$60</f>
        <v>0</v>
      </c>
      <c r="N198" s="22" t="n">
        <f aca="false">IF(AND($A198&gt;=Premissas!$C$18,$A198&lt;Premissas!$C$20),Premissas!$C$27/MAX(1,Premissas!$C$19),0)</f>
        <v>0</v>
      </c>
      <c r="O198" s="22" t="n">
        <f aca="false">IF($A198&gt;=Premissas!$C$18,Premissas!$C$60*(1+Premissas!$C$59)^((YEAR($A198)-YEAR(Premissas!$C$18))*12+MONTH($A198)-MONTH(Premissas!$C$18)),"")</f>
        <v>754479.829869213</v>
      </c>
      <c r="P198" s="31" t="n">
        <f aca="false">(1+IF(YEAR($A198)&lt;=2026,Premissas!$C$49,IF(YEAR($A198)=2027,Premissas!$C$50,IF(YEAR($A198)=2028,Premissas!$C$51,Premissas!$C$52)))*(1-Premissas!$C$53))^(1/12)-1</f>
        <v>0.00682149336596227</v>
      </c>
      <c r="Q198" s="22" t="n">
        <f aca="false">($A198=Premissas!$C$16)*Premissas!$C$13</f>
        <v>0</v>
      </c>
      <c r="R198" s="22" t="n">
        <f aca="false">L198-M198-N198-Q198</f>
        <v>2428.94133317328</v>
      </c>
      <c r="S198" s="22" t="n">
        <f aca="false">S197+R198</f>
        <v>-25103.4343656485</v>
      </c>
      <c r="T198" s="22" t="n">
        <f aca="false">IF($A198&gt;=Premissas!$C$18,O198*(1-Premissas!$C$45)-Premissas!$C$46*MAX(0,O198*(1-Premissas!$C$45)-(SUM($Q$5:$Q$355)+Premissas!$C$26*Premissas!$C$60)),"")</f>
        <v>642799.392412247</v>
      </c>
      <c r="U198" s="22" t="n">
        <f aca="false">IF($A198&gt;=Premissas!$C$18,S198+T198,"")</f>
        <v>617695.958046598</v>
      </c>
      <c r="V198" s="22" t="n">
        <f aca="false">V197*(1+$P198)-R198</f>
        <v>653517.084664251</v>
      </c>
      <c r="W198" s="22" t="n">
        <f aca="false">($A198=Premissas!$C$16)*Premissas!$C$9</f>
        <v>0</v>
      </c>
      <c r="X198" s="22" t="n">
        <f aca="false">L198-M198-N198-W198</f>
        <v>2428.94133317328</v>
      </c>
      <c r="Y198" s="22" t="n">
        <f aca="false">Y197+X198</f>
        <v>-56031.4343656484</v>
      </c>
      <c r="Z198" s="22" t="n">
        <f aca="false">IF($A198&gt;=Premissas!$C$18,O198*(1-Premissas!$C$45)-Premissas!$C$46*MAX(0,O198*(1-Premissas!$C$45)-(SUM($W$5:$W$355)+Premissas!$C$26*Premissas!$C$60)),"")</f>
        <v>647438.592412247</v>
      </c>
      <c r="AA198" s="22" t="n">
        <f aca="false">IF($A198&gt;=Premissas!$C$18,Y198+Z198,"")</f>
        <v>591407.158046599</v>
      </c>
      <c r="AB198" s="22" t="n">
        <f aca="false">AB197*(1+$P198)-X198</f>
        <v>772155.711648766</v>
      </c>
      <c r="AC198" s="22" t="n">
        <f aca="false">AND($A198&gt;=Premissas!$C$16,$A198&lt;EDATE(Premissas!$C$16,3))*Premissas!$C$10/3*(1+Premissas!$C$56)^$C198</f>
        <v>0</v>
      </c>
      <c r="AD198" s="22" t="n">
        <f aca="false">L198-M198-N198-AC198</f>
        <v>2428.94133317328</v>
      </c>
      <c r="AE198" s="22" t="n">
        <f aca="false">AE197+AD198</f>
        <v>-63651.8982456732</v>
      </c>
      <c r="AF198" s="22" t="n">
        <f aca="false">IF($A198&gt;=Premissas!$C$18,O198*(1-Premissas!$C$45)-Premissas!$C$46*MAX(0,O198*(1-Premissas!$C$45)-(SUM($AC$5:$AC$355)+Premissas!$C$26*Premissas!$C$60)),"")</f>
        <v>648581.661994251</v>
      </c>
      <c r="AG198" s="22" t="n">
        <f aca="false">IF($A198&gt;=Premissas!$C$18,AE198+AF198,"")</f>
        <v>584929.763748578</v>
      </c>
      <c r="AH198" s="22" t="n">
        <f aca="false">AH197*(1+$P198)-AD198</f>
        <v>791066.617258753</v>
      </c>
      <c r="AI198" s="22" t="n">
        <f aca="false">($A198=Premissas!$C$16)*0.2*Premissas!$C$11+AND($A198&gt;Premissas!$C$16,$A198&lt;=EDATE(Premissas!$C$16,43))*0.8*Premissas!$C$11/43*(1+Premissas!$C$56)^$C198</f>
        <v>0</v>
      </c>
      <c r="AJ198" s="22" t="n">
        <f aca="false">L198-M198-N198-AI198</f>
        <v>2428.94133317328</v>
      </c>
      <c r="AK198" s="22" t="n">
        <f aca="false">AK197+AJ198</f>
        <v>-109516.383663735</v>
      </c>
      <c r="AL198" s="22" t="n">
        <f aca="false">IF($A198&gt;=Premissas!$C$18,O198*(1-Premissas!$C$45)-Premissas!$C$46*MAX(0,O198*(1-Premissas!$C$45)-(SUM($AI$5:$AI$355)+Premissas!$C$26*Premissas!$C$60)),"")</f>
        <v>655461.33480696</v>
      </c>
      <c r="AM198" s="22" t="n">
        <f aca="false">IF($A198&gt;=Premissas!$C$18,AK198+AL198,"")</f>
        <v>545944.951143225</v>
      </c>
      <c r="AN198" s="22" t="n">
        <f aca="false">AN197*(1+$P198)-AJ198</f>
        <v>808711.574869831</v>
      </c>
      <c r="AO198" s="22" t="n">
        <f aca="false">V198+S198</f>
        <v>628413.650298603</v>
      </c>
    </row>
    <row r="199" customFormat="false" ht="15" hidden="false" customHeight="false" outlineLevel="0" collapsed="false">
      <c r="A199" s="26" t="n">
        <f aca="false">DATE(YEAR(A198),MONTH(A198)+1,1)</f>
        <v>52201</v>
      </c>
      <c r="B199" s="22" t="str">
        <f aca="false">IF($A199&lt;Premissas!$C$18,"Obra",IF($A199&lt;Premissas!$C$20,"Entrega/mobília","Airbnb"))</f>
        <v>Airbnb</v>
      </c>
      <c r="C199" s="36" t="n">
        <f aca="false">(YEAR($A199)-YEAR(Premissas!$C$16))*12+MONTH($A199)-MONTH(Premissas!$C$16)</f>
        <v>194</v>
      </c>
      <c r="D199" s="33" t="n">
        <f aca="false">IF($A199&gt;=Premissas!$C$20,Premissas!$C$31*IF(((YEAR($A199)-YEAR(Premissas!$C$20))*12+MONTH($A199)-MONTH(Premissas!$C$20))&lt;Premissas!$C$33,Premissas!$C$34,1),0)</f>
        <v>0.62</v>
      </c>
      <c r="E199" s="22" t="n">
        <f aca="false">D199*Premissas!$C$30*Premissas!$C$32*(1+Premissas!$C$58)^$C199</f>
        <v>8766.48050901755</v>
      </c>
      <c r="F199" s="22" t="n">
        <f aca="false">E199*Premissas!$C$35</f>
        <v>1402.63688144281</v>
      </c>
      <c r="G199" s="22" t="n">
        <f aca="false">E199*Premissas!$C$36</f>
        <v>1753.29610180351</v>
      </c>
      <c r="H199" s="22" t="n">
        <f aca="false">IF($A199&gt;=Premissas!$C$18,Premissas!$C$37*(1+Premissas!$C$58)^$C199,0)</f>
        <v>1131.1587753571</v>
      </c>
      <c r="I199" s="22" t="n">
        <f aca="false">IF($A199&gt;=Premissas!$C$20,Premissas!$C$38*(1+Premissas!$C$58)^$C199,0)</f>
        <v>527.874095166648</v>
      </c>
      <c r="J199" s="22" t="n">
        <f aca="false">IF($A199&gt;=Premissas!$C$20,Premissas!$C$39*(1+Premissas!$C$58)^$C199,0)</f>
        <v>282.789693839276</v>
      </c>
      <c r="K199" s="22" t="n">
        <f aca="false">IF($A199&gt;=Premissas!$C$20,MAX(0,E199-F199-G199-H199)*Premissas!$C$41,0)</f>
        <v>1231.83190636389</v>
      </c>
      <c r="L199" s="22" t="n">
        <f aca="false">E199-F199-G199-H199-I199-J199-K199</f>
        <v>2436.89305504432</v>
      </c>
      <c r="M199" s="22" t="n">
        <f aca="false">($A199=Premissas!$C$18)*Premissas!$C$26*Premissas!$C$60</f>
        <v>0</v>
      </c>
      <c r="N199" s="22" t="n">
        <f aca="false">IF(AND($A199&gt;=Premissas!$C$18,$A199&lt;Premissas!$C$20),Premissas!$C$27/MAX(1,Premissas!$C$19),0)</f>
        <v>0</v>
      </c>
      <c r="O199" s="22" t="n">
        <f aca="false">IF($A199&gt;=Premissas!$C$18,Premissas!$C$60*(1+Premissas!$C$59)^((YEAR($A199)-YEAR(Premissas!$C$18))*12+MONTH($A199)-MONTH(Premissas!$C$18)),"")</f>
        <v>757553.674088366</v>
      </c>
      <c r="P199" s="31" t="n">
        <f aca="false">(1+IF(YEAR($A199)&lt;=2026,Premissas!$C$49,IF(YEAR($A199)=2027,Premissas!$C$50,IF(YEAR($A199)=2028,Premissas!$C$51,Premissas!$C$52)))*(1-Premissas!$C$53))^(1/12)-1</f>
        <v>0.00682149336596227</v>
      </c>
      <c r="Q199" s="22" t="n">
        <f aca="false">($A199=Premissas!$C$16)*Premissas!$C$13</f>
        <v>0</v>
      </c>
      <c r="R199" s="22" t="n">
        <f aca="false">L199-M199-N199-Q199</f>
        <v>2436.89305504432</v>
      </c>
      <c r="S199" s="22" t="n">
        <f aca="false">S198+R199</f>
        <v>-22666.5413106042</v>
      </c>
      <c r="T199" s="22" t="n">
        <f aca="false">IF($A199&gt;=Premissas!$C$18,O199*(1-Premissas!$C$45)-Premissas!$C$46*MAX(0,O199*(1-Premissas!$C$45)-(SUM($Q$5:$Q$355)+Premissas!$C$26*Premissas!$C$60)),"")</f>
        <v>645255.39394335</v>
      </c>
      <c r="U199" s="22" t="n">
        <f aca="false">IF($A199&gt;=Premissas!$C$18,S199+T199,"")</f>
        <v>622588.852632746</v>
      </c>
      <c r="V199" s="22" t="n">
        <f aca="false">V198*(1+$P199)-R199</f>
        <v>655538.154066787</v>
      </c>
      <c r="W199" s="22" t="n">
        <f aca="false">($A199=Premissas!$C$16)*Premissas!$C$9</f>
        <v>0</v>
      </c>
      <c r="X199" s="22" t="n">
        <f aca="false">L199-M199-N199-W199</f>
        <v>2436.89305504432</v>
      </c>
      <c r="Y199" s="22" t="n">
        <f aca="false">Y198+X199</f>
        <v>-53594.5413106041</v>
      </c>
      <c r="Z199" s="22" t="n">
        <f aca="false">IF($A199&gt;=Premissas!$C$18,O199*(1-Premissas!$C$45)-Premissas!$C$46*MAX(0,O199*(1-Premissas!$C$45)-(SUM($W$5:$W$355)+Premissas!$C$26*Premissas!$C$60)),"")</f>
        <v>649894.59394335</v>
      </c>
      <c r="AA199" s="22" t="n">
        <f aca="false">IF($A199&gt;=Premissas!$C$18,Y199+Z199,"")</f>
        <v>596300.052632746</v>
      </c>
      <c r="AB199" s="22" t="n">
        <f aca="false">AB198*(1+$P199)-X199</f>
        <v>774986.073658224</v>
      </c>
      <c r="AC199" s="22" t="n">
        <f aca="false">AND($A199&gt;=Premissas!$C$16,$A199&lt;EDATE(Premissas!$C$16,3))*Premissas!$C$10/3*(1+Premissas!$C$56)^$C199</f>
        <v>0</v>
      </c>
      <c r="AD199" s="22" t="n">
        <f aca="false">L199-M199-N199-AC199</f>
        <v>2436.89305504432</v>
      </c>
      <c r="AE199" s="22" t="n">
        <f aca="false">AE198+AD199</f>
        <v>-61215.0051906289</v>
      </c>
      <c r="AF199" s="22" t="n">
        <f aca="false">IF($A199&gt;=Premissas!$C$18,O199*(1-Premissas!$C$45)-Premissas!$C$46*MAX(0,O199*(1-Premissas!$C$45)-(SUM($AC$5:$AC$355)+Premissas!$C$26*Premissas!$C$60)),"")</f>
        <v>651037.663525354</v>
      </c>
      <c r="AG199" s="22" t="n">
        <f aca="false">IF($A199&gt;=Premissas!$C$18,AE199+AF199,"")</f>
        <v>589822.658334725</v>
      </c>
      <c r="AH199" s="22" t="n">
        <f aca="false">AH198*(1+$P199)-AD199</f>
        <v>794025.979885373</v>
      </c>
      <c r="AI199" s="22" t="n">
        <f aca="false">($A199=Premissas!$C$16)*0.2*Premissas!$C$11+AND($A199&gt;Premissas!$C$16,$A199&lt;=EDATE(Premissas!$C$16,43))*0.8*Premissas!$C$11/43*(1+Premissas!$C$56)^$C199</f>
        <v>0</v>
      </c>
      <c r="AJ199" s="22" t="n">
        <f aca="false">L199-M199-N199-AI199</f>
        <v>2436.89305504432</v>
      </c>
      <c r="AK199" s="22" t="n">
        <f aca="false">AK198+AJ199</f>
        <v>-107079.490608691</v>
      </c>
      <c r="AL199" s="22" t="n">
        <f aca="false">IF($A199&gt;=Premissas!$C$18,O199*(1-Premissas!$C$45)-Premissas!$C$46*MAX(0,O199*(1-Premissas!$C$45)-(SUM($AI$5:$AI$355)+Premissas!$C$26*Premissas!$C$60)),"")</f>
        <v>657917.336338063</v>
      </c>
      <c r="AM199" s="22" t="n">
        <f aca="false">IF($A199&gt;=Premissas!$C$18,AK199+AL199,"")</f>
        <v>550837.845729373</v>
      </c>
      <c r="AN199" s="22" t="n">
        <f aca="false">AN198*(1+$P199)-AJ199</f>
        <v>811791.302457738</v>
      </c>
      <c r="AO199" s="22" t="n">
        <f aca="false">V199+S199</f>
        <v>632871.612756183</v>
      </c>
    </row>
    <row r="200" customFormat="false" ht="15" hidden="false" customHeight="false" outlineLevel="0" collapsed="false">
      <c r="A200" s="26" t="n">
        <f aca="false">DATE(YEAR(A199),MONTH(A199)+1,1)</f>
        <v>52232</v>
      </c>
      <c r="B200" s="22" t="str">
        <f aca="false">IF($A200&lt;Premissas!$C$18,"Obra",IF($A200&lt;Premissas!$C$20,"Entrega/mobília","Airbnb"))</f>
        <v>Airbnb</v>
      </c>
      <c r="C200" s="36" t="n">
        <f aca="false">(YEAR($A200)-YEAR(Premissas!$C$16))*12+MONTH($A200)-MONTH(Premissas!$C$16)</f>
        <v>195</v>
      </c>
      <c r="D200" s="33" t="n">
        <f aca="false">IF($A200&gt;=Premissas!$C$20,Premissas!$C$31*IF(((YEAR($A200)-YEAR(Premissas!$C$20))*12+MONTH($A200)-MONTH(Premissas!$C$20))&lt;Premissas!$C$33,Premissas!$C$34,1),0)</f>
        <v>0.62</v>
      </c>
      <c r="E200" s="22" t="n">
        <f aca="false">D200*Premissas!$C$30*Premissas!$C$32*(1+Premissas!$C$58)^$C200</f>
        <v>8795.17968500979</v>
      </c>
      <c r="F200" s="22" t="n">
        <f aca="false">E200*Premissas!$C$35</f>
        <v>1407.22874960157</v>
      </c>
      <c r="G200" s="22" t="n">
        <f aca="false">E200*Premissas!$C$36</f>
        <v>1759.03593700196</v>
      </c>
      <c r="H200" s="22" t="n">
        <f aca="false">IF($A200&gt;=Premissas!$C$18,Premissas!$C$37*(1+Premissas!$C$58)^$C200,0)</f>
        <v>1134.86189483997</v>
      </c>
      <c r="I200" s="22" t="n">
        <f aca="false">IF($A200&gt;=Premissas!$C$20,Premissas!$C$38*(1+Premissas!$C$58)^$C200,0)</f>
        <v>529.602217591987</v>
      </c>
      <c r="J200" s="22" t="n">
        <f aca="false">IF($A200&gt;=Premissas!$C$20,Premissas!$C$39*(1+Premissas!$C$58)^$C200,0)</f>
        <v>283.715473709993</v>
      </c>
      <c r="K200" s="22" t="n">
        <f aca="false">IF($A200&gt;=Premissas!$C$20,MAX(0,E200-F200-G200-H200)*Premissas!$C$41,0)</f>
        <v>1235.86460348073</v>
      </c>
      <c r="L200" s="22" t="n">
        <f aca="false">E200-F200-G200-H200-I200-J200-K200</f>
        <v>2444.87080878358</v>
      </c>
      <c r="M200" s="22" t="n">
        <f aca="false">($A200=Premissas!$C$18)*Premissas!$C$26*Premissas!$C$60</f>
        <v>0</v>
      </c>
      <c r="N200" s="22" t="n">
        <f aca="false">IF(AND($A200&gt;=Premissas!$C$18,$A200&lt;Premissas!$C$20),Premissas!$C$27/MAX(1,Premissas!$C$19),0)</f>
        <v>0</v>
      </c>
      <c r="O200" s="22" t="n">
        <f aca="false">IF($A200&gt;=Premissas!$C$18,Premissas!$C$60*(1+Premissas!$C$59)^((YEAR($A200)-YEAR(Premissas!$C$18))*12+MONTH($A200)-MONTH(Premissas!$C$18)),"")</f>
        <v>760640.041529359</v>
      </c>
      <c r="P200" s="31" t="n">
        <f aca="false">(1+IF(YEAR($A200)&lt;=2026,Premissas!$C$49,IF(YEAR($A200)=2027,Premissas!$C$50,IF(YEAR($A200)=2028,Premissas!$C$51,Premissas!$C$52)))*(1-Premissas!$C$53))^(1/12)-1</f>
        <v>0.00682149336596227</v>
      </c>
      <c r="Q200" s="22" t="n">
        <f aca="false">($A200=Premissas!$C$16)*Premissas!$C$13</f>
        <v>0</v>
      </c>
      <c r="R200" s="22" t="n">
        <f aca="false">L200-M200-N200-Q200</f>
        <v>2444.87080878358</v>
      </c>
      <c r="S200" s="22" t="n">
        <f aca="false">S199+R200</f>
        <v>-20221.6705018206</v>
      </c>
      <c r="T200" s="22" t="n">
        <f aca="false">IF($A200&gt;=Premissas!$C$18,O200*(1-Premissas!$C$45)-Premissas!$C$46*MAX(0,O200*(1-Premissas!$C$45)-(SUM($Q$5:$Q$355)+Premissas!$C$26*Premissas!$C$60)),"")</f>
        <v>647721.401528704</v>
      </c>
      <c r="U200" s="22" t="n">
        <f aca="false">IF($A200&gt;=Premissas!$C$18,S200+T200,"")</f>
        <v>627499.731026884</v>
      </c>
      <c r="V200" s="22" t="n">
        <f aca="false">V199*(1+$P200)-R200</f>
        <v>657565.032427105</v>
      </c>
      <c r="W200" s="22" t="n">
        <f aca="false">($A200=Premissas!$C$16)*Premissas!$C$9</f>
        <v>0</v>
      </c>
      <c r="X200" s="22" t="n">
        <f aca="false">L200-M200-N200-W200</f>
        <v>2444.87080878358</v>
      </c>
      <c r="Y200" s="22" t="n">
        <f aca="false">Y199+X200</f>
        <v>-51149.6705018205</v>
      </c>
      <c r="Z200" s="22" t="n">
        <f aca="false">IF($A200&gt;=Premissas!$C$18,O200*(1-Premissas!$C$45)-Premissas!$C$46*MAX(0,O200*(1-Premissas!$C$45)-(SUM($W$5:$W$355)+Premissas!$C$26*Premissas!$C$60)),"")</f>
        <v>652360.601528704</v>
      </c>
      <c r="AA200" s="22" t="n">
        <f aca="false">IF($A200&gt;=Premissas!$C$18,Y200+Z200,"")</f>
        <v>601210.931026884</v>
      </c>
      <c r="AB200" s="22" t="n">
        <f aca="false">AB199*(1+$P200)-X200</f>
        <v>777827.765209613</v>
      </c>
      <c r="AC200" s="22" t="n">
        <f aca="false">AND($A200&gt;=Premissas!$C$16,$A200&lt;EDATE(Premissas!$C$16,3))*Premissas!$C$10/3*(1+Premissas!$C$56)^$C200</f>
        <v>0</v>
      </c>
      <c r="AD200" s="22" t="n">
        <f aca="false">L200-M200-N200-AC200</f>
        <v>2444.87080878358</v>
      </c>
      <c r="AE200" s="22" t="n">
        <f aca="false">AE199+AD200</f>
        <v>-58770.1343818453</v>
      </c>
      <c r="AF200" s="22" t="n">
        <f aca="false">IF($A200&gt;=Premissas!$C$18,O200*(1-Premissas!$C$45)-Premissas!$C$46*MAX(0,O200*(1-Premissas!$C$45)-(SUM($AC$5:$AC$355)+Premissas!$C$26*Premissas!$C$60)),"")</f>
        <v>653503.671110708</v>
      </c>
      <c r="AG200" s="22" t="n">
        <f aca="false">IF($A200&gt;=Premissas!$C$18,AE200+AF200,"")</f>
        <v>594733.536728863</v>
      </c>
      <c r="AH200" s="22" t="n">
        <f aca="false">AH199*(1+$P200)-AD200</f>
        <v>796997.552030779</v>
      </c>
      <c r="AI200" s="22" t="n">
        <f aca="false">($A200=Premissas!$C$16)*0.2*Premissas!$C$11+AND($A200&gt;Premissas!$C$16,$A200&lt;=EDATE(Premissas!$C$16,43))*0.8*Premissas!$C$11/43*(1+Premissas!$C$56)^$C200</f>
        <v>0</v>
      </c>
      <c r="AJ200" s="22" t="n">
        <f aca="false">L200-M200-N200-AI200</f>
        <v>2444.87080878358</v>
      </c>
      <c r="AK200" s="22" t="n">
        <f aca="false">AK199+AJ200</f>
        <v>-104634.619799907</v>
      </c>
      <c r="AL200" s="22" t="n">
        <f aca="false">IF($A200&gt;=Premissas!$C$18,O200*(1-Premissas!$C$45)-Premissas!$C$46*MAX(0,O200*(1-Premissas!$C$45)-(SUM($AI$5:$AI$355)+Premissas!$C$26*Premissas!$C$60)),"")</f>
        <v>660383.343923417</v>
      </c>
      <c r="AM200" s="22" t="n">
        <f aca="false">IF($A200&gt;=Premissas!$C$18,AK200+AL200,"")</f>
        <v>555748.72412351</v>
      </c>
      <c r="AN200" s="22" t="n">
        <f aca="false">AN199*(1+$P200)-AJ200</f>
        <v>814884.060633216</v>
      </c>
      <c r="AO200" s="22" t="n">
        <f aca="false">V200+S200</f>
        <v>637343.361925285</v>
      </c>
    </row>
    <row r="201" customFormat="false" ht="15" hidden="false" customHeight="false" outlineLevel="0" collapsed="false">
      <c r="A201" s="26" t="n">
        <f aca="false">DATE(YEAR(A200),MONTH(A200)+1,1)</f>
        <v>52263</v>
      </c>
      <c r="B201" s="22" t="str">
        <f aca="false">IF($A201&lt;Premissas!$C$18,"Obra",IF($A201&lt;Premissas!$C$20,"Entrega/mobília","Airbnb"))</f>
        <v>Airbnb</v>
      </c>
      <c r="C201" s="36" t="n">
        <f aca="false">(YEAR($A201)-YEAR(Premissas!$C$16))*12+MONTH($A201)-MONTH(Premissas!$C$16)</f>
        <v>196</v>
      </c>
      <c r="D201" s="33" t="n">
        <f aca="false">IF($A201&gt;=Premissas!$C$20,Premissas!$C$31*IF(((YEAR($A201)-YEAR(Premissas!$C$20))*12+MONTH($A201)-MONTH(Premissas!$C$20))&lt;Premissas!$C$33,Premissas!$C$34,1),0)</f>
        <v>0.62</v>
      </c>
      <c r="E201" s="22" t="n">
        <f aca="false">D201*Premissas!$C$30*Premissas!$C$32*(1+Premissas!$C$58)^$C201</f>
        <v>8823.9728146362</v>
      </c>
      <c r="F201" s="22" t="n">
        <f aca="false">E201*Premissas!$C$35</f>
        <v>1411.83565034179</v>
      </c>
      <c r="G201" s="22" t="n">
        <f aca="false">E201*Premissas!$C$36</f>
        <v>1764.79456292724</v>
      </c>
      <c r="H201" s="22" t="n">
        <f aca="false">IF($A201&gt;=Premissas!$C$18,Premissas!$C$37*(1+Premissas!$C$58)^$C201,0)</f>
        <v>1138.57713737241</v>
      </c>
      <c r="I201" s="22" t="n">
        <f aca="false">IF($A201&gt;=Premissas!$C$20,Premissas!$C$38*(1+Premissas!$C$58)^$C201,0)</f>
        <v>531.335997440459</v>
      </c>
      <c r="J201" s="22" t="n">
        <f aca="false">IF($A201&gt;=Premissas!$C$20,Premissas!$C$39*(1+Premissas!$C$58)^$C201,0)</f>
        <v>284.644284343103</v>
      </c>
      <c r="K201" s="22" t="n">
        <f aca="false">IF($A201&gt;=Premissas!$C$20,MAX(0,E201-F201-G201-H201)*Premissas!$C$41,0)</f>
        <v>1239.91050259856</v>
      </c>
      <c r="L201" s="22" t="n">
        <f aca="false">E201-F201-G201-H201-I201-J201-K201</f>
        <v>2452.87467961263</v>
      </c>
      <c r="M201" s="22" t="n">
        <f aca="false">($A201=Premissas!$C$18)*Premissas!$C$26*Premissas!$C$60</f>
        <v>0</v>
      </c>
      <c r="N201" s="22" t="n">
        <f aca="false">IF(AND($A201&gt;=Premissas!$C$18,$A201&lt;Premissas!$C$20),Premissas!$C$27/MAX(1,Premissas!$C$19),0)</f>
        <v>0</v>
      </c>
      <c r="O201" s="22" t="n">
        <f aca="false">IF($A201&gt;=Premissas!$C$18,Premissas!$C$60*(1+Premissas!$C$59)^((YEAR($A201)-YEAR(Premissas!$C$18))*12+MONTH($A201)-MONTH(Premissas!$C$18)),"")</f>
        <v>763738.983213349</v>
      </c>
      <c r="P201" s="31" t="n">
        <f aca="false">(1+IF(YEAR($A201)&lt;=2026,Premissas!$C$49,IF(YEAR($A201)=2027,Premissas!$C$50,IF(YEAR($A201)=2028,Premissas!$C$51,Premissas!$C$52)))*(1-Premissas!$C$53))^(1/12)-1</f>
        <v>0.00682149336596227</v>
      </c>
      <c r="Q201" s="22" t="n">
        <f aca="false">($A201=Premissas!$C$16)*Premissas!$C$13</f>
        <v>0</v>
      </c>
      <c r="R201" s="22" t="n">
        <f aca="false">L201-M201-N201-Q201</f>
        <v>2452.87467961263</v>
      </c>
      <c r="S201" s="22" t="n">
        <f aca="false">S200+R201</f>
        <v>-17768.795822208</v>
      </c>
      <c r="T201" s="22" t="n">
        <f aca="false">IF($A201&gt;=Premissas!$C$18,O201*(1-Premissas!$C$45)-Premissas!$C$46*MAX(0,O201*(1-Premissas!$C$45)-(SUM($Q$5:$Q$355)+Premissas!$C$26*Premissas!$C$60)),"")</f>
        <v>650197.455934212</v>
      </c>
      <c r="U201" s="22" t="n">
        <f aca="false">IF($A201&gt;=Premissas!$C$18,S201+T201,"")</f>
        <v>632428.660112004</v>
      </c>
      <c r="V201" s="22" t="n">
        <f aca="false">V200*(1+$P201)-R201</f>
        <v>659597.733253883</v>
      </c>
      <c r="W201" s="22" t="n">
        <f aca="false">($A201=Premissas!$C$16)*Premissas!$C$9</f>
        <v>0</v>
      </c>
      <c r="X201" s="22" t="n">
        <f aca="false">L201-M201-N201-W201</f>
        <v>2452.87467961263</v>
      </c>
      <c r="Y201" s="22" t="n">
        <f aca="false">Y200+X201</f>
        <v>-48696.7958222078</v>
      </c>
      <c r="Z201" s="22" t="n">
        <f aca="false">IF($A201&gt;=Premissas!$C$18,O201*(1-Premissas!$C$45)-Premissas!$C$46*MAX(0,O201*(1-Premissas!$C$45)-(SUM($W$5:$W$355)+Premissas!$C$26*Premissas!$C$60)),"")</f>
        <v>654836.655934212</v>
      </c>
      <c r="AA201" s="22" t="n">
        <f aca="false">IF($A201&gt;=Premissas!$C$18,Y201+Z201,"")</f>
        <v>606139.860112004</v>
      </c>
      <c r="AB201" s="22" t="n">
        <f aca="false">AB200*(1+$P201)-X201</f>
        <v>780680.837470239</v>
      </c>
      <c r="AC201" s="22" t="n">
        <f aca="false">AND($A201&gt;=Premissas!$C$16,$A201&lt;EDATE(Premissas!$C$16,3))*Premissas!$C$10/3*(1+Premissas!$C$56)^$C201</f>
        <v>0</v>
      </c>
      <c r="AD201" s="22" t="n">
        <f aca="false">L201-M201-N201-AC201</f>
        <v>2452.87467961263</v>
      </c>
      <c r="AE201" s="22" t="n">
        <f aca="false">AE200+AD201</f>
        <v>-56317.2597022327</v>
      </c>
      <c r="AF201" s="22" t="n">
        <f aca="false">IF($A201&gt;=Premissas!$C$18,O201*(1-Premissas!$C$45)-Premissas!$C$46*MAX(0,O201*(1-Premissas!$C$45)-(SUM($AC$5:$AC$355)+Premissas!$C$26*Premissas!$C$60)),"")</f>
        <v>655979.725516216</v>
      </c>
      <c r="AG201" s="22" t="n">
        <f aca="false">IF($A201&gt;=Premissas!$C$18,AE201+AF201,"")</f>
        <v>599662.465813983</v>
      </c>
      <c r="AH201" s="22" t="n">
        <f aca="false">AH200*(1+$P201)-AD201</f>
        <v>799981.390865033</v>
      </c>
      <c r="AI201" s="22" t="n">
        <f aca="false">($A201=Premissas!$C$16)*0.2*Premissas!$C$11+AND($A201&gt;Premissas!$C$16,$A201&lt;=EDATE(Premissas!$C$16,43))*0.8*Premissas!$C$11/43*(1+Premissas!$C$56)^$C201</f>
        <v>0</v>
      </c>
      <c r="AJ201" s="22" t="n">
        <f aca="false">L201-M201-N201-AI201</f>
        <v>2452.87467961263</v>
      </c>
      <c r="AK201" s="22" t="n">
        <f aca="false">AK200+AJ201</f>
        <v>-102181.745120295</v>
      </c>
      <c r="AL201" s="22" t="n">
        <f aca="false">IF($A201&gt;=Premissas!$C$18,O201*(1-Premissas!$C$45)-Premissas!$C$46*MAX(0,O201*(1-Premissas!$C$45)-(SUM($AI$5:$AI$355)+Premissas!$C$26*Premissas!$C$60)),"")</f>
        <v>662859.398328925</v>
      </c>
      <c r="AM201" s="22" t="n">
        <f aca="false">IF($A201&gt;=Premissas!$C$18,AK201+AL201,"")</f>
        <v>560677.653208631</v>
      </c>
      <c r="AN201" s="22" t="n">
        <f aca="false">AN200*(1+$P201)-AJ201</f>
        <v>817989.912167241</v>
      </c>
      <c r="AO201" s="22" t="n">
        <f aca="false">V201+S201</f>
        <v>641828.937431675</v>
      </c>
    </row>
    <row r="202" customFormat="false" ht="15" hidden="false" customHeight="false" outlineLevel="0" collapsed="false">
      <c r="A202" s="26" t="n">
        <f aca="false">DATE(YEAR(A201),MONTH(A201)+1,1)</f>
        <v>52291</v>
      </c>
      <c r="B202" s="22" t="str">
        <f aca="false">IF($A202&lt;Premissas!$C$18,"Obra",IF($A202&lt;Premissas!$C$20,"Entrega/mobília","Airbnb"))</f>
        <v>Airbnb</v>
      </c>
      <c r="C202" s="36" t="n">
        <f aca="false">(YEAR($A202)-YEAR(Premissas!$C$16))*12+MONTH($A202)-MONTH(Premissas!$C$16)</f>
        <v>197</v>
      </c>
      <c r="D202" s="33" t="n">
        <f aca="false">IF($A202&gt;=Premissas!$C$20,Premissas!$C$31*IF(((YEAR($A202)-YEAR(Premissas!$C$20))*12+MONTH($A202)-MONTH(Premissas!$C$20))&lt;Premissas!$C$33,Premissas!$C$34,1),0)</f>
        <v>0.62</v>
      </c>
      <c r="E202" s="22" t="n">
        <f aca="false">D202*Premissas!$C$30*Premissas!$C$32*(1+Premissas!$C$58)^$C202</f>
        <v>8852.86020547651</v>
      </c>
      <c r="F202" s="22" t="n">
        <f aca="false">E202*Premissas!$C$35</f>
        <v>1416.45763287624</v>
      </c>
      <c r="G202" s="22" t="n">
        <f aca="false">E202*Premissas!$C$36</f>
        <v>1770.5720410953</v>
      </c>
      <c r="H202" s="22" t="n">
        <f aca="false">IF($A202&gt;=Premissas!$C$18,Premissas!$C$37*(1+Premissas!$C$58)^$C202,0)</f>
        <v>1142.30454264213</v>
      </c>
      <c r="I202" s="22" t="n">
        <f aca="false">IF($A202&gt;=Premissas!$C$20,Premissas!$C$38*(1+Premissas!$C$58)^$C202,0)</f>
        <v>533.075453232994</v>
      </c>
      <c r="J202" s="22" t="n">
        <f aca="false">IF($A202&gt;=Premissas!$C$20,Premissas!$C$39*(1+Premissas!$C$58)^$C202,0)</f>
        <v>285.576135660533</v>
      </c>
      <c r="K202" s="22" t="n">
        <f aca="false">IF($A202&gt;=Premissas!$C$20,MAX(0,E202-F202-G202-H202)*Premissas!$C$41,0)</f>
        <v>1243.96964693728</v>
      </c>
      <c r="L202" s="22" t="n">
        <f aca="false">E202-F202-G202-H202-I202-J202-K202</f>
        <v>2460.90475303203</v>
      </c>
      <c r="M202" s="22" t="n">
        <f aca="false">($A202=Premissas!$C$18)*Premissas!$C$26*Premissas!$C$60</f>
        <v>0</v>
      </c>
      <c r="N202" s="22" t="n">
        <f aca="false">IF(AND($A202&gt;=Premissas!$C$18,$A202&lt;Premissas!$C$20),Premissas!$C$27/MAX(1,Premissas!$C$19),0)</f>
        <v>0</v>
      </c>
      <c r="O202" s="22" t="n">
        <f aca="false">IF($A202&gt;=Premissas!$C$18,Premissas!$C$60*(1+Premissas!$C$59)^((YEAR($A202)-YEAR(Premissas!$C$18))*12+MONTH($A202)-MONTH(Premissas!$C$18)),"")</f>
        <v>766850.550369358</v>
      </c>
      <c r="P202" s="31" t="n">
        <f aca="false">(1+IF(YEAR($A202)&lt;=2026,Premissas!$C$49,IF(YEAR($A202)=2027,Premissas!$C$50,IF(YEAR($A202)=2028,Premissas!$C$51,Premissas!$C$52)))*(1-Premissas!$C$53))^(1/12)-1</f>
        <v>0.00682149336596227</v>
      </c>
      <c r="Q202" s="22" t="n">
        <f aca="false">($A202=Premissas!$C$16)*Premissas!$C$13</f>
        <v>0</v>
      </c>
      <c r="R202" s="22" t="n">
        <f aca="false">L202-M202-N202-Q202</f>
        <v>2460.90475303203</v>
      </c>
      <c r="S202" s="22" t="n">
        <f aca="false">S201+R202</f>
        <v>-15307.8910691759</v>
      </c>
      <c r="T202" s="22" t="n">
        <f aca="false">IF($A202&gt;=Premissas!$C$18,O202*(1-Premissas!$C$45)-Premissas!$C$46*MAX(0,O202*(1-Premissas!$C$45)-(SUM($Q$5:$Q$355)+Premissas!$C$26*Premissas!$C$60)),"")</f>
        <v>652683.598091863</v>
      </c>
      <c r="U202" s="22" t="n">
        <f aca="false">IF($A202&gt;=Premissas!$C$18,S202+T202,"")</f>
        <v>637375.707022687</v>
      </c>
      <c r="V202" s="22" t="n">
        <f aca="false">V201*(1+$P202)-R202</f>
        <v>661636.270062446</v>
      </c>
      <c r="W202" s="22" t="n">
        <f aca="false">($A202=Premissas!$C$16)*Premissas!$C$9</f>
        <v>0</v>
      </c>
      <c r="X202" s="22" t="n">
        <f aca="false">L202-M202-N202-W202</f>
        <v>2460.90475303203</v>
      </c>
      <c r="Y202" s="22" t="n">
        <f aca="false">Y201+X202</f>
        <v>-46235.8910691758</v>
      </c>
      <c r="Z202" s="22" t="n">
        <f aca="false">IF($A202&gt;=Premissas!$C$18,O202*(1-Premissas!$C$45)-Premissas!$C$46*MAX(0,O202*(1-Premissas!$C$45)-(SUM($W$5:$W$355)+Premissas!$C$26*Premissas!$C$60)),"")</f>
        <v>657322.798091863</v>
      </c>
      <c r="AA202" s="22" t="n">
        <f aca="false">IF($A202&gt;=Premissas!$C$18,Y202+Z202,"")</f>
        <v>611086.907022688</v>
      </c>
      <c r="AB202" s="22" t="n">
        <f aca="false">AB201*(1+$P202)-X202</f>
        <v>783545.341870944</v>
      </c>
      <c r="AC202" s="22" t="n">
        <f aca="false">AND($A202&gt;=Premissas!$C$16,$A202&lt;EDATE(Premissas!$C$16,3))*Premissas!$C$10/3*(1+Premissas!$C$56)^$C202</f>
        <v>0</v>
      </c>
      <c r="AD202" s="22" t="n">
        <f aca="false">L202-M202-N202-AC202</f>
        <v>2460.90475303203</v>
      </c>
      <c r="AE202" s="22" t="n">
        <f aca="false">AE201+AD202</f>
        <v>-53856.3549492006</v>
      </c>
      <c r="AF202" s="22" t="n">
        <f aca="false">IF($A202&gt;=Premissas!$C$18,O202*(1-Premissas!$C$45)-Premissas!$C$46*MAX(0,O202*(1-Premissas!$C$45)-(SUM($AC$5:$AC$355)+Premissas!$C$26*Premissas!$C$60)),"")</f>
        <v>658465.867673867</v>
      </c>
      <c r="AG202" s="22" t="n">
        <f aca="false">IF($A202&gt;=Premissas!$C$18,AE202+AF202,"")</f>
        <v>604609.512724667</v>
      </c>
      <c r="AH202" s="22" t="n">
        <f aca="false">AH201*(1+$P202)-AD202</f>
        <v>802977.55386268</v>
      </c>
      <c r="AI202" s="22" t="n">
        <f aca="false">($A202=Premissas!$C$16)*0.2*Premissas!$C$11+AND($A202&gt;Premissas!$C$16,$A202&lt;=EDATE(Premissas!$C$16,43))*0.8*Premissas!$C$11/43*(1+Premissas!$C$56)^$C202</f>
        <v>0</v>
      </c>
      <c r="AJ202" s="22" t="n">
        <f aca="false">L202-M202-N202-AI202</f>
        <v>2460.90475303203</v>
      </c>
      <c r="AK202" s="22" t="n">
        <f aca="false">AK201+AJ202</f>
        <v>-99720.8403672625</v>
      </c>
      <c r="AL202" s="22" t="n">
        <f aca="false">IF($A202&gt;=Premissas!$C$18,O202*(1-Premissas!$C$45)-Premissas!$C$46*MAX(0,O202*(1-Premissas!$C$45)-(SUM($AI$5:$AI$355)+Premissas!$C$26*Premissas!$C$60)),"")</f>
        <v>665345.540486576</v>
      </c>
      <c r="AM202" s="22" t="n">
        <f aca="false">IF($A202&gt;=Premissas!$C$18,AK202+AL202,"")</f>
        <v>565624.700119314</v>
      </c>
      <c r="AN202" s="22" t="n">
        <f aca="false">AN201*(1+$P202)-AJ202</f>
        <v>821108.920173482</v>
      </c>
      <c r="AO202" s="22" t="n">
        <f aca="false">V202+S202</f>
        <v>646328.37899327</v>
      </c>
    </row>
    <row r="203" customFormat="false" ht="15" hidden="false" customHeight="false" outlineLevel="0" collapsed="false">
      <c r="A203" s="26" t="n">
        <f aca="false">DATE(YEAR(A202),MONTH(A202)+1,1)</f>
        <v>52322</v>
      </c>
      <c r="B203" s="22" t="str">
        <f aca="false">IF($A203&lt;Premissas!$C$18,"Obra",IF($A203&lt;Premissas!$C$20,"Entrega/mobília","Airbnb"))</f>
        <v>Airbnb</v>
      </c>
      <c r="C203" s="36" t="n">
        <f aca="false">(YEAR($A203)-YEAR(Premissas!$C$16))*12+MONTH($A203)-MONTH(Premissas!$C$16)</f>
        <v>198</v>
      </c>
      <c r="D203" s="33" t="n">
        <f aca="false">IF($A203&gt;=Premissas!$C$20,Premissas!$C$31*IF(((YEAR($A203)-YEAR(Premissas!$C$20))*12+MONTH($A203)-MONTH(Premissas!$C$20))&lt;Premissas!$C$33,Premissas!$C$34,1),0)</f>
        <v>0.62</v>
      </c>
      <c r="E203" s="22" t="n">
        <f aca="false">D203*Premissas!$C$30*Premissas!$C$32*(1+Premissas!$C$58)^$C203</f>
        <v>8881.84216611743</v>
      </c>
      <c r="F203" s="22" t="n">
        <f aca="false">E203*Premissas!$C$35</f>
        <v>1421.09474657879</v>
      </c>
      <c r="G203" s="22" t="n">
        <f aca="false">E203*Premissas!$C$36</f>
        <v>1776.36843322349</v>
      </c>
      <c r="H203" s="22" t="n">
        <f aca="false">IF($A203&gt;=Premissas!$C$18,Premissas!$C$37*(1+Premissas!$C$58)^$C203,0)</f>
        <v>1146.04415046676</v>
      </c>
      <c r="I203" s="22" t="n">
        <f aca="false">IF($A203&gt;=Premissas!$C$20,Premissas!$C$38*(1+Premissas!$C$58)^$C203,0)</f>
        <v>534.820603551157</v>
      </c>
      <c r="J203" s="22" t="n">
        <f aca="false">IF($A203&gt;=Premissas!$C$20,Premissas!$C$39*(1+Premissas!$C$58)^$C203,0)</f>
        <v>286.511037616691</v>
      </c>
      <c r="K203" s="22" t="n">
        <f aca="false">IF($A203&gt;=Premissas!$C$20,MAX(0,E203-F203-G203-H203)*Premissas!$C$41,0)</f>
        <v>1248.04207985831</v>
      </c>
      <c r="L203" s="22" t="n">
        <f aca="false">E203-F203-G203-H203-I203-J203-K203</f>
        <v>2468.96111482223</v>
      </c>
      <c r="M203" s="22" t="n">
        <f aca="false">($A203=Premissas!$C$18)*Premissas!$C$26*Premissas!$C$60</f>
        <v>0</v>
      </c>
      <c r="N203" s="22" t="n">
        <f aca="false">IF(AND($A203&gt;=Premissas!$C$18,$A203&lt;Premissas!$C$20),Premissas!$C$27/MAX(1,Premissas!$C$19),0)</f>
        <v>0</v>
      </c>
      <c r="O203" s="22" t="n">
        <f aca="false">IF($A203&gt;=Premissas!$C$18,Premissas!$C$60*(1+Premissas!$C$59)^((YEAR($A203)-YEAR(Premissas!$C$18))*12+MONTH($A203)-MONTH(Premissas!$C$18)),"")</f>
        <v>769974.794435122</v>
      </c>
      <c r="P203" s="31" t="n">
        <f aca="false">(1+IF(YEAR($A203)&lt;=2026,Premissas!$C$49,IF(YEAR($A203)=2027,Premissas!$C$50,IF(YEAR($A203)=2028,Premissas!$C$51,Premissas!$C$52)))*(1-Premissas!$C$53))^(1/12)-1</f>
        <v>0.00682149336596227</v>
      </c>
      <c r="Q203" s="22" t="n">
        <f aca="false">($A203=Premissas!$C$16)*Premissas!$C$13</f>
        <v>0</v>
      </c>
      <c r="R203" s="22" t="n">
        <f aca="false">L203-M203-N203-Q203</f>
        <v>2468.96111482223</v>
      </c>
      <c r="S203" s="22" t="n">
        <f aca="false">S202+R203</f>
        <v>-12838.9299543537</v>
      </c>
      <c r="T203" s="22" t="n">
        <f aca="false">IF($A203&gt;=Premissas!$C$18,O203*(1-Premissas!$C$45)-Premissas!$C$46*MAX(0,O203*(1-Premissas!$C$45)-(SUM($Q$5:$Q$355)+Premissas!$C$26*Premissas!$C$60)),"")</f>
        <v>655179.869100409</v>
      </c>
      <c r="U203" s="22" t="n">
        <f aca="false">IF($A203&gt;=Premissas!$C$18,S203+T203,"")</f>
        <v>642340.939146055</v>
      </c>
      <c r="V203" s="22" t="n">
        <f aca="false">V202*(1+$P203)-R203</f>
        <v>663680.656374535</v>
      </c>
      <c r="W203" s="22" t="n">
        <f aca="false">($A203=Premissas!$C$16)*Premissas!$C$9</f>
        <v>0</v>
      </c>
      <c r="X203" s="22" t="n">
        <f aca="false">L203-M203-N203-W203</f>
        <v>2468.96111482223</v>
      </c>
      <c r="Y203" s="22" t="n">
        <f aca="false">Y202+X203</f>
        <v>-43766.9299543536</v>
      </c>
      <c r="Z203" s="22" t="n">
        <f aca="false">IF($A203&gt;=Premissas!$C$18,O203*(1-Premissas!$C$45)-Premissas!$C$46*MAX(0,O203*(1-Premissas!$C$45)-(SUM($W$5:$W$355)+Premissas!$C$26*Premissas!$C$60)),"")</f>
        <v>659819.069100409</v>
      </c>
      <c r="AA203" s="22" t="n">
        <f aca="false">IF($A203&gt;=Premissas!$C$18,Y203+Z203,"")</f>
        <v>616052.139146055</v>
      </c>
      <c r="AB203" s="22" t="n">
        <f aca="false">AB202*(1+$P203)-X203</f>
        <v>786421.330107625</v>
      </c>
      <c r="AC203" s="22" t="n">
        <f aca="false">AND($A203&gt;=Premissas!$C$16,$A203&lt;EDATE(Premissas!$C$16,3))*Premissas!$C$10/3*(1+Premissas!$C$56)^$C203</f>
        <v>0</v>
      </c>
      <c r="AD203" s="22" t="n">
        <f aca="false">L203-M203-N203-AC203</f>
        <v>2468.96111482223</v>
      </c>
      <c r="AE203" s="22" t="n">
        <f aca="false">AE202+AD203</f>
        <v>-51387.3938343784</v>
      </c>
      <c r="AF203" s="22" t="n">
        <f aca="false">IF($A203&gt;=Premissas!$C$18,O203*(1-Premissas!$C$45)-Premissas!$C$46*MAX(0,O203*(1-Premissas!$C$45)-(SUM($AC$5:$AC$355)+Premissas!$C$26*Premissas!$C$60)),"")</f>
        <v>660962.138682412</v>
      </c>
      <c r="AG203" s="22" t="n">
        <f aca="false">IF($A203&gt;=Premissas!$C$18,AE203+AF203,"")</f>
        <v>609574.744848034</v>
      </c>
      <c r="AH203" s="22" t="n">
        <f aca="false">AH202*(1+$P203)-AD203</f>
        <v>805986.098804549</v>
      </c>
      <c r="AI203" s="22" t="n">
        <f aca="false">($A203=Premissas!$C$16)*0.2*Premissas!$C$11+AND($A203&gt;Premissas!$C$16,$A203&lt;=EDATE(Premissas!$C$16,43))*0.8*Premissas!$C$11/43*(1+Premissas!$C$56)^$C203</f>
        <v>0</v>
      </c>
      <c r="AJ203" s="22" t="n">
        <f aca="false">L203-M203-N203-AI203</f>
        <v>2468.96111482223</v>
      </c>
      <c r="AK203" s="22" t="n">
        <f aca="false">AK202+AJ203</f>
        <v>-97251.8792524403</v>
      </c>
      <c r="AL203" s="22" t="n">
        <f aca="false">IF($A203&gt;=Premissas!$C$18,O203*(1-Premissas!$C$45)-Premissas!$C$46*MAX(0,O203*(1-Premissas!$C$45)-(SUM($AI$5:$AI$355)+Premissas!$C$26*Premissas!$C$60)),"")</f>
        <v>667841.811495122</v>
      </c>
      <c r="AM203" s="22" t="n">
        <f aca="false">IF($A203&gt;=Premissas!$C$18,AK203+AL203,"")</f>
        <v>570589.932242681</v>
      </c>
      <c r="AN203" s="22" t="n">
        <f aca="false">AN202*(1+$P203)-AJ203</f>
        <v>824241.148110355</v>
      </c>
      <c r="AO203" s="22" t="n">
        <f aca="false">V203+S203</f>
        <v>650841.726420181</v>
      </c>
    </row>
    <row r="204" customFormat="false" ht="15" hidden="false" customHeight="false" outlineLevel="0" collapsed="false">
      <c r="A204" s="26" t="n">
        <f aca="false">DATE(YEAR(A203),MONTH(A203)+1,1)</f>
        <v>52352</v>
      </c>
      <c r="B204" s="22" t="str">
        <f aca="false">IF($A204&lt;Premissas!$C$18,"Obra",IF($A204&lt;Premissas!$C$20,"Entrega/mobília","Airbnb"))</f>
        <v>Airbnb</v>
      </c>
      <c r="C204" s="36" t="n">
        <f aca="false">(YEAR($A204)-YEAR(Premissas!$C$16))*12+MONTH($A204)-MONTH(Premissas!$C$16)</f>
        <v>199</v>
      </c>
      <c r="D204" s="33" t="n">
        <f aca="false">IF($A204&gt;=Premissas!$C$20,Premissas!$C$31*IF(((YEAR($A204)-YEAR(Premissas!$C$20))*12+MONTH($A204)-MONTH(Premissas!$C$20))&lt;Premissas!$C$33,Premissas!$C$34,1),0)</f>
        <v>0.62</v>
      </c>
      <c r="E204" s="22" t="n">
        <f aca="false">D204*Premissas!$C$30*Premissas!$C$32*(1+Premissas!$C$58)^$C204</f>
        <v>8910.91900615586</v>
      </c>
      <c r="F204" s="22" t="n">
        <f aca="false">E204*Premissas!$C$35</f>
        <v>1425.74704098494</v>
      </c>
      <c r="G204" s="22" t="n">
        <f aca="false">E204*Premissas!$C$36</f>
        <v>1782.18380123117</v>
      </c>
      <c r="H204" s="22" t="n">
        <f aca="false">IF($A204&gt;=Premissas!$C$18,Premissas!$C$37*(1+Premissas!$C$58)^$C204,0)</f>
        <v>1149.7960007943</v>
      </c>
      <c r="I204" s="22" t="n">
        <f aca="false">IF($A204&gt;=Premissas!$C$20,Premissas!$C$38*(1+Premissas!$C$58)^$C204,0)</f>
        <v>536.571467037342</v>
      </c>
      <c r="J204" s="22" t="n">
        <f aca="false">IF($A204&gt;=Premissas!$C$20,Premissas!$C$39*(1+Premissas!$C$58)^$C204,0)</f>
        <v>287.449000198576</v>
      </c>
      <c r="K204" s="22" t="n">
        <f aca="false">IF($A204&gt;=Premissas!$C$20,MAX(0,E204-F204-G204-H204)*Premissas!$C$41,0)</f>
        <v>1252.127844865</v>
      </c>
      <c r="L204" s="22" t="n">
        <f aca="false">E204-F204-G204-H204-I204-J204-K204</f>
        <v>2477.04385104453</v>
      </c>
      <c r="M204" s="22" t="n">
        <f aca="false">($A204=Premissas!$C$18)*Premissas!$C$26*Premissas!$C$60</f>
        <v>0</v>
      </c>
      <c r="N204" s="22" t="n">
        <f aca="false">IF(AND($A204&gt;=Premissas!$C$18,$A204&lt;Premissas!$C$20),Premissas!$C$27/MAX(1,Premissas!$C$19),0)</f>
        <v>0</v>
      </c>
      <c r="O204" s="22" t="n">
        <f aca="false">IF($A204&gt;=Premissas!$C$18,Premissas!$C$60*(1+Premissas!$C$59)^((YEAR($A204)-YEAR(Premissas!$C$18))*12+MONTH($A204)-MONTH(Premissas!$C$18)),"")</f>
        <v>773111.76705794</v>
      </c>
      <c r="P204" s="31" t="n">
        <f aca="false">(1+IF(YEAR($A204)&lt;=2026,Premissas!$C$49,IF(YEAR($A204)=2027,Premissas!$C$50,IF(YEAR($A204)=2028,Premissas!$C$51,Premissas!$C$52)))*(1-Premissas!$C$53))^(1/12)-1</f>
        <v>0.00682149336596227</v>
      </c>
      <c r="Q204" s="22" t="n">
        <f aca="false">($A204=Premissas!$C$16)*Premissas!$C$13</f>
        <v>0</v>
      </c>
      <c r="R204" s="22" t="n">
        <f aca="false">L204-M204-N204-Q204</f>
        <v>2477.04385104453</v>
      </c>
      <c r="S204" s="22" t="n">
        <f aca="false">S203+R204</f>
        <v>-10361.8861033092</v>
      </c>
      <c r="T204" s="22" t="n">
        <f aca="false">IF($A204&gt;=Premissas!$C$18,O204*(1-Premissas!$C$45)-Premissas!$C$46*MAX(0,O204*(1-Premissas!$C$45)-(SUM($Q$5:$Q$355)+Premissas!$C$26*Premissas!$C$60)),"")</f>
        <v>657686.31022604</v>
      </c>
      <c r="U204" s="22" t="n">
        <f aca="false">IF($A204&gt;=Premissas!$C$18,S204+T204,"")</f>
        <v>647324.424122731</v>
      </c>
      <c r="V204" s="22" t="n">
        <f aca="false">V203*(1+$P204)-R204</f>
        <v>665730.905718067</v>
      </c>
      <c r="W204" s="22" t="n">
        <f aca="false">($A204=Premissas!$C$16)*Premissas!$C$9</f>
        <v>0</v>
      </c>
      <c r="X204" s="22" t="n">
        <f aca="false">L204-M204-N204-W204</f>
        <v>2477.04385104453</v>
      </c>
      <c r="Y204" s="22" t="n">
        <f aca="false">Y203+X204</f>
        <v>-41289.886103309</v>
      </c>
      <c r="Z204" s="22" t="n">
        <f aca="false">IF($A204&gt;=Premissas!$C$18,O204*(1-Premissas!$C$45)-Premissas!$C$46*MAX(0,O204*(1-Premissas!$C$45)-(SUM($W$5:$W$355)+Premissas!$C$26*Premissas!$C$60)),"")</f>
        <v>662325.51022604</v>
      </c>
      <c r="AA204" s="22" t="n">
        <f aca="false">IF($A204&gt;=Premissas!$C$18,Y204+Z204,"")</f>
        <v>621035.624122731</v>
      </c>
      <c r="AB204" s="22" t="n">
        <f aca="false">AB203*(1+$P204)-X204</f>
        <v>789308.854142761</v>
      </c>
      <c r="AC204" s="22" t="n">
        <f aca="false">AND($A204&gt;=Premissas!$C$16,$A204&lt;EDATE(Premissas!$C$16,3))*Premissas!$C$10/3*(1+Premissas!$C$56)^$C204</f>
        <v>0</v>
      </c>
      <c r="AD204" s="22" t="n">
        <f aca="false">L204-M204-N204-AC204</f>
        <v>2477.04385104453</v>
      </c>
      <c r="AE204" s="22" t="n">
        <f aca="false">AE203+AD204</f>
        <v>-48910.3499833339</v>
      </c>
      <c r="AF204" s="22" t="n">
        <f aca="false">IF($A204&gt;=Premissas!$C$18,O204*(1-Premissas!$C$45)-Premissas!$C$46*MAX(0,O204*(1-Premissas!$C$45)-(SUM($AC$5:$AC$355)+Premissas!$C$26*Premissas!$C$60)),"")</f>
        <v>663468.579808044</v>
      </c>
      <c r="AG204" s="22" t="n">
        <f aca="false">IF($A204&gt;=Premissas!$C$18,AE204+AF204,"")</f>
        <v>614558.22982471</v>
      </c>
      <c r="AH204" s="22" t="n">
        <f aca="false">AH203*(1+$P204)-AD204</f>
        <v>809007.083779557</v>
      </c>
      <c r="AI204" s="22" t="n">
        <f aca="false">($A204=Premissas!$C$16)*0.2*Premissas!$C$11+AND($A204&gt;Premissas!$C$16,$A204&lt;=EDATE(Premissas!$C$16,43))*0.8*Premissas!$C$11/43*(1+Premissas!$C$56)^$C204</f>
        <v>0</v>
      </c>
      <c r="AJ204" s="22" t="n">
        <f aca="false">L204-M204-N204-AI204</f>
        <v>2477.04385104453</v>
      </c>
      <c r="AK204" s="22" t="n">
        <f aca="false">AK203+AJ204</f>
        <v>-94774.8354013958</v>
      </c>
      <c r="AL204" s="22" t="n">
        <f aca="false">IF($A204&gt;=Premissas!$C$18,O204*(1-Premissas!$C$45)-Premissas!$C$46*MAX(0,O204*(1-Premissas!$C$45)-(SUM($AI$5:$AI$355)+Premissas!$C$26*Premissas!$C$60)),"")</f>
        <v>670348.252620753</v>
      </c>
      <c r="AM204" s="22" t="n">
        <f aca="false">IF($A204&gt;=Premissas!$C$18,AK204+AL204,"")</f>
        <v>575573.417219357</v>
      </c>
      <c r="AN204" s="22" t="n">
        <f aca="false">AN203*(1+$P204)-AJ204</f>
        <v>827386.659783099</v>
      </c>
      <c r="AO204" s="22" t="n">
        <f aca="false">V204+S204</f>
        <v>655369.019614757</v>
      </c>
    </row>
    <row r="205" customFormat="false" ht="15" hidden="false" customHeight="false" outlineLevel="0" collapsed="false">
      <c r="A205" s="26" t="n">
        <f aca="false">DATE(YEAR(A204),MONTH(A204)+1,1)</f>
        <v>52383</v>
      </c>
      <c r="B205" s="22" t="str">
        <f aca="false">IF($A205&lt;Premissas!$C$18,"Obra",IF($A205&lt;Premissas!$C$20,"Entrega/mobília","Airbnb"))</f>
        <v>Airbnb</v>
      </c>
      <c r="C205" s="36" t="n">
        <f aca="false">(YEAR($A205)-YEAR(Premissas!$C$16))*12+MONTH($A205)-MONTH(Premissas!$C$16)</f>
        <v>200</v>
      </c>
      <c r="D205" s="33" t="n">
        <f aca="false">IF($A205&gt;=Premissas!$C$20,Premissas!$C$31*IF(((YEAR($A205)-YEAR(Premissas!$C$20))*12+MONTH($A205)-MONTH(Premissas!$C$20))&lt;Premissas!$C$33,Premissas!$C$34,1),0)</f>
        <v>0.62</v>
      </c>
      <c r="E205" s="22" t="n">
        <f aca="false">D205*Premissas!$C$30*Premissas!$C$32*(1+Premissas!$C$58)^$C205</f>
        <v>8940.09103620226</v>
      </c>
      <c r="F205" s="22" t="n">
        <f aca="false">E205*Premissas!$C$35</f>
        <v>1430.41456579236</v>
      </c>
      <c r="G205" s="22" t="n">
        <f aca="false">E205*Premissas!$C$36</f>
        <v>1788.01820724045</v>
      </c>
      <c r="H205" s="22" t="n">
        <f aca="false">IF($A205&gt;=Premissas!$C$18,Premissas!$C$37*(1+Premissas!$C$58)^$C205,0)</f>
        <v>1153.56013370352</v>
      </c>
      <c r="I205" s="22" t="n">
        <f aca="false">IF($A205&gt;=Premissas!$C$20,Premissas!$C$38*(1+Premissas!$C$58)^$C205,0)</f>
        <v>538.328062394975</v>
      </c>
      <c r="J205" s="22" t="n">
        <f aca="false">IF($A205&gt;=Premissas!$C$20,Premissas!$C$39*(1+Premissas!$C$58)^$C205,0)</f>
        <v>288.390033425879</v>
      </c>
      <c r="K205" s="22" t="n">
        <f aca="false">IF($A205&gt;=Premissas!$C$20,MAX(0,E205-F205-G205-H205)*Premissas!$C$41,0)</f>
        <v>1256.22698560313</v>
      </c>
      <c r="L205" s="22" t="n">
        <f aca="false">E205-F205-G205-H205-I205-J205-K205</f>
        <v>2485.15304804194</v>
      </c>
      <c r="M205" s="22" t="n">
        <f aca="false">($A205=Premissas!$C$18)*Premissas!$C$26*Premissas!$C$60</f>
        <v>0</v>
      </c>
      <c r="N205" s="22" t="n">
        <f aca="false">IF(AND($A205&gt;=Premissas!$C$18,$A205&lt;Premissas!$C$20),Premissas!$C$27/MAX(1,Premissas!$C$19),0)</f>
        <v>0</v>
      </c>
      <c r="O205" s="22" t="n">
        <f aca="false">IF($A205&gt;=Premissas!$C$18,Premissas!$C$60*(1+Premissas!$C$59)^((YEAR($A205)-YEAR(Premissas!$C$18))*12+MONTH($A205)-MONTH(Premissas!$C$18)),"")</f>
        <v>776261.520095529</v>
      </c>
      <c r="P205" s="31" t="n">
        <f aca="false">(1+IF(YEAR($A205)&lt;=2026,Premissas!$C$49,IF(YEAR($A205)=2027,Premissas!$C$50,IF(YEAR($A205)=2028,Premissas!$C$51,Premissas!$C$52)))*(1-Premissas!$C$53))^(1/12)-1</f>
        <v>0.00682149336596227</v>
      </c>
      <c r="Q205" s="22" t="n">
        <f aca="false">($A205=Premissas!$C$16)*Premissas!$C$13</f>
        <v>0</v>
      </c>
      <c r="R205" s="22" t="n">
        <f aca="false">L205-M205-N205-Q205</f>
        <v>2485.15304804194</v>
      </c>
      <c r="S205" s="22" t="n">
        <f aca="false">S204+R205</f>
        <v>-7876.73305526723</v>
      </c>
      <c r="T205" s="22" t="n">
        <f aca="false">IF($A205&gt;=Premissas!$C$18,O205*(1-Premissas!$C$45)-Premissas!$C$46*MAX(0,O205*(1-Premissas!$C$45)-(SUM($Q$5:$Q$355)+Premissas!$C$26*Premissas!$C$60)),"")</f>
        <v>660202.962903074</v>
      </c>
      <c r="U205" s="22" t="n">
        <f aca="false">IF($A205&gt;=Premissas!$C$18,S205+T205,"")</f>
        <v>652326.229847807</v>
      </c>
      <c r="V205" s="22" t="n">
        <f aca="false">V204*(1+$P205)-R205</f>
        <v>667787.031626897</v>
      </c>
      <c r="W205" s="22" t="n">
        <f aca="false">($A205=Premissas!$C$16)*Premissas!$C$9</f>
        <v>0</v>
      </c>
      <c r="X205" s="22" t="n">
        <f aca="false">L205-M205-N205-W205</f>
        <v>2485.15304804194</v>
      </c>
      <c r="Y205" s="22" t="n">
        <f aca="false">Y204+X205</f>
        <v>-38804.7330552671</v>
      </c>
      <c r="Z205" s="22" t="n">
        <f aca="false">IF($A205&gt;=Premissas!$C$18,O205*(1-Premissas!$C$45)-Premissas!$C$46*MAX(0,O205*(1-Premissas!$C$45)-(SUM($W$5:$W$355)+Premissas!$C$26*Premissas!$C$60)),"")</f>
        <v>664842.162903074</v>
      </c>
      <c r="AA205" s="22" t="n">
        <f aca="false">IF($A205&gt;=Premissas!$C$18,Y205+Z205,"")</f>
        <v>626037.429847807</v>
      </c>
      <c r="AB205" s="22" t="n">
        <f aca="false">AB204*(1+$P205)-X205</f>
        <v>792207.966206949</v>
      </c>
      <c r="AC205" s="22" t="n">
        <f aca="false">AND($A205&gt;=Premissas!$C$16,$A205&lt;EDATE(Premissas!$C$16,3))*Premissas!$C$10/3*(1+Premissas!$C$56)^$C205</f>
        <v>0</v>
      </c>
      <c r="AD205" s="22" t="n">
        <f aca="false">L205-M205-N205-AC205</f>
        <v>2485.15304804194</v>
      </c>
      <c r="AE205" s="22" t="n">
        <f aca="false">AE204+AD205</f>
        <v>-46425.1969352919</v>
      </c>
      <c r="AF205" s="22" t="n">
        <f aca="false">IF($A205&gt;=Premissas!$C$18,O205*(1-Premissas!$C$45)-Premissas!$C$46*MAX(0,O205*(1-Premissas!$C$45)-(SUM($AC$5:$AC$355)+Premissas!$C$26*Premissas!$C$60)),"")</f>
        <v>665985.232485078</v>
      </c>
      <c r="AG205" s="22" t="n">
        <f aca="false">IF($A205&gt;=Premissas!$C$18,AE205+AF205,"")</f>
        <v>619560.035549786</v>
      </c>
      <c r="AH205" s="22" t="n">
        <f aca="false">AH204*(1+$P205)-AD205</f>
        <v>812040.567186534</v>
      </c>
      <c r="AI205" s="22" t="n">
        <f aca="false">($A205=Premissas!$C$16)*0.2*Premissas!$C$11+AND($A205&gt;Premissas!$C$16,$A205&lt;=EDATE(Premissas!$C$16,43))*0.8*Premissas!$C$11/43*(1+Premissas!$C$56)^$C205</f>
        <v>0</v>
      </c>
      <c r="AJ205" s="22" t="n">
        <f aca="false">L205-M205-N205-AI205</f>
        <v>2485.15304804194</v>
      </c>
      <c r="AK205" s="22" t="n">
        <f aca="false">AK204+AJ205</f>
        <v>-92289.6823533538</v>
      </c>
      <c r="AL205" s="22" t="n">
        <f aca="false">IF($A205&gt;=Premissas!$C$18,O205*(1-Premissas!$C$45)-Premissas!$C$46*MAX(0,O205*(1-Premissas!$C$45)-(SUM($AI$5:$AI$355)+Premissas!$C$26*Premissas!$C$60)),"")</f>
        <v>672864.905297787</v>
      </c>
      <c r="AM205" s="22" t="n">
        <f aca="false">IF($A205&gt;=Premissas!$C$18,AK205+AL205,"")</f>
        <v>580575.222944433</v>
      </c>
      <c r="AN205" s="22" t="n">
        <f aca="false">AN204*(1+$P205)-AJ205</f>
        <v>830545.519345853</v>
      </c>
      <c r="AO205" s="22" t="n">
        <f aca="false">V205+S205</f>
        <v>659910.298571629</v>
      </c>
    </row>
    <row r="206" customFormat="false" ht="15" hidden="false" customHeight="false" outlineLevel="0" collapsed="false">
      <c r="A206" s="26" t="n">
        <f aca="false">DATE(YEAR(A205),MONTH(A205)+1,1)</f>
        <v>52413</v>
      </c>
      <c r="B206" s="22" t="str">
        <f aca="false">IF($A206&lt;Premissas!$C$18,"Obra",IF($A206&lt;Premissas!$C$20,"Entrega/mobília","Airbnb"))</f>
        <v>Airbnb</v>
      </c>
      <c r="C206" s="36" t="n">
        <f aca="false">(YEAR($A206)-YEAR(Premissas!$C$16))*12+MONTH($A206)-MONTH(Premissas!$C$16)</f>
        <v>201</v>
      </c>
      <c r="D206" s="33" t="n">
        <f aca="false">IF($A206&gt;=Premissas!$C$20,Premissas!$C$31*IF(((YEAR($A206)-YEAR(Premissas!$C$20))*12+MONTH($A206)-MONTH(Premissas!$C$20))&lt;Premissas!$C$33,Premissas!$C$34,1),0)</f>
        <v>0.62</v>
      </c>
      <c r="E206" s="22" t="n">
        <f aca="false">D206*Premissas!$C$30*Premissas!$C$32*(1+Premissas!$C$58)^$C206</f>
        <v>8969.35856788396</v>
      </c>
      <c r="F206" s="22" t="n">
        <f aca="false">E206*Premissas!$C$35</f>
        <v>1435.09737086143</v>
      </c>
      <c r="G206" s="22" t="n">
        <f aca="false">E206*Premissas!$C$36</f>
        <v>1793.87171357679</v>
      </c>
      <c r="H206" s="22" t="n">
        <f aca="false">IF($A206&gt;=Premissas!$C$18,Premissas!$C$37*(1+Premissas!$C$58)^$C206,0)</f>
        <v>1157.33658940438</v>
      </c>
      <c r="I206" s="22" t="n">
        <f aca="false">IF($A206&gt;=Premissas!$C$20,Premissas!$C$38*(1+Premissas!$C$58)^$C206,0)</f>
        <v>540.090408388711</v>
      </c>
      <c r="J206" s="22" t="n">
        <f aca="false">IF($A206&gt;=Premissas!$C$20,Premissas!$C$39*(1+Premissas!$C$58)^$C206,0)</f>
        <v>289.334147351095</v>
      </c>
      <c r="K206" s="22" t="n">
        <f aca="false">IF($A206&gt;=Premissas!$C$20,MAX(0,E206-F206-G206-H206)*Premissas!$C$41,0)</f>
        <v>1260.33954586137</v>
      </c>
      <c r="L206" s="22" t="n">
        <f aca="false">E206-F206-G206-H206-I206-J206-K206</f>
        <v>2493.28879244017</v>
      </c>
      <c r="M206" s="22" t="n">
        <f aca="false">($A206=Premissas!$C$18)*Premissas!$C$26*Premissas!$C$60</f>
        <v>0</v>
      </c>
      <c r="N206" s="22" t="n">
        <f aca="false">IF(AND($A206&gt;=Premissas!$C$18,$A206&lt;Premissas!$C$20),Premissas!$C$27/MAX(1,Premissas!$C$19),0)</f>
        <v>0</v>
      </c>
      <c r="O206" s="22" t="n">
        <f aca="false">IF($A206&gt;=Premissas!$C$18,Premissas!$C$60*(1+Premissas!$C$59)^((YEAR($A206)-YEAR(Premissas!$C$18))*12+MONTH($A206)-MONTH(Premissas!$C$18)),"")</f>
        <v>779424.105616881</v>
      </c>
      <c r="P206" s="31" t="n">
        <f aca="false">(1+IF(YEAR($A206)&lt;=2026,Premissas!$C$49,IF(YEAR($A206)=2027,Premissas!$C$50,IF(YEAR($A206)=2028,Premissas!$C$51,Premissas!$C$52)))*(1-Premissas!$C$53))^(1/12)-1</f>
        <v>0.00682149336596227</v>
      </c>
      <c r="Q206" s="22" t="n">
        <f aca="false">($A206=Premissas!$C$16)*Premissas!$C$13</f>
        <v>0</v>
      </c>
      <c r="R206" s="22" t="n">
        <f aca="false">L206-M206-N206-Q206</f>
        <v>2493.28879244017</v>
      </c>
      <c r="S206" s="22" t="n">
        <f aca="false">S205+R206</f>
        <v>-5383.44426282706</v>
      </c>
      <c r="T206" s="22" t="n">
        <f aca="false">IF($A206&gt;=Premissas!$C$18,O206*(1-Premissas!$C$45)-Premissas!$C$46*MAX(0,O206*(1-Premissas!$C$45)-(SUM($Q$5:$Q$355)+Premissas!$C$26*Premissas!$C$60)),"")</f>
        <v>662729.868734634</v>
      </c>
      <c r="U206" s="22" t="n">
        <f aca="false">IF($A206&gt;=Premissas!$C$18,S206+T206,"")</f>
        <v>657346.424471807</v>
      </c>
      <c r="V206" s="22" t="n">
        <f aca="false">V205*(1+$P206)-R206</f>
        <v>669849.047640575</v>
      </c>
      <c r="W206" s="22" t="n">
        <f aca="false">($A206=Premissas!$C$16)*Premissas!$C$9</f>
        <v>0</v>
      </c>
      <c r="X206" s="22" t="n">
        <f aca="false">L206-M206-N206-W206</f>
        <v>2493.28879244017</v>
      </c>
      <c r="Y206" s="22" t="n">
        <f aca="false">Y205+X206</f>
        <v>-36311.4442628269</v>
      </c>
      <c r="Z206" s="22" t="n">
        <f aca="false">IF($A206&gt;=Premissas!$C$18,O206*(1-Premissas!$C$45)-Premissas!$C$46*MAX(0,O206*(1-Premissas!$C$45)-(SUM($W$5:$W$355)+Premissas!$C$26*Premissas!$C$60)),"")</f>
        <v>667369.068734634</v>
      </c>
      <c r="AA206" s="22" t="n">
        <f aca="false">IF($A206&gt;=Premissas!$C$18,Y206+Z206,"")</f>
        <v>631057.624471807</v>
      </c>
      <c r="AB206" s="22" t="n">
        <f aca="false">AB205*(1+$P206)-X206</f>
        <v>795118.718800452</v>
      </c>
      <c r="AC206" s="22" t="n">
        <f aca="false">AND($A206&gt;=Premissas!$C$16,$A206&lt;EDATE(Premissas!$C$16,3))*Premissas!$C$10/3*(1+Premissas!$C$56)^$C206</f>
        <v>0</v>
      </c>
      <c r="AD206" s="22" t="n">
        <f aca="false">L206-M206-N206-AC206</f>
        <v>2493.28879244017</v>
      </c>
      <c r="AE206" s="22" t="n">
        <f aca="false">AE205+AD206</f>
        <v>-43931.9081428517</v>
      </c>
      <c r="AF206" s="22" t="n">
        <f aca="false">IF($A206&gt;=Premissas!$C$18,O206*(1-Premissas!$C$45)-Premissas!$C$46*MAX(0,O206*(1-Premissas!$C$45)-(SUM($AC$5:$AC$355)+Premissas!$C$26*Premissas!$C$60)),"")</f>
        <v>668512.138316638</v>
      </c>
      <c r="AG206" s="22" t="n">
        <f aca="false">IF($A206&gt;=Premissas!$C$18,AE206+AF206,"")</f>
        <v>624580.230173786</v>
      </c>
      <c r="AH206" s="22" t="n">
        <f aca="false">AH205*(1+$P206)-AD206</f>
        <v>815086.607736049</v>
      </c>
      <c r="AI206" s="22" t="n">
        <f aca="false">($A206=Premissas!$C$16)*0.2*Premissas!$C$11+AND($A206&gt;Premissas!$C$16,$A206&lt;=EDATE(Premissas!$C$16,43))*0.8*Premissas!$C$11/43*(1+Premissas!$C$56)^$C206</f>
        <v>0</v>
      </c>
      <c r="AJ206" s="22" t="n">
        <f aca="false">L206-M206-N206-AI206</f>
        <v>2493.28879244017</v>
      </c>
      <c r="AK206" s="22" t="n">
        <f aca="false">AK205+AJ206</f>
        <v>-89796.3935609137</v>
      </c>
      <c r="AL206" s="22" t="n">
        <f aca="false">IF($A206&gt;=Premissas!$C$18,O206*(1-Premissas!$C$45)-Premissas!$C$46*MAX(0,O206*(1-Premissas!$C$45)-(SUM($AI$5:$AI$355)+Premissas!$C$26*Premissas!$C$60)),"")</f>
        <v>675391.811129347</v>
      </c>
      <c r="AM206" s="22" t="n">
        <f aca="false">IF($A206&gt;=Premissas!$C$18,AK206+AL206,"")</f>
        <v>585595.417568434</v>
      </c>
      <c r="AN206" s="22" t="n">
        <f aca="false">AN205*(1+$P206)-AJ206</f>
        <v>833717.79130376</v>
      </c>
      <c r="AO206" s="22" t="n">
        <f aca="false">V206+S206</f>
        <v>664465.603377748</v>
      </c>
    </row>
    <row r="207" customFormat="false" ht="15" hidden="false" customHeight="false" outlineLevel="0" collapsed="false">
      <c r="A207" s="26" t="n">
        <f aca="false">DATE(YEAR(A206),MONTH(A206)+1,1)</f>
        <v>52444</v>
      </c>
      <c r="B207" s="22" t="str">
        <f aca="false">IF($A207&lt;Premissas!$C$18,"Obra",IF($A207&lt;Premissas!$C$20,"Entrega/mobília","Airbnb"))</f>
        <v>Airbnb</v>
      </c>
      <c r="C207" s="36" t="n">
        <f aca="false">(YEAR($A207)-YEAR(Premissas!$C$16))*12+MONTH($A207)-MONTH(Premissas!$C$16)</f>
        <v>202</v>
      </c>
      <c r="D207" s="33" t="n">
        <f aca="false">IF($A207&gt;=Premissas!$C$20,Premissas!$C$31*IF(((YEAR($A207)-YEAR(Premissas!$C$20))*12+MONTH($A207)-MONTH(Premissas!$C$20))&lt;Premissas!$C$33,Premissas!$C$34,1),0)</f>
        <v>0.62</v>
      </c>
      <c r="E207" s="22" t="n">
        <f aca="false">D207*Premissas!$C$30*Premissas!$C$32*(1+Premissas!$C$58)^$C207</f>
        <v>8998.72191384845</v>
      </c>
      <c r="F207" s="22" t="n">
        <f aca="false">E207*Premissas!$C$35</f>
        <v>1439.79550621575</v>
      </c>
      <c r="G207" s="22" t="n">
        <f aca="false">E207*Premissas!$C$36</f>
        <v>1799.74438276969</v>
      </c>
      <c r="H207" s="22" t="n">
        <f aca="false">IF($A207&gt;=Premissas!$C$18,Premissas!$C$37*(1+Premissas!$C$58)^$C207,0)</f>
        <v>1161.12540823851</v>
      </c>
      <c r="I207" s="22" t="n">
        <f aca="false">IF($A207&gt;=Premissas!$C$20,Premissas!$C$38*(1+Premissas!$C$58)^$C207,0)</f>
        <v>541.858523844638</v>
      </c>
      <c r="J207" s="22" t="n">
        <f aca="false">IF($A207&gt;=Premissas!$C$20,Premissas!$C$39*(1+Premissas!$C$58)^$C207,0)</f>
        <v>290.281352059627</v>
      </c>
      <c r="K207" s="22" t="n">
        <f aca="false">IF($A207&gt;=Premissas!$C$20,MAX(0,E207-F207-G207-H207)*Premissas!$C$41,0)</f>
        <v>1264.46556957174</v>
      </c>
      <c r="L207" s="22" t="n">
        <f aca="false">E207-F207-G207-H207-I207-J207-K207</f>
        <v>2501.4511711485</v>
      </c>
      <c r="M207" s="22" t="n">
        <f aca="false">($A207=Premissas!$C$18)*Premissas!$C$26*Premissas!$C$60</f>
        <v>0</v>
      </c>
      <c r="N207" s="22" t="n">
        <f aca="false">IF(AND($A207&gt;=Premissas!$C$18,$A207&lt;Premissas!$C$20),Premissas!$C$27/MAX(1,Premissas!$C$19),0)</f>
        <v>0</v>
      </c>
      <c r="O207" s="22" t="n">
        <f aca="false">IF($A207&gt;=Premissas!$C$18,Premissas!$C$60*(1+Premissas!$C$59)^((YEAR($A207)-YEAR(Premissas!$C$18))*12+MONTH($A207)-MONTH(Premissas!$C$18)),"")</f>
        <v>782599.575903124</v>
      </c>
      <c r="P207" s="31" t="n">
        <f aca="false">(1+IF(YEAR($A207)&lt;=2026,Premissas!$C$49,IF(YEAR($A207)=2027,Premissas!$C$50,IF(YEAR($A207)=2028,Premissas!$C$51,Premissas!$C$52)))*(1-Premissas!$C$53))^(1/12)-1</f>
        <v>0.00682149336596227</v>
      </c>
      <c r="Q207" s="22" t="n">
        <f aca="false">($A207=Premissas!$C$16)*Premissas!$C$13</f>
        <v>0</v>
      </c>
      <c r="R207" s="22" t="n">
        <f aca="false">L207-M207-N207-Q207</f>
        <v>2501.4511711485</v>
      </c>
      <c r="S207" s="22" t="n">
        <f aca="false">S206+R207</f>
        <v>-2881.99309167857</v>
      </c>
      <c r="T207" s="22" t="n">
        <f aca="false">IF($A207&gt;=Premissas!$C$18,O207*(1-Premissas!$C$45)-Premissas!$C$46*MAX(0,O207*(1-Premissas!$C$45)-(SUM($Q$5:$Q$355)+Premissas!$C$26*Premissas!$C$60)),"")</f>
        <v>665267.069493342</v>
      </c>
      <c r="U207" s="22" t="n">
        <f aca="false">IF($A207&gt;=Premissas!$C$18,S207+T207,"")</f>
        <v>662385.076401664</v>
      </c>
      <c r="V207" s="22" t="n">
        <f aca="false">V206*(1+$P207)-R207</f>
        <v>671916.967304103</v>
      </c>
      <c r="W207" s="22" t="n">
        <f aca="false">($A207=Premissas!$C$16)*Premissas!$C$9</f>
        <v>0</v>
      </c>
      <c r="X207" s="22" t="n">
        <f aca="false">L207-M207-N207-W207</f>
        <v>2501.4511711485</v>
      </c>
      <c r="Y207" s="22" t="n">
        <f aca="false">Y206+X207</f>
        <v>-33809.9930916784</v>
      </c>
      <c r="Z207" s="22" t="n">
        <f aca="false">IF($A207&gt;=Premissas!$C$18,O207*(1-Premissas!$C$45)-Premissas!$C$46*MAX(0,O207*(1-Premissas!$C$45)-(SUM($W$5:$W$355)+Premissas!$C$26*Premissas!$C$60)),"")</f>
        <v>669906.269493342</v>
      </c>
      <c r="AA207" s="22" t="n">
        <f aca="false">IF($A207&gt;=Premissas!$C$18,Y207+Z207,"")</f>
        <v>636096.276401664</v>
      </c>
      <c r="AB207" s="22" t="n">
        <f aca="false">AB206*(1+$P207)-X207</f>
        <v>798041.164694753</v>
      </c>
      <c r="AC207" s="22" t="n">
        <f aca="false">AND($A207&gt;=Premissas!$C$16,$A207&lt;EDATE(Premissas!$C$16,3))*Premissas!$C$10/3*(1+Premissas!$C$56)^$C207</f>
        <v>0</v>
      </c>
      <c r="AD207" s="22" t="n">
        <f aca="false">L207-M207-N207-AC207</f>
        <v>2501.4511711485</v>
      </c>
      <c r="AE207" s="22" t="n">
        <f aca="false">AE206+AD207</f>
        <v>-41430.4569717032</v>
      </c>
      <c r="AF207" s="22" t="n">
        <f aca="false">IF($A207&gt;=Premissas!$C$18,O207*(1-Premissas!$C$45)-Premissas!$C$46*MAX(0,O207*(1-Premissas!$C$45)-(SUM($AC$5:$AC$355)+Premissas!$C$26*Premissas!$C$60)),"")</f>
        <v>671049.339075346</v>
      </c>
      <c r="AG207" s="22" t="n">
        <f aca="false">IF($A207&gt;=Premissas!$C$18,AE207+AF207,"")</f>
        <v>629618.882103643</v>
      </c>
      <c r="AH207" s="22" t="n">
        <f aca="false">AH206*(1+$P207)-AD207</f>
        <v>818145.264452257</v>
      </c>
      <c r="AI207" s="22" t="n">
        <f aca="false">($A207=Premissas!$C$16)*0.2*Premissas!$C$11+AND($A207&gt;Premissas!$C$16,$A207&lt;=EDATE(Premissas!$C$16,43))*0.8*Premissas!$C$11/43*(1+Premissas!$C$56)^$C207</f>
        <v>0</v>
      </c>
      <c r="AJ207" s="22" t="n">
        <f aca="false">L207-M207-N207-AI207</f>
        <v>2501.4511711485</v>
      </c>
      <c r="AK207" s="22" t="n">
        <f aca="false">AK206+AJ207</f>
        <v>-87294.9423897652</v>
      </c>
      <c r="AL207" s="22" t="n">
        <f aca="false">IF($A207&gt;=Premissas!$C$18,O207*(1-Premissas!$C$45)-Premissas!$C$46*MAX(0,O207*(1-Premissas!$C$45)-(SUM($AI$5:$AI$355)+Premissas!$C$26*Premissas!$C$60)),"")</f>
        <v>677929.011888055</v>
      </c>
      <c r="AM207" s="22" t="n">
        <f aca="false">IF($A207&gt;=Premissas!$C$18,AK207+AL207,"")</f>
        <v>590634.06949829</v>
      </c>
      <c r="AN207" s="22" t="n">
        <f aca="false">AN206*(1+$P207)-AJ207</f>
        <v>836903.540515075</v>
      </c>
      <c r="AO207" s="22" t="n">
        <f aca="false">V207+S207</f>
        <v>669034.974212424</v>
      </c>
    </row>
    <row r="208" customFormat="false" ht="15" hidden="false" customHeight="false" outlineLevel="0" collapsed="false">
      <c r="A208" s="26" t="n">
        <f aca="false">DATE(YEAR(A207),MONTH(A207)+1,1)</f>
        <v>52475</v>
      </c>
      <c r="B208" s="22" t="str">
        <f aca="false">IF($A208&lt;Premissas!$C$18,"Obra",IF($A208&lt;Premissas!$C$20,"Entrega/mobília","Airbnb"))</f>
        <v>Airbnb</v>
      </c>
      <c r="C208" s="36" t="n">
        <f aca="false">(YEAR($A208)-YEAR(Premissas!$C$16))*12+MONTH($A208)-MONTH(Premissas!$C$16)</f>
        <v>203</v>
      </c>
      <c r="D208" s="33" t="n">
        <f aca="false">IF($A208&gt;=Premissas!$C$20,Premissas!$C$31*IF(((YEAR($A208)-YEAR(Premissas!$C$20))*12+MONTH($A208)-MONTH(Premissas!$C$20))&lt;Premissas!$C$33,Premissas!$C$34,1),0)</f>
        <v>0.62</v>
      </c>
      <c r="E208" s="22" t="n">
        <f aca="false">D208*Premissas!$C$30*Premissas!$C$32*(1+Premissas!$C$58)^$C208</f>
        <v>9028.18138776676</v>
      </c>
      <c r="F208" s="22" t="n">
        <f aca="false">E208*Premissas!$C$35</f>
        <v>1444.50902204268</v>
      </c>
      <c r="G208" s="22" t="n">
        <f aca="false">E208*Premissas!$C$36</f>
        <v>1805.63627755335</v>
      </c>
      <c r="H208" s="22" t="n">
        <f aca="false">IF($A208&gt;=Premissas!$C$18,Premissas!$C$37*(1+Premissas!$C$58)^$C208,0)</f>
        <v>1164.92663067958</v>
      </c>
      <c r="I208" s="22" t="n">
        <f aca="false">IF($A208&gt;=Premissas!$C$20,Premissas!$C$38*(1+Premissas!$C$58)^$C208,0)</f>
        <v>543.632427650471</v>
      </c>
      <c r="J208" s="22" t="n">
        <f aca="false">IF($A208&gt;=Premissas!$C$20,Premissas!$C$39*(1+Premissas!$C$58)^$C208,0)</f>
        <v>291.231657669895</v>
      </c>
      <c r="K208" s="22" t="n">
        <f aca="false">IF($A208&gt;=Premissas!$C$20,MAX(0,E208-F208-G208-H208)*Premissas!$C$41,0)</f>
        <v>1268.60510081006</v>
      </c>
      <c r="L208" s="22" t="n">
        <f aca="false">E208-F208-G208-H208-I208-J208-K208</f>
        <v>2509.64027136071</v>
      </c>
      <c r="M208" s="22" t="n">
        <f aca="false">($A208=Premissas!$C$18)*Premissas!$C$26*Premissas!$C$60</f>
        <v>0</v>
      </c>
      <c r="N208" s="22" t="n">
        <f aca="false">IF(AND($A208&gt;=Premissas!$C$18,$A208&lt;Premissas!$C$20),Premissas!$C$27/MAX(1,Premissas!$C$19),0)</f>
        <v>0</v>
      </c>
      <c r="O208" s="22" t="n">
        <f aca="false">IF($A208&gt;=Premissas!$C$18,Premissas!$C$60*(1+Premissas!$C$59)^((YEAR($A208)-YEAR(Premissas!$C$18))*12+MONTH($A208)-MONTH(Premissas!$C$18)),"")</f>
        <v>785787.983448384</v>
      </c>
      <c r="P208" s="31" t="n">
        <f aca="false">(1+IF(YEAR($A208)&lt;=2026,Premissas!$C$49,IF(YEAR($A208)=2027,Premissas!$C$50,IF(YEAR($A208)=2028,Premissas!$C$51,Premissas!$C$52)))*(1-Premissas!$C$53))^(1/12)-1</f>
        <v>0.00682149336596227</v>
      </c>
      <c r="Q208" s="22" t="n">
        <f aca="false">($A208=Premissas!$C$16)*Premissas!$C$13</f>
        <v>0</v>
      </c>
      <c r="R208" s="22" t="n">
        <f aca="false">L208-M208-N208-Q208</f>
        <v>2509.64027136071</v>
      </c>
      <c r="S208" s="22" t="n">
        <f aca="false">S207+R208</f>
        <v>-372.352820317854</v>
      </c>
      <c r="T208" s="22" t="n">
        <f aca="false">IF($A208&gt;=Premissas!$C$18,O208*(1-Premissas!$C$45)-Premissas!$C$46*MAX(0,O208*(1-Premissas!$C$45)-(SUM($Q$5:$Q$355)+Premissas!$C$26*Premissas!$C$60)),"")</f>
        <v>667814.607122005</v>
      </c>
      <c r="U208" s="22" t="n">
        <f aca="false">IF($A208&gt;=Premissas!$C$18,S208+T208,"")</f>
        <v>667442.254301687</v>
      </c>
      <c r="V208" s="22" t="n">
        <f aca="false">V207*(1+$P208)-R208</f>
        <v>673990.804167684</v>
      </c>
      <c r="W208" s="22" t="n">
        <f aca="false">($A208=Premissas!$C$16)*Premissas!$C$9</f>
        <v>0</v>
      </c>
      <c r="X208" s="22" t="n">
        <f aca="false">L208-M208-N208-W208</f>
        <v>2509.64027136071</v>
      </c>
      <c r="Y208" s="22" t="n">
        <f aca="false">Y207+X208</f>
        <v>-31300.3528203177</v>
      </c>
      <c r="Z208" s="22" t="n">
        <f aca="false">IF($A208&gt;=Premissas!$C$18,O208*(1-Premissas!$C$45)-Premissas!$C$46*MAX(0,O208*(1-Premissas!$C$45)-(SUM($W$5:$W$355)+Premissas!$C$26*Premissas!$C$60)),"")</f>
        <v>672453.807122005</v>
      </c>
      <c r="AA208" s="22" t="n">
        <f aca="false">IF($A208&gt;=Premissas!$C$18,Y208+Z208,"")</f>
        <v>641153.454301687</v>
      </c>
      <c r="AB208" s="22" t="n">
        <f aca="false">AB207*(1+$P208)-X208</f>
        <v>800975.356934123</v>
      </c>
      <c r="AC208" s="22" t="n">
        <f aca="false">AND($A208&gt;=Premissas!$C$16,$A208&lt;EDATE(Premissas!$C$16,3))*Premissas!$C$10/3*(1+Premissas!$C$56)^$C208</f>
        <v>0</v>
      </c>
      <c r="AD208" s="22" t="n">
        <f aca="false">L208-M208-N208-AC208</f>
        <v>2509.64027136071</v>
      </c>
      <c r="AE208" s="22" t="n">
        <f aca="false">AE207+AD208</f>
        <v>-38920.8167003425</v>
      </c>
      <c r="AF208" s="22" t="n">
        <f aca="false">IF($A208&gt;=Premissas!$C$18,O208*(1-Premissas!$C$45)-Premissas!$C$46*MAX(0,O208*(1-Premissas!$C$45)-(SUM($AC$5:$AC$355)+Premissas!$C$26*Premissas!$C$60)),"")</f>
        <v>673596.876704009</v>
      </c>
      <c r="AG208" s="22" t="n">
        <f aca="false">IF($A208&gt;=Premissas!$C$18,AE208+AF208,"")</f>
        <v>634676.060003666</v>
      </c>
      <c r="AH208" s="22" t="n">
        <f aca="false">AH207*(1+$P208)-AD208</f>
        <v>821216.59667475</v>
      </c>
      <c r="AI208" s="22" t="n">
        <f aca="false">($A208=Premissas!$C$16)*0.2*Premissas!$C$11+AND($A208&gt;Premissas!$C$16,$A208&lt;=EDATE(Premissas!$C$16,43))*0.8*Premissas!$C$11/43*(1+Premissas!$C$56)^$C208</f>
        <v>0</v>
      </c>
      <c r="AJ208" s="22" t="n">
        <f aca="false">L208-M208-N208-AI208</f>
        <v>2509.64027136071</v>
      </c>
      <c r="AK208" s="22" t="n">
        <f aca="false">AK207+AJ208</f>
        <v>-84785.3021184045</v>
      </c>
      <c r="AL208" s="22" t="n">
        <f aca="false">IF($A208&gt;=Premissas!$C$18,O208*(1-Premissas!$C$45)-Premissas!$C$46*MAX(0,O208*(1-Premissas!$C$45)-(SUM($AI$5:$AI$355)+Premissas!$C$26*Premissas!$C$60)),"")</f>
        <v>680476.549516718</v>
      </c>
      <c r="AM208" s="22" t="n">
        <f aca="false">IF($A208&gt;=Premissas!$C$18,AK208+AL208,"")</f>
        <v>595691.247398314</v>
      </c>
      <c r="AN208" s="22" t="n">
        <f aca="false">AN207*(1+$P208)-AJ208</f>
        <v>840102.832193288</v>
      </c>
      <c r="AO208" s="22" t="n">
        <f aca="false">V208+S208</f>
        <v>673618.451347366</v>
      </c>
    </row>
    <row r="209" customFormat="false" ht="15" hidden="false" customHeight="false" outlineLevel="0" collapsed="false">
      <c r="A209" s="26" t="n">
        <f aca="false">DATE(YEAR(A208),MONTH(A208)+1,1)</f>
        <v>52505</v>
      </c>
      <c r="B209" s="22" t="str">
        <f aca="false">IF($A209&lt;Premissas!$C$18,"Obra",IF($A209&lt;Premissas!$C$20,"Entrega/mobília","Airbnb"))</f>
        <v>Airbnb</v>
      </c>
      <c r="C209" s="36" t="n">
        <f aca="false">(YEAR($A209)-YEAR(Premissas!$C$16))*12+MONTH($A209)-MONTH(Premissas!$C$16)</f>
        <v>204</v>
      </c>
      <c r="D209" s="33" t="n">
        <f aca="false">IF($A209&gt;=Premissas!$C$20,Premissas!$C$31*IF(((YEAR($A209)-YEAR(Premissas!$C$20))*12+MONTH($A209)-MONTH(Premissas!$C$20))&lt;Premissas!$C$33,Premissas!$C$34,1),0)</f>
        <v>0.62</v>
      </c>
      <c r="E209" s="22" t="n">
        <f aca="false">D209*Premissas!$C$30*Premissas!$C$32*(1+Premissas!$C$58)^$C209</f>
        <v>9057.7373043368</v>
      </c>
      <c r="F209" s="22" t="n">
        <f aca="false">E209*Premissas!$C$35</f>
        <v>1449.23796869389</v>
      </c>
      <c r="G209" s="22" t="n">
        <f aca="false">E209*Premissas!$C$36</f>
        <v>1811.54746086736</v>
      </c>
      <c r="H209" s="22" t="n">
        <f aca="false">IF($A209&gt;=Premissas!$C$18,Premissas!$C$37*(1+Premissas!$C$58)^$C209,0)</f>
        <v>1168.74029733378</v>
      </c>
      <c r="I209" s="22" t="n">
        <f aca="false">IF($A209&gt;=Premissas!$C$20,Premissas!$C$38*(1+Premissas!$C$58)^$C209,0)</f>
        <v>545.412138755764</v>
      </c>
      <c r="J209" s="22" t="n">
        <f aca="false">IF($A209&gt;=Premissas!$C$20,Premissas!$C$39*(1+Premissas!$C$58)^$C209,0)</f>
        <v>292.185074333445</v>
      </c>
      <c r="K209" s="22" t="n">
        <f aca="false">IF($A209&gt;=Premissas!$C$20,MAX(0,E209-F209-G209-H209)*Premissas!$C$41,0)</f>
        <v>1272.75818379649</v>
      </c>
      <c r="L209" s="22" t="n">
        <f aca="false">E209-F209-G209-H209-I209-J209-K209</f>
        <v>2517.85618055607</v>
      </c>
      <c r="M209" s="22" t="n">
        <f aca="false">($A209=Premissas!$C$18)*Premissas!$C$26*Premissas!$C$60</f>
        <v>0</v>
      </c>
      <c r="N209" s="22" t="n">
        <f aca="false">IF(AND($A209&gt;=Premissas!$C$18,$A209&lt;Premissas!$C$20),Premissas!$C$27/MAX(1,Premissas!$C$19),0)</f>
        <v>0</v>
      </c>
      <c r="O209" s="22" t="n">
        <f aca="false">IF($A209&gt;=Premissas!$C$18,Premissas!$C$60*(1+Premissas!$C$59)^((YEAR($A209)-YEAR(Premissas!$C$18))*12+MONTH($A209)-MONTH(Premissas!$C$18)),"")</f>
        <v>788989.380960656</v>
      </c>
      <c r="P209" s="31" t="n">
        <f aca="false">(1+IF(YEAR($A209)&lt;=2026,Premissas!$C$49,IF(YEAR($A209)=2027,Premissas!$C$50,IF(YEAR($A209)=2028,Premissas!$C$51,Premissas!$C$52)))*(1-Premissas!$C$53))^(1/12)-1</f>
        <v>0.00682149336596227</v>
      </c>
      <c r="Q209" s="22" t="n">
        <f aca="false">($A209=Premissas!$C$16)*Premissas!$C$13</f>
        <v>0</v>
      </c>
      <c r="R209" s="22" t="n">
        <f aca="false">L209-M209-N209-Q209</f>
        <v>2517.85618055607</v>
      </c>
      <c r="S209" s="22" t="n">
        <f aca="false">S208+R209</f>
        <v>2145.50336023822</v>
      </c>
      <c r="T209" s="22" t="n">
        <f aca="false">IF($A209&gt;=Premissas!$C$18,O209*(1-Premissas!$C$45)-Premissas!$C$46*MAX(0,O209*(1-Premissas!$C$45)-(SUM($Q$5:$Q$355)+Premissas!$C$26*Premissas!$C$60)),"")</f>
        <v>670372.52373431</v>
      </c>
      <c r="U209" s="22" t="n">
        <f aca="false">IF($A209&gt;=Premissas!$C$18,S209+T209,"")</f>
        <v>672518.027094549</v>
      </c>
      <c r="V209" s="22" t="n">
        <f aca="false">V208*(1+$P209)-R209</f>
        <v>676070.571786478</v>
      </c>
      <c r="W209" s="22" t="n">
        <f aca="false">($A209=Premissas!$C$16)*Premissas!$C$9</f>
        <v>0</v>
      </c>
      <c r="X209" s="22" t="n">
        <f aca="false">L209-M209-N209-W209</f>
        <v>2517.85618055607</v>
      </c>
      <c r="Y209" s="22" t="n">
        <f aca="false">Y208+X209</f>
        <v>-28782.4966397616</v>
      </c>
      <c r="Z209" s="22" t="n">
        <f aca="false">IF($A209&gt;=Premissas!$C$18,O209*(1-Premissas!$C$45)-Premissas!$C$46*MAX(0,O209*(1-Premissas!$C$45)-(SUM($W$5:$W$355)+Premissas!$C$26*Premissas!$C$60)),"")</f>
        <v>675011.72373431</v>
      </c>
      <c r="AA209" s="22" t="n">
        <f aca="false">IF($A209&gt;=Premissas!$C$18,Y209+Z209,"")</f>
        <v>646229.227094549</v>
      </c>
      <c r="AB209" s="22" t="n">
        <f aca="false">AB208*(1+$P209)-X209</f>
        <v>803921.348837192</v>
      </c>
      <c r="AC209" s="22" t="n">
        <f aca="false">AND($A209&gt;=Premissas!$C$16,$A209&lt;EDATE(Premissas!$C$16,3))*Premissas!$C$10/3*(1+Premissas!$C$56)^$C209</f>
        <v>0</v>
      </c>
      <c r="AD209" s="22" t="n">
        <f aca="false">L209-M209-N209-AC209</f>
        <v>2517.85618055607</v>
      </c>
      <c r="AE209" s="22" t="n">
        <f aca="false">AE208+AD209</f>
        <v>-36402.9605197865</v>
      </c>
      <c r="AF209" s="22" t="n">
        <f aca="false">IF($A209&gt;=Premissas!$C$18,O209*(1-Premissas!$C$45)-Premissas!$C$46*MAX(0,O209*(1-Premissas!$C$45)-(SUM($AC$5:$AC$355)+Premissas!$C$26*Premissas!$C$60)),"")</f>
        <v>676154.793316314</v>
      </c>
      <c r="AG209" s="22" t="n">
        <f aca="false">IF($A209&gt;=Premissas!$C$18,AE209+AF209,"")</f>
        <v>639751.832796528</v>
      </c>
      <c r="AH209" s="22" t="n">
        <f aca="false">AH208*(1+$P209)-AD209</f>
        <v>824300.664060429</v>
      </c>
      <c r="AI209" s="22" t="n">
        <f aca="false">($A209=Premissas!$C$16)*0.2*Premissas!$C$11+AND($A209&gt;Premissas!$C$16,$A209&lt;=EDATE(Premissas!$C$16,43))*0.8*Premissas!$C$11/43*(1+Premissas!$C$56)^$C209</f>
        <v>0</v>
      </c>
      <c r="AJ209" s="22" t="n">
        <f aca="false">L209-M209-N209-AI209</f>
        <v>2517.85618055607</v>
      </c>
      <c r="AK209" s="22" t="n">
        <f aca="false">AK208+AJ209</f>
        <v>-82267.4459378484</v>
      </c>
      <c r="AL209" s="22" t="n">
        <f aca="false">IF($A209&gt;=Premissas!$C$18,O209*(1-Premissas!$C$45)-Premissas!$C$46*MAX(0,O209*(1-Premissas!$C$45)-(SUM($AI$5:$AI$355)+Premissas!$C$26*Premissas!$C$60)),"")</f>
        <v>683034.466129023</v>
      </c>
      <c r="AM209" s="22" t="n">
        <f aca="false">IF($A209&gt;=Premissas!$C$18,AK209+AL209,"")</f>
        <v>600767.020191175</v>
      </c>
      <c r="AN209" s="22" t="n">
        <f aca="false">AN208*(1+$P209)-AJ209</f>
        <v>843315.731909265</v>
      </c>
      <c r="AO209" s="22" t="n">
        <f aca="false">V209+S209</f>
        <v>678216.075146716</v>
      </c>
    </row>
    <row r="210" customFormat="false" ht="15" hidden="false" customHeight="false" outlineLevel="0" collapsed="false">
      <c r="A210" s="26" t="n">
        <f aca="false">DATE(YEAR(A209),MONTH(A209)+1,1)</f>
        <v>52536</v>
      </c>
      <c r="B210" s="22" t="str">
        <f aca="false">IF($A210&lt;Premissas!$C$18,"Obra",IF($A210&lt;Premissas!$C$20,"Entrega/mobília","Airbnb"))</f>
        <v>Airbnb</v>
      </c>
      <c r="C210" s="36" t="n">
        <f aca="false">(YEAR($A210)-YEAR(Premissas!$C$16))*12+MONTH($A210)-MONTH(Premissas!$C$16)</f>
        <v>205</v>
      </c>
      <c r="D210" s="33" t="n">
        <f aca="false">IF($A210&gt;=Premissas!$C$20,Premissas!$C$31*IF(((YEAR($A210)-YEAR(Premissas!$C$20))*12+MONTH($A210)-MONTH(Premissas!$C$20))&lt;Premissas!$C$33,Premissas!$C$34,1),0)</f>
        <v>0.62</v>
      </c>
      <c r="E210" s="22" t="n">
        <f aca="false">D210*Premissas!$C$30*Premissas!$C$32*(1+Premissas!$C$58)^$C210</f>
        <v>9087.38997928671</v>
      </c>
      <c r="F210" s="22" t="n">
        <f aca="false">E210*Premissas!$C$35</f>
        <v>1453.98239668587</v>
      </c>
      <c r="G210" s="22" t="n">
        <f aca="false">E210*Premissas!$C$36</f>
        <v>1817.47799585734</v>
      </c>
      <c r="H210" s="22" t="n">
        <f aca="false">IF($A210&gt;=Premissas!$C$18,Premissas!$C$37*(1+Premissas!$C$58)^$C210,0)</f>
        <v>1172.56644894022</v>
      </c>
      <c r="I210" s="22" t="n">
        <f aca="false">IF($A210&gt;=Premissas!$C$20,Premissas!$C$38*(1+Premissas!$C$58)^$C210,0)</f>
        <v>547.197676172103</v>
      </c>
      <c r="J210" s="22" t="n">
        <f aca="false">IF($A210&gt;=Premissas!$C$20,Premissas!$C$39*(1+Premissas!$C$58)^$C210,0)</f>
        <v>293.141612235055</v>
      </c>
      <c r="K210" s="22" t="n">
        <f aca="false">IF($A210&gt;=Premissas!$C$20,MAX(0,E210-F210-G210-H210)*Premissas!$C$41,0)</f>
        <v>1276.9248628959</v>
      </c>
      <c r="L210" s="22" t="n">
        <f aca="false">E210-F210-G210-H210-I210-J210-K210</f>
        <v>2526.09898650021</v>
      </c>
      <c r="M210" s="22" t="n">
        <f aca="false">($A210=Premissas!$C$18)*Premissas!$C$26*Premissas!$C$60</f>
        <v>0</v>
      </c>
      <c r="N210" s="22" t="n">
        <f aca="false">IF(AND($A210&gt;=Premissas!$C$18,$A210&lt;Premissas!$C$20),Premissas!$C$27/MAX(1,Premissas!$C$19),0)</f>
        <v>0</v>
      </c>
      <c r="O210" s="22" t="n">
        <f aca="false">IF($A210&gt;=Premissas!$C$18,Premissas!$C$60*(1+Premissas!$C$59)^((YEAR($A210)-YEAR(Premissas!$C$18))*12+MONTH($A210)-MONTH(Premissas!$C$18)),"")</f>
        <v>792203.821362674</v>
      </c>
      <c r="P210" s="31" t="n">
        <f aca="false">(1+IF(YEAR($A210)&lt;=2026,Premissas!$C$49,IF(YEAR($A210)=2027,Premissas!$C$50,IF(YEAR($A210)=2028,Premissas!$C$51,Premissas!$C$52)))*(1-Premissas!$C$53))^(1/12)-1</f>
        <v>0.00682149336596227</v>
      </c>
      <c r="Q210" s="22" t="n">
        <f aca="false">($A210=Premissas!$C$16)*Premissas!$C$13</f>
        <v>0</v>
      </c>
      <c r="R210" s="22" t="n">
        <f aca="false">L210-M210-N210-Q210</f>
        <v>2526.09898650021</v>
      </c>
      <c r="S210" s="22" t="n">
        <f aca="false">S209+R210</f>
        <v>4671.60234673843</v>
      </c>
      <c r="T210" s="22" t="n">
        <f aca="false">IF($A210&gt;=Premissas!$C$18,O210*(1-Premissas!$C$45)-Premissas!$C$46*MAX(0,O210*(1-Premissas!$C$45)-(SUM($Q$5:$Q$355)+Premissas!$C$26*Premissas!$C$60)),"")</f>
        <v>672940.861615522</v>
      </c>
      <c r="U210" s="22" t="n">
        <f aca="false">IF($A210&gt;=Premissas!$C$18,S210+T210,"")</f>
        <v>677612.463962261</v>
      </c>
      <c r="V210" s="22" t="n">
        <f aca="false">V209*(1+$P210)-R210</f>
        <v>678156.283720341</v>
      </c>
      <c r="W210" s="22" t="n">
        <f aca="false">($A210=Premissas!$C$16)*Premissas!$C$9</f>
        <v>0</v>
      </c>
      <c r="X210" s="22" t="n">
        <f aca="false">L210-M210-N210-W210</f>
        <v>2526.09898650021</v>
      </c>
      <c r="Y210" s="22" t="n">
        <f aca="false">Y209+X210</f>
        <v>-26256.3976532614</v>
      </c>
      <c r="Z210" s="22" t="n">
        <f aca="false">IF($A210&gt;=Premissas!$C$18,O210*(1-Premissas!$C$45)-Premissas!$C$46*MAX(0,O210*(1-Premissas!$C$45)-(SUM($W$5:$W$355)+Premissas!$C$26*Premissas!$C$60)),"")</f>
        <v>677580.061615522</v>
      </c>
      <c r="AA210" s="22" t="n">
        <f aca="false">IF($A210&gt;=Premissas!$C$18,Y210+Z210,"")</f>
        <v>651323.663962261</v>
      </c>
      <c r="AB210" s="22" t="n">
        <f aca="false">AB209*(1+$P210)-X210</f>
        <v>806879.19399854</v>
      </c>
      <c r="AC210" s="22" t="n">
        <f aca="false">AND($A210&gt;=Premissas!$C$16,$A210&lt;EDATE(Premissas!$C$16,3))*Premissas!$C$10/3*(1+Premissas!$C$56)^$C210</f>
        <v>0</v>
      </c>
      <c r="AD210" s="22" t="n">
        <f aca="false">L210-M210-N210-AC210</f>
        <v>2526.09898650021</v>
      </c>
      <c r="AE210" s="22" t="n">
        <f aca="false">AE209+AD210</f>
        <v>-33876.8615332863</v>
      </c>
      <c r="AF210" s="22" t="n">
        <f aca="false">IF($A210&gt;=Premissas!$C$18,O210*(1-Premissas!$C$45)-Premissas!$C$46*MAX(0,O210*(1-Premissas!$C$45)-(SUM($AC$5:$AC$355)+Premissas!$C$26*Premissas!$C$60)),"")</f>
        <v>678723.131197526</v>
      </c>
      <c r="AG210" s="22" t="n">
        <f aca="false">IF($A210&gt;=Premissas!$C$18,AE210+AF210,"")</f>
        <v>644846.26966424</v>
      </c>
      <c r="AH210" s="22" t="n">
        <f aca="false">AH209*(1+$P210)-AD210</f>
        <v>827397.526585375</v>
      </c>
      <c r="AI210" s="22" t="n">
        <f aca="false">($A210=Premissas!$C$16)*0.2*Premissas!$C$11+AND($A210&gt;Premissas!$C$16,$A210&lt;=EDATE(Premissas!$C$16,43))*0.8*Premissas!$C$11/43*(1+Premissas!$C$56)^$C210</f>
        <v>0</v>
      </c>
      <c r="AJ210" s="22" t="n">
        <f aca="false">L210-M210-N210-AI210</f>
        <v>2526.09898650021</v>
      </c>
      <c r="AK210" s="22" t="n">
        <f aca="false">AK209+AJ210</f>
        <v>-79741.3469513482</v>
      </c>
      <c r="AL210" s="22" t="n">
        <f aca="false">IF($A210&gt;=Premissas!$C$18,O210*(1-Premissas!$C$45)-Premissas!$C$46*MAX(0,O210*(1-Premissas!$C$45)-(SUM($AI$5:$AI$355)+Premissas!$C$26*Premissas!$C$60)),"")</f>
        <v>685602.804010235</v>
      </c>
      <c r="AM210" s="22" t="n">
        <f aca="false">IF($A210&gt;=Premissas!$C$18,AK210+AL210,"")</f>
        <v>605861.457058887</v>
      </c>
      <c r="AN210" s="22" t="n">
        <f aca="false">AN209*(1+$P210)-AJ210</f>
        <v>846542.305593395</v>
      </c>
      <c r="AO210" s="22" t="n">
        <f aca="false">V210+S210</f>
        <v>682827.88606708</v>
      </c>
    </row>
    <row r="211" customFormat="false" ht="15" hidden="false" customHeight="false" outlineLevel="0" collapsed="false">
      <c r="A211" s="26" t="n">
        <f aca="false">DATE(YEAR(A210),MONTH(A210)+1,1)</f>
        <v>52566</v>
      </c>
      <c r="B211" s="22" t="str">
        <f aca="false">IF($A211&lt;Premissas!$C$18,"Obra",IF($A211&lt;Premissas!$C$20,"Entrega/mobília","Airbnb"))</f>
        <v>Airbnb</v>
      </c>
      <c r="C211" s="36" t="n">
        <f aca="false">(YEAR($A211)-YEAR(Premissas!$C$16))*12+MONTH($A211)-MONTH(Premissas!$C$16)</f>
        <v>206</v>
      </c>
      <c r="D211" s="33" t="n">
        <f aca="false">IF($A211&gt;=Premissas!$C$20,Premissas!$C$31*IF(((YEAR($A211)-YEAR(Premissas!$C$20))*12+MONTH($A211)-MONTH(Premissas!$C$20))&lt;Premissas!$C$33,Premissas!$C$34,1),0)</f>
        <v>0.62</v>
      </c>
      <c r="E211" s="22" t="n">
        <f aca="false">D211*Premissas!$C$30*Premissas!$C$32*(1+Premissas!$C$58)^$C211</f>
        <v>9117.13972937826</v>
      </c>
      <c r="F211" s="22" t="n">
        <f aca="false">E211*Premissas!$C$35</f>
        <v>1458.74235670052</v>
      </c>
      <c r="G211" s="22" t="n">
        <f aca="false">E211*Premissas!$C$36</f>
        <v>1823.42794587565</v>
      </c>
      <c r="H211" s="22" t="n">
        <f aca="false">IF($A211&gt;=Premissas!$C$18,Premissas!$C$37*(1+Premissas!$C$58)^$C211,0)</f>
        <v>1176.40512637139</v>
      </c>
      <c r="I211" s="22" t="n">
        <f aca="false">IF($A211&gt;=Premissas!$C$20,Premissas!$C$38*(1+Premissas!$C$58)^$C211,0)</f>
        <v>548.989058973314</v>
      </c>
      <c r="J211" s="22" t="n">
        <f aca="false">IF($A211&gt;=Premissas!$C$20,Premissas!$C$39*(1+Premissas!$C$58)^$C211,0)</f>
        <v>294.101281592847</v>
      </c>
      <c r="K211" s="22" t="n">
        <f aca="false">IF($A211&gt;=Premissas!$C$20,MAX(0,E211-F211-G211-H211)*Premissas!$C$41,0)</f>
        <v>1281.10518261844</v>
      </c>
      <c r="L211" s="22" t="n">
        <f aca="false">E211-F211-G211-H211-I211-J211-K211</f>
        <v>2534.36877724609</v>
      </c>
      <c r="M211" s="22" t="n">
        <f aca="false">($A211=Premissas!$C$18)*Premissas!$C$26*Premissas!$C$60</f>
        <v>0</v>
      </c>
      <c r="N211" s="22" t="n">
        <f aca="false">IF(AND($A211&gt;=Premissas!$C$18,$A211&lt;Premissas!$C$20),Premissas!$C$27/MAX(1,Premissas!$C$19),0)</f>
        <v>0</v>
      </c>
      <c r="O211" s="22" t="n">
        <f aca="false">IF($A211&gt;=Premissas!$C$18,Premissas!$C$60*(1+Premissas!$C$59)^((YEAR($A211)-YEAR(Premissas!$C$18))*12+MONTH($A211)-MONTH(Premissas!$C$18)),"")</f>
        <v>795431.357792785</v>
      </c>
      <c r="P211" s="31" t="n">
        <f aca="false">(1+IF(YEAR($A211)&lt;=2026,Premissas!$C$49,IF(YEAR($A211)=2027,Premissas!$C$50,IF(YEAR($A211)=2028,Premissas!$C$51,Premissas!$C$52)))*(1-Premissas!$C$53))^(1/12)-1</f>
        <v>0.00682149336596227</v>
      </c>
      <c r="Q211" s="22" t="n">
        <f aca="false">($A211=Premissas!$C$16)*Premissas!$C$13</f>
        <v>0</v>
      </c>
      <c r="R211" s="22" t="n">
        <f aca="false">L211-M211-N211-Q211</f>
        <v>2534.36877724609</v>
      </c>
      <c r="S211" s="22" t="n">
        <f aca="false">S210+R211</f>
        <v>7205.97112398453</v>
      </c>
      <c r="T211" s="22" t="n">
        <f aca="false">IF($A211&gt;=Premissas!$C$18,O211*(1-Premissas!$C$45)-Premissas!$C$46*MAX(0,O211*(1-Premissas!$C$45)-(SUM($Q$5:$Q$355)+Premissas!$C$26*Premissas!$C$60)),"")</f>
        <v>675519.663223181</v>
      </c>
      <c r="U211" s="22" t="n">
        <f aca="false">IF($A211&gt;=Premissas!$C$18,S211+T211,"")</f>
        <v>682725.634347166</v>
      </c>
      <c r="V211" s="22" t="n">
        <f aca="false">V210*(1+$P211)-R211</f>
        <v>680247.953533579</v>
      </c>
      <c r="W211" s="22" t="n">
        <f aca="false">($A211=Premissas!$C$16)*Premissas!$C$9</f>
        <v>0</v>
      </c>
      <c r="X211" s="22" t="n">
        <f aca="false">L211-M211-N211-W211</f>
        <v>2534.36877724609</v>
      </c>
      <c r="Y211" s="22" t="n">
        <f aca="false">Y210+X211</f>
        <v>-23722.0288760153</v>
      </c>
      <c r="Z211" s="22" t="n">
        <f aca="false">IF($A211&gt;=Premissas!$C$18,O211*(1-Premissas!$C$45)-Premissas!$C$46*MAX(0,O211*(1-Premissas!$C$45)-(SUM($W$5:$W$355)+Premissas!$C$26*Premissas!$C$60)),"")</f>
        <v>680158.863223181</v>
      </c>
      <c r="AA211" s="22" t="n">
        <f aca="false">IF($A211&gt;=Premissas!$C$18,Y211+Z211,"")</f>
        <v>656436.834347166</v>
      </c>
      <c r="AB211" s="22" t="n">
        <f aca="false">AB210*(1+$P211)-X211</f>
        <v>809848.946290288</v>
      </c>
      <c r="AC211" s="22" t="n">
        <f aca="false">AND($A211&gt;=Premissas!$C$16,$A211&lt;EDATE(Premissas!$C$16,3))*Premissas!$C$10/3*(1+Premissas!$C$56)^$C211</f>
        <v>0</v>
      </c>
      <c r="AD211" s="22" t="n">
        <f aca="false">L211-M211-N211-AC211</f>
        <v>2534.36877724609</v>
      </c>
      <c r="AE211" s="22" t="n">
        <f aca="false">AE210+AD211</f>
        <v>-31342.4927560402</v>
      </c>
      <c r="AF211" s="22" t="n">
        <f aca="false">IF($A211&gt;=Premissas!$C$18,O211*(1-Premissas!$C$45)-Premissas!$C$46*MAX(0,O211*(1-Premissas!$C$45)-(SUM($AC$5:$AC$355)+Premissas!$C$26*Premissas!$C$60)),"")</f>
        <v>681301.932805185</v>
      </c>
      <c r="AG211" s="22" t="n">
        <f aca="false">IF($A211&gt;=Premissas!$C$18,AE211+AF211,"")</f>
        <v>649959.440049145</v>
      </c>
      <c r="AH211" s="22" t="n">
        <f aca="false">AH210*(1+$P211)-AD211</f>
        <v>830507.244546745</v>
      </c>
      <c r="AI211" s="22" t="n">
        <f aca="false">($A211=Premissas!$C$16)*0.2*Premissas!$C$11+AND($A211&gt;Premissas!$C$16,$A211&lt;=EDATE(Premissas!$C$16,43))*0.8*Premissas!$C$11/43*(1+Premissas!$C$56)^$C211</f>
        <v>0</v>
      </c>
      <c r="AJ211" s="22" t="n">
        <f aca="false">L211-M211-N211-AI211</f>
        <v>2534.36877724609</v>
      </c>
      <c r="AK211" s="22" t="n">
        <f aca="false">AK210+AJ211</f>
        <v>-77206.9781741021</v>
      </c>
      <c r="AL211" s="22" t="n">
        <f aca="false">IF($A211&gt;=Premissas!$C$18,O211*(1-Premissas!$C$45)-Premissas!$C$46*MAX(0,O211*(1-Premissas!$C$45)-(SUM($AI$5:$AI$355)+Premissas!$C$26*Premissas!$C$60)),"")</f>
        <v>688181.605617894</v>
      </c>
      <c r="AM211" s="22" t="n">
        <f aca="false">IF($A211&gt;=Premissas!$C$18,AK211+AL211,"")</f>
        <v>610974.627443792</v>
      </c>
      <c r="AN211" s="22" t="n">
        <f aca="false">AN210*(1+$P211)-AJ211</f>
        <v>849782.619537761</v>
      </c>
      <c r="AO211" s="22" t="n">
        <f aca="false">V211+S211</f>
        <v>687453.924657564</v>
      </c>
    </row>
    <row r="212" customFormat="false" ht="15" hidden="false" customHeight="false" outlineLevel="0" collapsed="false">
      <c r="A212" s="26" t="n">
        <f aca="false">DATE(YEAR(A211),MONTH(A211)+1,1)</f>
        <v>52597</v>
      </c>
      <c r="B212" s="22" t="str">
        <f aca="false">IF($A212&lt;Premissas!$C$18,"Obra",IF($A212&lt;Premissas!$C$20,"Entrega/mobília","Airbnb"))</f>
        <v>Airbnb</v>
      </c>
      <c r="C212" s="36" t="n">
        <f aca="false">(YEAR($A212)-YEAR(Premissas!$C$16))*12+MONTH($A212)-MONTH(Premissas!$C$16)</f>
        <v>207</v>
      </c>
      <c r="D212" s="33" t="n">
        <f aca="false">IF($A212&gt;=Premissas!$C$20,Premissas!$C$31*IF(((YEAR($A212)-YEAR(Premissas!$C$20))*12+MONTH($A212)-MONTH(Premissas!$C$20))&lt;Premissas!$C$33,Premissas!$C$34,1),0)</f>
        <v>0.62</v>
      </c>
      <c r="E212" s="22" t="n">
        <f aca="false">D212*Premissas!$C$30*Premissas!$C$32*(1+Premissas!$C$58)^$C212</f>
        <v>9146.98687241019</v>
      </c>
      <c r="F212" s="22" t="n">
        <f aca="false">E212*Premissas!$C$35</f>
        <v>1463.51789958563</v>
      </c>
      <c r="G212" s="22" t="n">
        <f aca="false">E212*Premissas!$C$36</f>
        <v>1829.39737448204</v>
      </c>
      <c r="H212" s="22" t="n">
        <f aca="false">IF($A212&gt;=Premissas!$C$18,Premissas!$C$37*(1+Premissas!$C$58)^$C212,0)</f>
        <v>1180.25637063357</v>
      </c>
      <c r="I212" s="22" t="n">
        <f aca="false">IF($A212&gt;=Premissas!$C$20,Premissas!$C$38*(1+Premissas!$C$58)^$C212,0)</f>
        <v>550.786306295667</v>
      </c>
      <c r="J212" s="22" t="n">
        <f aca="false">IF($A212&gt;=Premissas!$C$20,Premissas!$C$39*(1+Premissas!$C$58)^$C212,0)</f>
        <v>295.064092658393</v>
      </c>
      <c r="K212" s="22" t="n">
        <f aca="false">IF($A212&gt;=Premissas!$C$20,MAX(0,E212-F212-G212-H212)*Premissas!$C$41,0)</f>
        <v>1285.29918761996</v>
      </c>
      <c r="L212" s="22" t="n">
        <f aca="false">E212-F212-G212-H212-I212-J212-K212</f>
        <v>2542.66564113493</v>
      </c>
      <c r="M212" s="22" t="n">
        <f aca="false">($A212=Premissas!$C$18)*Premissas!$C$26*Premissas!$C$60</f>
        <v>0</v>
      </c>
      <c r="N212" s="22" t="n">
        <f aca="false">IF(AND($A212&gt;=Premissas!$C$18,$A212&lt;Premissas!$C$20),Premissas!$C$27/MAX(1,Premissas!$C$19),0)</f>
        <v>0</v>
      </c>
      <c r="O212" s="22" t="n">
        <f aca="false">IF($A212&gt;=Premissas!$C$18,Premissas!$C$60*(1+Premissas!$C$59)^((YEAR($A212)-YEAR(Premissas!$C$18))*12+MONTH($A212)-MONTH(Premissas!$C$18)),"")</f>
        <v>798672.043605828</v>
      </c>
      <c r="P212" s="31" t="n">
        <f aca="false">(1+IF(YEAR($A212)&lt;=2026,Premissas!$C$49,IF(YEAR($A212)=2027,Premissas!$C$50,IF(YEAR($A212)=2028,Premissas!$C$51,Premissas!$C$52)))*(1-Premissas!$C$53))^(1/12)-1</f>
        <v>0.00682149336596227</v>
      </c>
      <c r="Q212" s="22" t="n">
        <f aca="false">($A212=Premissas!$C$16)*Premissas!$C$13</f>
        <v>0</v>
      </c>
      <c r="R212" s="22" t="n">
        <f aca="false">L212-M212-N212-Q212</f>
        <v>2542.66564113493</v>
      </c>
      <c r="S212" s="22" t="n">
        <f aca="false">S211+R212</f>
        <v>9748.63676511945</v>
      </c>
      <c r="T212" s="22" t="n">
        <f aca="false">IF($A212&gt;=Premissas!$C$18,O212*(1-Premissas!$C$45)-Premissas!$C$46*MAX(0,O212*(1-Premissas!$C$45)-(SUM($Q$5:$Q$355)+Premissas!$C$26*Premissas!$C$60)),"")</f>
        <v>678108.971187803</v>
      </c>
      <c r="U212" s="22" t="n">
        <f aca="false">IF($A212&gt;=Premissas!$C$18,S212+T212,"")</f>
        <v>687857.607952922</v>
      </c>
      <c r="V212" s="22" t="n">
        <f aca="false">V211*(1+$P212)-R212</f>
        <v>682345.594794683</v>
      </c>
      <c r="W212" s="22" t="n">
        <f aca="false">($A212=Premissas!$C$16)*Premissas!$C$9</f>
        <v>0</v>
      </c>
      <c r="X212" s="22" t="n">
        <f aca="false">L212-M212-N212-W212</f>
        <v>2542.66564113493</v>
      </c>
      <c r="Y212" s="22" t="n">
        <f aca="false">Y211+X212</f>
        <v>-21179.3632348804</v>
      </c>
      <c r="Z212" s="22" t="n">
        <f aca="false">IF($A212&gt;=Premissas!$C$18,O212*(1-Premissas!$C$45)-Premissas!$C$46*MAX(0,O212*(1-Premissas!$C$45)-(SUM($W$5:$W$355)+Premissas!$C$26*Premissas!$C$60)),"")</f>
        <v>682748.171187803</v>
      </c>
      <c r="AA212" s="22" t="n">
        <f aca="false">IF($A212&gt;=Premissas!$C$18,Y212+Z212,"")</f>
        <v>661568.807952922</v>
      </c>
      <c r="AB212" s="22" t="n">
        <f aca="false">AB211*(1+$P212)-X212</f>
        <v>812830.659863704</v>
      </c>
      <c r="AC212" s="22" t="n">
        <f aca="false">AND($A212&gt;=Premissas!$C$16,$A212&lt;EDATE(Premissas!$C$16,3))*Premissas!$C$10/3*(1+Premissas!$C$56)^$C212</f>
        <v>0</v>
      </c>
      <c r="AD212" s="22" t="n">
        <f aca="false">L212-M212-N212-AC212</f>
        <v>2542.66564113493</v>
      </c>
      <c r="AE212" s="22" t="n">
        <f aca="false">AE211+AD212</f>
        <v>-28799.8271149052</v>
      </c>
      <c r="AF212" s="22" t="n">
        <f aca="false">IF($A212&gt;=Premissas!$C$18,O212*(1-Premissas!$C$45)-Premissas!$C$46*MAX(0,O212*(1-Premissas!$C$45)-(SUM($AC$5:$AC$355)+Premissas!$C$26*Premissas!$C$60)),"")</f>
        <v>683891.240769806</v>
      </c>
      <c r="AG212" s="22" t="n">
        <f aca="false">IF($A212&gt;=Premissas!$C$18,AE212+AF212,"")</f>
        <v>655091.413654901</v>
      </c>
      <c r="AH212" s="22" t="n">
        <f aca="false">AH211*(1+$P212)-AD212</f>
        <v>833629.878564669</v>
      </c>
      <c r="AI212" s="22" t="n">
        <f aca="false">($A212=Premissas!$C$16)*0.2*Premissas!$C$11+AND($A212&gt;Premissas!$C$16,$A212&lt;=EDATE(Premissas!$C$16,43))*0.8*Premissas!$C$11/43*(1+Premissas!$C$56)^$C212</f>
        <v>0</v>
      </c>
      <c r="AJ212" s="22" t="n">
        <f aca="false">L212-M212-N212-AI212</f>
        <v>2542.66564113493</v>
      </c>
      <c r="AK212" s="22" t="n">
        <f aca="false">AK211+AJ212</f>
        <v>-74664.3125329671</v>
      </c>
      <c r="AL212" s="22" t="n">
        <f aca="false">IF($A212&gt;=Premissas!$C$18,O212*(1-Premissas!$C$45)-Premissas!$C$46*MAX(0,O212*(1-Premissas!$C$45)-(SUM($AI$5:$AI$355)+Premissas!$C$26*Premissas!$C$60)),"")</f>
        <v>690770.913582516</v>
      </c>
      <c r="AM212" s="22" t="n">
        <f aca="false">IF($A212&gt;=Premissas!$C$18,AK212+AL212,"")</f>
        <v>616106.601049549</v>
      </c>
      <c r="AN212" s="22" t="n">
        <f aca="false">AN211*(1+$P212)-AJ212</f>
        <v>853036.740398313</v>
      </c>
      <c r="AO212" s="22" t="n">
        <f aca="false">V212+S212</f>
        <v>692094.231559802</v>
      </c>
    </row>
    <row r="213" customFormat="false" ht="15" hidden="false" customHeight="false" outlineLevel="0" collapsed="false">
      <c r="A213" s="26" t="n">
        <f aca="false">DATE(YEAR(A212),MONTH(A212)+1,1)</f>
        <v>52628</v>
      </c>
      <c r="B213" s="22" t="str">
        <f aca="false">IF($A213&lt;Premissas!$C$18,"Obra",IF($A213&lt;Premissas!$C$20,"Entrega/mobília","Airbnb"))</f>
        <v>Airbnb</v>
      </c>
      <c r="C213" s="36" t="n">
        <f aca="false">(YEAR($A213)-YEAR(Premissas!$C$16))*12+MONTH($A213)-MONTH(Premissas!$C$16)</f>
        <v>208</v>
      </c>
      <c r="D213" s="33" t="n">
        <f aca="false">IF($A213&gt;=Premissas!$C$20,Premissas!$C$31*IF(((YEAR($A213)-YEAR(Premissas!$C$20))*12+MONTH($A213)-MONTH(Premissas!$C$20))&lt;Premissas!$C$33,Premissas!$C$34,1),0)</f>
        <v>0.62</v>
      </c>
      <c r="E213" s="22" t="n">
        <f aca="false">D213*Premissas!$C$30*Premissas!$C$32*(1+Premissas!$C$58)^$C213</f>
        <v>9176.93172722165</v>
      </c>
      <c r="F213" s="22" t="n">
        <f aca="false">E213*Premissas!$C$35</f>
        <v>1468.30907635546</v>
      </c>
      <c r="G213" s="22" t="n">
        <f aca="false">E213*Premissas!$C$36</f>
        <v>1835.38634544433</v>
      </c>
      <c r="H213" s="22" t="n">
        <f aca="false">IF($A213&gt;=Premissas!$C$18,Premissas!$C$37*(1+Premissas!$C$58)^$C213,0)</f>
        <v>1184.12022286731</v>
      </c>
      <c r="I213" s="22" t="n">
        <f aca="false">IF($A213&gt;=Premissas!$C$20,Premissas!$C$38*(1+Premissas!$C$58)^$C213,0)</f>
        <v>552.589437338078</v>
      </c>
      <c r="J213" s="22" t="n">
        <f aca="false">IF($A213&gt;=Premissas!$C$20,Premissas!$C$39*(1+Premissas!$C$58)^$C213,0)</f>
        <v>296.030055716827</v>
      </c>
      <c r="K213" s="22" t="n">
        <f aca="false">IF($A213&gt;=Premissas!$C$20,MAX(0,E213-F213-G213-H213)*Premissas!$C$41,0)</f>
        <v>1289.5069227025</v>
      </c>
      <c r="L213" s="22" t="n">
        <f aca="false">E213-F213-G213-H213-I213-J213-K213</f>
        <v>2550.98966679714</v>
      </c>
      <c r="M213" s="22" t="n">
        <f aca="false">($A213=Premissas!$C$18)*Premissas!$C$26*Premissas!$C$60</f>
        <v>0</v>
      </c>
      <c r="N213" s="22" t="n">
        <f aca="false">IF(AND($A213&gt;=Premissas!$C$18,$A213&lt;Premissas!$C$20),Premissas!$C$27/MAX(1,Premissas!$C$19),0)</f>
        <v>0</v>
      </c>
      <c r="O213" s="22" t="n">
        <f aca="false">IF($A213&gt;=Premissas!$C$18,Premissas!$C$60*(1+Premissas!$C$59)^((YEAR($A213)-YEAR(Premissas!$C$18))*12+MONTH($A213)-MONTH(Premissas!$C$18)),"")</f>
        <v>801925.932374017</v>
      </c>
      <c r="P213" s="31" t="n">
        <f aca="false">(1+IF(YEAR($A213)&lt;=2026,Premissas!$C$49,IF(YEAR($A213)=2027,Premissas!$C$50,IF(YEAR($A213)=2028,Premissas!$C$51,Premissas!$C$52)))*(1-Premissas!$C$53))^(1/12)-1</f>
        <v>0.00682149336596227</v>
      </c>
      <c r="Q213" s="22" t="n">
        <f aca="false">($A213=Premissas!$C$16)*Premissas!$C$13</f>
        <v>0</v>
      </c>
      <c r="R213" s="22" t="n">
        <f aca="false">L213-M213-N213-Q213</f>
        <v>2550.98966679714</v>
      </c>
      <c r="S213" s="22" t="n">
        <f aca="false">S212+R213</f>
        <v>12299.6264319166</v>
      </c>
      <c r="T213" s="22" t="n">
        <f aca="false">IF($A213&gt;=Premissas!$C$18,O213*(1-Premissas!$C$45)-Premissas!$C$46*MAX(0,O213*(1-Premissas!$C$45)-(SUM($Q$5:$Q$355)+Premissas!$C$26*Premissas!$C$60)),"")</f>
        <v>680708.828313586</v>
      </c>
      <c r="U213" s="22" t="n">
        <f aca="false">IF($A213&gt;=Premissas!$C$18,S213+T213,"")</f>
        <v>693008.454745503</v>
      </c>
      <c r="V213" s="22" t="n">
        <f aca="false">V212*(1+$P213)-R213</f>
        <v>684449.221076071</v>
      </c>
      <c r="W213" s="22" t="n">
        <f aca="false">($A213=Premissas!$C$16)*Premissas!$C$9</f>
        <v>0</v>
      </c>
      <c r="X213" s="22" t="n">
        <f aca="false">L213-M213-N213-W213</f>
        <v>2550.98966679714</v>
      </c>
      <c r="Y213" s="22" t="n">
        <f aca="false">Y212+X213</f>
        <v>-18628.3735680833</v>
      </c>
      <c r="Z213" s="22" t="n">
        <f aca="false">IF($A213&gt;=Premissas!$C$18,O213*(1-Premissas!$C$45)-Premissas!$C$46*MAX(0,O213*(1-Premissas!$C$45)-(SUM($W$5:$W$355)+Premissas!$C$26*Premissas!$C$60)),"")</f>
        <v>685348.028313586</v>
      </c>
      <c r="AA213" s="22" t="n">
        <f aca="false">IF($A213&gt;=Premissas!$C$18,Y213+Z213,"")</f>
        <v>666719.654745503</v>
      </c>
      <c r="AB213" s="22" t="n">
        <f aca="false">AB212*(1+$P213)-X213</f>
        <v>815824.389150818</v>
      </c>
      <c r="AC213" s="22" t="n">
        <f aca="false">AND($A213&gt;=Premissas!$C$16,$A213&lt;EDATE(Premissas!$C$16,3))*Premissas!$C$10/3*(1+Premissas!$C$56)^$C213</f>
        <v>0</v>
      </c>
      <c r="AD213" s="22" t="n">
        <f aca="false">L213-M213-N213-AC213</f>
        <v>2550.98966679714</v>
      </c>
      <c r="AE213" s="22" t="n">
        <f aca="false">AE212+AD213</f>
        <v>-26248.8374481081</v>
      </c>
      <c r="AF213" s="22" t="n">
        <f aca="false">IF($A213&gt;=Premissas!$C$18,O213*(1-Premissas!$C$45)-Premissas!$C$46*MAX(0,O213*(1-Premissas!$C$45)-(SUM($AC$5:$AC$355)+Premissas!$C$26*Premissas!$C$60)),"")</f>
        <v>686491.09789559</v>
      </c>
      <c r="AG213" s="22" t="n">
        <f aca="false">IF($A213&gt;=Premissas!$C$18,AE213+AF213,"")</f>
        <v>660242.260447482</v>
      </c>
      <c r="AH213" s="22" t="n">
        <f aca="false">AH212*(1+$P213)-AD213</f>
        <v>836765.489584169</v>
      </c>
      <c r="AI213" s="22" t="n">
        <f aca="false">($A213=Premissas!$C$16)*0.2*Premissas!$C$11+AND($A213&gt;Premissas!$C$16,$A213&lt;=EDATE(Premissas!$C$16,43))*0.8*Premissas!$C$11/43*(1+Premissas!$C$56)^$C213</f>
        <v>0</v>
      </c>
      <c r="AJ213" s="22" t="n">
        <f aca="false">L213-M213-N213-AI213</f>
        <v>2550.98966679714</v>
      </c>
      <c r="AK213" s="22" t="n">
        <f aca="false">AK212+AJ213</f>
        <v>-72113.32286617</v>
      </c>
      <c r="AL213" s="22" t="n">
        <f aca="false">IF($A213&gt;=Premissas!$C$18,O213*(1-Premissas!$C$45)-Premissas!$C$46*MAX(0,O213*(1-Premissas!$C$45)-(SUM($AI$5:$AI$355)+Premissas!$C$26*Premissas!$C$60)),"")</f>
        <v>693370.770708299</v>
      </c>
      <c r="AM213" s="22" t="n">
        <f aca="false">IF($A213&gt;=Premissas!$C$18,AK213+AL213,"")</f>
        <v>621257.447842129</v>
      </c>
      <c r="AN213" s="22" t="n">
        <f aca="false">AN212*(1+$P213)-AJ213</f>
        <v>856304.735197065</v>
      </c>
      <c r="AO213" s="22" t="n">
        <f aca="false">V213+S213</f>
        <v>696748.847507988</v>
      </c>
    </row>
    <row r="214" customFormat="false" ht="15" hidden="false" customHeight="false" outlineLevel="0" collapsed="false">
      <c r="A214" s="26" t="n">
        <f aca="false">DATE(YEAR(A213),MONTH(A213)+1,1)</f>
        <v>52657</v>
      </c>
      <c r="B214" s="22" t="str">
        <f aca="false">IF($A214&lt;Premissas!$C$18,"Obra",IF($A214&lt;Premissas!$C$20,"Entrega/mobília","Airbnb"))</f>
        <v>Airbnb</v>
      </c>
      <c r="C214" s="36" t="n">
        <f aca="false">(YEAR($A214)-YEAR(Premissas!$C$16))*12+MONTH($A214)-MONTH(Premissas!$C$16)</f>
        <v>209</v>
      </c>
      <c r="D214" s="33" t="n">
        <f aca="false">IF($A214&gt;=Premissas!$C$20,Premissas!$C$31*IF(((YEAR($A214)-YEAR(Premissas!$C$20))*12+MONTH($A214)-MONTH(Premissas!$C$20))&lt;Premissas!$C$33,Premissas!$C$34,1),0)</f>
        <v>0.62</v>
      </c>
      <c r="E214" s="22" t="n">
        <f aca="false">D214*Premissas!$C$30*Premissas!$C$32*(1+Premissas!$C$58)^$C214</f>
        <v>9206.97461369558</v>
      </c>
      <c r="F214" s="22" t="n">
        <f aca="false">E214*Premissas!$C$35</f>
        <v>1473.11593819129</v>
      </c>
      <c r="G214" s="22" t="n">
        <f aca="false">E214*Premissas!$C$36</f>
        <v>1841.39492273912</v>
      </c>
      <c r="H214" s="22" t="n">
        <f aca="false">IF($A214&gt;=Premissas!$C$18,Premissas!$C$37*(1+Premissas!$C$58)^$C214,0)</f>
        <v>1187.99672434782</v>
      </c>
      <c r="I214" s="22" t="n">
        <f aca="false">IF($A214&gt;=Premissas!$C$20,Premissas!$C$38*(1+Premissas!$C$58)^$C214,0)</f>
        <v>554.398471362314</v>
      </c>
      <c r="J214" s="22" t="n">
        <f aca="false">IF($A214&gt;=Premissas!$C$20,Premissas!$C$39*(1+Premissas!$C$58)^$C214,0)</f>
        <v>296.999181086954</v>
      </c>
      <c r="K214" s="22" t="n">
        <f aca="false">IF($A214&gt;=Premissas!$C$20,MAX(0,E214-F214-G214-H214)*Premissas!$C$41,0)</f>
        <v>1293.72843281477</v>
      </c>
      <c r="L214" s="22" t="n">
        <f aca="false">E214-F214-G214-H214-I214-J214-K214</f>
        <v>2559.34094315331</v>
      </c>
      <c r="M214" s="22" t="n">
        <f aca="false">($A214=Premissas!$C$18)*Premissas!$C$26*Premissas!$C$60</f>
        <v>0</v>
      </c>
      <c r="N214" s="22" t="n">
        <f aca="false">IF(AND($A214&gt;=Premissas!$C$18,$A214&lt;Premissas!$C$20),Premissas!$C$27/MAX(1,Premissas!$C$19),0)</f>
        <v>0</v>
      </c>
      <c r="O214" s="22" t="n">
        <f aca="false">IF($A214&gt;=Premissas!$C$18,Premissas!$C$60*(1+Premissas!$C$59)^((YEAR($A214)-YEAR(Premissas!$C$18))*12+MONTH($A214)-MONTH(Premissas!$C$18)),"")</f>
        <v>805193.077887827</v>
      </c>
      <c r="P214" s="31" t="n">
        <f aca="false">(1+IF(YEAR($A214)&lt;=2026,Premissas!$C$49,IF(YEAR($A214)=2027,Premissas!$C$50,IF(YEAR($A214)=2028,Premissas!$C$51,Premissas!$C$52)))*(1-Premissas!$C$53))^(1/12)-1</f>
        <v>0.00682149336596227</v>
      </c>
      <c r="Q214" s="22" t="n">
        <f aca="false">($A214=Premissas!$C$16)*Premissas!$C$13</f>
        <v>0</v>
      </c>
      <c r="R214" s="22" t="n">
        <f aca="false">L214-M214-N214-Q214</f>
        <v>2559.34094315331</v>
      </c>
      <c r="S214" s="22" t="n">
        <f aca="false">S213+R214</f>
        <v>14858.9673750699</v>
      </c>
      <c r="T214" s="22" t="n">
        <f aca="false">IF($A214&gt;=Premissas!$C$18,O214*(1-Premissas!$C$45)-Premissas!$C$46*MAX(0,O214*(1-Premissas!$C$45)-(SUM($Q$5:$Q$355)+Premissas!$C$26*Premissas!$C$60)),"")</f>
        <v>683319.27757912</v>
      </c>
      <c r="U214" s="22" t="n">
        <f aca="false">IF($A214&gt;=Premissas!$C$18,S214+T214,"")</f>
        <v>698178.24495419</v>
      </c>
      <c r="V214" s="22" t="n">
        <f aca="false">V213*(1+$P214)-R214</f>
        <v>686558.845953826</v>
      </c>
      <c r="W214" s="22" t="n">
        <f aca="false">($A214=Premissas!$C$16)*Premissas!$C$9</f>
        <v>0</v>
      </c>
      <c r="X214" s="22" t="n">
        <f aca="false">L214-M214-N214-W214</f>
        <v>2559.34094315331</v>
      </c>
      <c r="Y214" s="22" t="n">
        <f aca="false">Y213+X214</f>
        <v>-16069.0326249299</v>
      </c>
      <c r="Z214" s="22" t="n">
        <f aca="false">IF($A214&gt;=Premissas!$C$18,O214*(1-Premissas!$C$45)-Premissas!$C$46*MAX(0,O214*(1-Premissas!$C$45)-(SUM($W$5:$W$355)+Premissas!$C$26*Premissas!$C$60)),"")</f>
        <v>687958.47757912</v>
      </c>
      <c r="AA214" s="22" t="n">
        <f aca="false">IF($A214&gt;=Premissas!$C$18,Y214+Z214,"")</f>
        <v>671889.44495419</v>
      </c>
      <c r="AB214" s="22" t="n">
        <f aca="false">AB213*(1+$P214)-X214</f>
        <v>818830.188866047</v>
      </c>
      <c r="AC214" s="22" t="n">
        <f aca="false">AND($A214&gt;=Premissas!$C$16,$A214&lt;EDATE(Premissas!$C$16,3))*Premissas!$C$10/3*(1+Premissas!$C$56)^$C214</f>
        <v>0</v>
      </c>
      <c r="AD214" s="22" t="n">
        <f aca="false">L214-M214-N214-AC214</f>
        <v>2559.34094315331</v>
      </c>
      <c r="AE214" s="22" t="n">
        <f aca="false">AE213+AD214</f>
        <v>-23689.4965049548</v>
      </c>
      <c r="AF214" s="22" t="n">
        <f aca="false">IF($A214&gt;=Premissas!$C$18,O214*(1-Premissas!$C$45)-Premissas!$C$46*MAX(0,O214*(1-Premissas!$C$45)-(SUM($AC$5:$AC$355)+Premissas!$C$26*Premissas!$C$60)),"")</f>
        <v>689101.547161123</v>
      </c>
      <c r="AG214" s="22" t="n">
        <f aca="false">IF($A214&gt;=Premissas!$C$18,AE214+AF214,"")</f>
        <v>665412.050656169</v>
      </c>
      <c r="AH214" s="22" t="n">
        <f aca="false">AH213*(1+$P214)-AD214</f>
        <v>839914.13887708</v>
      </c>
      <c r="AI214" s="22" t="n">
        <f aca="false">($A214=Premissas!$C$16)*0.2*Premissas!$C$11+AND($A214&gt;Premissas!$C$16,$A214&lt;=EDATE(Premissas!$C$16,43))*0.8*Premissas!$C$11/43*(1+Premissas!$C$56)^$C214</f>
        <v>0</v>
      </c>
      <c r="AJ214" s="22" t="n">
        <f aca="false">L214-M214-N214-AI214</f>
        <v>2559.34094315331</v>
      </c>
      <c r="AK214" s="22" t="n">
        <f aca="false">AK213+AJ214</f>
        <v>-69553.9819230167</v>
      </c>
      <c r="AL214" s="22" t="n">
        <f aca="false">IF($A214&gt;=Premissas!$C$18,O214*(1-Premissas!$C$45)-Premissas!$C$46*MAX(0,O214*(1-Premissas!$C$45)-(SUM($AI$5:$AI$355)+Premissas!$C$26*Premissas!$C$60)),"")</f>
        <v>695981.219973833</v>
      </c>
      <c r="AM214" s="22" t="n">
        <f aca="false">IF($A214&gt;=Premissas!$C$18,AK214+AL214,"")</f>
        <v>626427.238050816</v>
      </c>
      <c r="AN214" s="22" t="n">
        <f aca="false">AN213*(1+$P214)-AJ214</f>
        <v>859586.6713243</v>
      </c>
      <c r="AO214" s="22" t="n">
        <f aca="false">V214+S214</f>
        <v>701417.813328896</v>
      </c>
    </row>
    <row r="215" customFormat="false" ht="15" hidden="false" customHeight="false" outlineLevel="0" collapsed="false">
      <c r="A215" s="26" t="n">
        <f aca="false">DATE(YEAR(A214),MONTH(A214)+1,1)</f>
        <v>52688</v>
      </c>
      <c r="B215" s="22" t="str">
        <f aca="false">IF($A215&lt;Premissas!$C$18,"Obra",IF($A215&lt;Premissas!$C$20,"Entrega/mobília","Airbnb"))</f>
        <v>Airbnb</v>
      </c>
      <c r="C215" s="36" t="n">
        <f aca="false">(YEAR($A215)-YEAR(Premissas!$C$16))*12+MONTH($A215)-MONTH(Premissas!$C$16)</f>
        <v>210</v>
      </c>
      <c r="D215" s="33" t="n">
        <f aca="false">IF($A215&gt;=Premissas!$C$20,Premissas!$C$31*IF(((YEAR($A215)-YEAR(Premissas!$C$20))*12+MONTH($A215)-MONTH(Premissas!$C$20))&lt;Premissas!$C$33,Premissas!$C$34,1),0)</f>
        <v>0.62</v>
      </c>
      <c r="E215" s="22" t="n">
        <f aca="false">D215*Premissas!$C$30*Premissas!$C$32*(1+Premissas!$C$58)^$C215</f>
        <v>9237.11585276213</v>
      </c>
      <c r="F215" s="22" t="n">
        <f aca="false">E215*Premissas!$C$35</f>
        <v>1477.93853644194</v>
      </c>
      <c r="G215" s="22" t="n">
        <f aca="false">E215*Premissas!$C$36</f>
        <v>1847.42317055243</v>
      </c>
      <c r="H215" s="22" t="n">
        <f aca="false">IF($A215&gt;=Premissas!$C$18,Premissas!$C$37*(1+Premissas!$C$58)^$C215,0)</f>
        <v>1191.88591648544</v>
      </c>
      <c r="I215" s="22" t="n">
        <f aca="false">IF($A215&gt;=Premissas!$C$20,Premissas!$C$38*(1+Premissas!$C$58)^$C215,0)</f>
        <v>556.213427693204</v>
      </c>
      <c r="J215" s="22" t="n">
        <f aca="false">IF($A215&gt;=Premissas!$C$20,Premissas!$C$39*(1+Premissas!$C$58)^$C215,0)</f>
        <v>297.971479121359</v>
      </c>
      <c r="K215" s="22" t="n">
        <f aca="false">IF($A215&gt;=Premissas!$C$20,MAX(0,E215-F215-G215-H215)*Premissas!$C$41,0)</f>
        <v>1297.96376305264</v>
      </c>
      <c r="L215" s="22" t="n">
        <f aca="false">E215-F215-G215-H215-I215-J215-K215</f>
        <v>2567.71955941512</v>
      </c>
      <c r="M215" s="22" t="n">
        <f aca="false">($A215=Premissas!$C$18)*Premissas!$C$26*Premissas!$C$60</f>
        <v>0</v>
      </c>
      <c r="N215" s="22" t="n">
        <f aca="false">IF(AND($A215&gt;=Premissas!$C$18,$A215&lt;Premissas!$C$20),Premissas!$C$27/MAX(1,Premissas!$C$19),0)</f>
        <v>0</v>
      </c>
      <c r="O215" s="22" t="n">
        <f aca="false">IF($A215&gt;=Premissas!$C$18,Premissas!$C$60*(1+Premissas!$C$59)^((YEAR($A215)-YEAR(Premissas!$C$18))*12+MONTH($A215)-MONTH(Premissas!$C$18)),"")</f>
        <v>808473.534156879</v>
      </c>
      <c r="P215" s="31" t="n">
        <f aca="false">(1+IF(YEAR($A215)&lt;=2026,Premissas!$C$49,IF(YEAR($A215)=2027,Premissas!$C$50,IF(YEAR($A215)=2028,Premissas!$C$51,Premissas!$C$52)))*(1-Premissas!$C$53))^(1/12)-1</f>
        <v>0.00682149336596227</v>
      </c>
      <c r="Q215" s="22" t="n">
        <f aca="false">($A215=Premissas!$C$16)*Premissas!$C$13</f>
        <v>0</v>
      </c>
      <c r="R215" s="22" t="n">
        <f aca="false">L215-M215-N215-Q215</f>
        <v>2567.71955941512</v>
      </c>
      <c r="S215" s="22" t="n">
        <f aca="false">S214+R215</f>
        <v>17426.686934485</v>
      </c>
      <c r="T215" s="22" t="n">
        <f aca="false">IF($A215&gt;=Premissas!$C$18,O215*(1-Premissas!$C$45)-Premissas!$C$46*MAX(0,O215*(1-Premissas!$C$45)-(SUM($Q$5:$Q$355)+Premissas!$C$26*Premissas!$C$60)),"")</f>
        <v>685940.362138092</v>
      </c>
      <c r="U215" s="22" t="n">
        <f aca="false">IF($A215&gt;=Premissas!$C$18,S215+T215,"")</f>
        <v>703367.049072577</v>
      </c>
      <c r="V215" s="22" t="n">
        <f aca="false">V214*(1+$P215)-R215</f>
        <v>688674.483007428</v>
      </c>
      <c r="W215" s="22" t="n">
        <f aca="false">($A215=Premissas!$C$16)*Premissas!$C$9</f>
        <v>0</v>
      </c>
      <c r="X215" s="22" t="n">
        <f aca="false">L215-M215-N215-W215</f>
        <v>2567.71955941512</v>
      </c>
      <c r="Y215" s="22" t="n">
        <f aca="false">Y214+X215</f>
        <v>-13501.3130655148</v>
      </c>
      <c r="Z215" s="22" t="n">
        <f aca="false">IF($A215&gt;=Premissas!$C$18,O215*(1-Premissas!$C$45)-Premissas!$C$46*MAX(0,O215*(1-Premissas!$C$45)-(SUM($W$5:$W$355)+Premissas!$C$26*Premissas!$C$60)),"")</f>
        <v>690579.562138092</v>
      </c>
      <c r="AA215" s="22" t="n">
        <f aca="false">IF($A215&gt;=Premissas!$C$18,Y215+Z215,"")</f>
        <v>677078.249072577</v>
      </c>
      <c r="AB215" s="22" t="n">
        <f aca="false">AB214*(1+$P215)-X215</f>
        <v>821848.114007831</v>
      </c>
      <c r="AC215" s="22" t="n">
        <f aca="false">AND($A215&gt;=Premissas!$C$16,$A215&lt;EDATE(Premissas!$C$16,3))*Premissas!$C$10/3*(1+Premissas!$C$56)^$C215</f>
        <v>0</v>
      </c>
      <c r="AD215" s="22" t="n">
        <f aca="false">L215-M215-N215-AC215</f>
        <v>2567.71955941512</v>
      </c>
      <c r="AE215" s="22" t="n">
        <f aca="false">AE214+AD215</f>
        <v>-21121.7769455397</v>
      </c>
      <c r="AF215" s="22" t="n">
        <f aca="false">IF($A215&gt;=Premissas!$C$18,O215*(1-Premissas!$C$45)-Premissas!$C$46*MAX(0,O215*(1-Premissas!$C$45)-(SUM($AC$5:$AC$355)+Premissas!$C$26*Premissas!$C$60)),"")</f>
        <v>691722.631720096</v>
      </c>
      <c r="AG215" s="22" t="n">
        <f aca="false">IF($A215&gt;=Premissas!$C$18,AE215+AF215,"")</f>
        <v>670600.854774556</v>
      </c>
      <c r="AH215" s="22" t="n">
        <f aca="false">AH214*(1+$P215)-AD215</f>
        <v>843075.888043993</v>
      </c>
      <c r="AI215" s="22" t="n">
        <f aca="false">($A215=Premissas!$C$16)*0.2*Premissas!$C$11+AND($A215&gt;Premissas!$C$16,$A215&lt;=EDATE(Premissas!$C$16,43))*0.8*Premissas!$C$11/43*(1+Premissas!$C$56)^$C215</f>
        <v>0</v>
      </c>
      <c r="AJ215" s="22" t="n">
        <f aca="false">L215-M215-N215-AI215</f>
        <v>2567.71955941512</v>
      </c>
      <c r="AK215" s="22" t="n">
        <f aca="false">AK214+AJ215</f>
        <v>-66986.2623636016</v>
      </c>
      <c r="AL215" s="22" t="n">
        <f aca="false">IF($A215&gt;=Premissas!$C$18,O215*(1-Premissas!$C$45)-Premissas!$C$46*MAX(0,O215*(1-Premissas!$C$45)-(SUM($AI$5:$AI$355)+Premissas!$C$26*Premissas!$C$60)),"")</f>
        <v>698602.304532805</v>
      </c>
      <c r="AM215" s="22" t="n">
        <f aca="false">IF($A215&gt;=Premissas!$C$18,AK215+AL215,"")</f>
        <v>631616.042169204</v>
      </c>
      <c r="AN215" s="22" t="n">
        <f aca="false">AN214*(1+$P215)-AJ215</f>
        <v>862882.616540793</v>
      </c>
      <c r="AO215" s="22" t="n">
        <f aca="false">V215+S215</f>
        <v>706101.169941913</v>
      </c>
    </row>
    <row r="216" customFormat="false" ht="15" hidden="false" customHeight="false" outlineLevel="0" collapsed="false">
      <c r="A216" s="26" t="n">
        <f aca="false">DATE(YEAR(A215),MONTH(A215)+1,1)</f>
        <v>52718</v>
      </c>
      <c r="B216" s="22" t="str">
        <f aca="false">IF($A216&lt;Premissas!$C$18,"Obra",IF($A216&lt;Premissas!$C$20,"Entrega/mobília","Airbnb"))</f>
        <v>Airbnb</v>
      </c>
      <c r="C216" s="36" t="n">
        <f aca="false">(YEAR($A216)-YEAR(Premissas!$C$16))*12+MONTH($A216)-MONTH(Premissas!$C$16)</f>
        <v>211</v>
      </c>
      <c r="D216" s="33" t="n">
        <f aca="false">IF($A216&gt;=Premissas!$C$20,Premissas!$C$31*IF(((YEAR($A216)-YEAR(Premissas!$C$20))*12+MONTH($A216)-MONTH(Premissas!$C$20))&lt;Premissas!$C$33,Premissas!$C$34,1),0)</f>
        <v>0.62</v>
      </c>
      <c r="E216" s="22" t="n">
        <f aca="false">D216*Premissas!$C$30*Premissas!$C$32*(1+Premissas!$C$58)^$C216</f>
        <v>9267.3557664021</v>
      </c>
      <c r="F216" s="22" t="n">
        <f aca="false">E216*Premissas!$C$35</f>
        <v>1482.77692262434</v>
      </c>
      <c r="G216" s="22" t="n">
        <f aca="false">E216*Premissas!$C$36</f>
        <v>1853.47115328042</v>
      </c>
      <c r="H216" s="22" t="n">
        <f aca="false">IF($A216&gt;=Premissas!$C$18,Premissas!$C$37*(1+Premissas!$C$58)^$C216,0)</f>
        <v>1195.78784082608</v>
      </c>
      <c r="I216" s="22" t="n">
        <f aca="false">IF($A216&gt;=Premissas!$C$20,Premissas!$C$38*(1+Premissas!$C$58)^$C216,0)</f>
        <v>558.034325718836</v>
      </c>
      <c r="J216" s="22" t="n">
        <f aca="false">IF($A216&gt;=Premissas!$C$20,Premissas!$C$39*(1+Premissas!$C$58)^$C216,0)</f>
        <v>298.946960206519</v>
      </c>
      <c r="K216" s="22" t="n">
        <f aca="false">IF($A216&gt;=Premissas!$C$20,MAX(0,E216-F216-G216-H216)*Premissas!$C$41,0)</f>
        <v>1302.2129586596</v>
      </c>
      <c r="L216" s="22" t="n">
        <f aca="false">E216-F216-G216-H216-I216-J216-K216</f>
        <v>2576.12560508631</v>
      </c>
      <c r="M216" s="22" t="n">
        <f aca="false">($A216=Premissas!$C$18)*Premissas!$C$26*Premissas!$C$60</f>
        <v>0</v>
      </c>
      <c r="N216" s="22" t="n">
        <f aca="false">IF(AND($A216&gt;=Premissas!$C$18,$A216&lt;Premissas!$C$20),Premissas!$C$27/MAX(1,Premissas!$C$19),0)</f>
        <v>0</v>
      </c>
      <c r="O216" s="22" t="n">
        <f aca="false">IF($A216&gt;=Premissas!$C$18,Premissas!$C$60*(1+Premissas!$C$59)^((YEAR($A216)-YEAR(Premissas!$C$18))*12+MONTH($A216)-MONTH(Premissas!$C$18)),"")</f>
        <v>811767.355410837</v>
      </c>
      <c r="P216" s="31" t="n">
        <f aca="false">(1+IF(YEAR($A216)&lt;=2026,Premissas!$C$49,IF(YEAR($A216)=2027,Premissas!$C$50,IF(YEAR($A216)=2028,Premissas!$C$51,Premissas!$C$52)))*(1-Premissas!$C$53))^(1/12)-1</f>
        <v>0.00682149336596227</v>
      </c>
      <c r="Q216" s="22" t="n">
        <f aca="false">($A216=Premissas!$C$16)*Premissas!$C$13</f>
        <v>0</v>
      </c>
      <c r="R216" s="22" t="n">
        <f aca="false">L216-M216-N216-Q216</f>
        <v>2576.12560508631</v>
      </c>
      <c r="S216" s="22" t="n">
        <f aca="false">S215+R216</f>
        <v>20002.8125395713</v>
      </c>
      <c r="T216" s="22" t="n">
        <f aca="false">IF($A216&gt;=Premissas!$C$18,O216*(1-Premissas!$C$45)-Premissas!$C$46*MAX(0,O216*(1-Premissas!$C$45)-(SUM($Q$5:$Q$355)+Premissas!$C$26*Premissas!$C$60)),"")</f>
        <v>688572.125320005</v>
      </c>
      <c r="U216" s="22" t="n">
        <f aca="false">IF($A216&gt;=Premissas!$C$18,S216+T216,"")</f>
        <v>708574.937859576</v>
      </c>
      <c r="V216" s="22" t="n">
        <f aca="false">V215*(1+$P216)-R216</f>
        <v>690796.145819484</v>
      </c>
      <c r="W216" s="22" t="n">
        <f aca="false">($A216=Premissas!$C$16)*Premissas!$C$9</f>
        <v>0</v>
      </c>
      <c r="X216" s="22" t="n">
        <f aca="false">L216-M216-N216-W216</f>
        <v>2576.12560508631</v>
      </c>
      <c r="Y216" s="22" t="n">
        <f aca="false">Y215+X216</f>
        <v>-10925.1874604285</v>
      </c>
      <c r="Z216" s="22" t="n">
        <f aca="false">IF($A216&gt;=Premissas!$C$18,O216*(1-Premissas!$C$45)-Premissas!$C$46*MAX(0,O216*(1-Premissas!$C$45)-(SUM($W$5:$W$355)+Premissas!$C$26*Premissas!$C$60)),"")</f>
        <v>693211.325320005</v>
      </c>
      <c r="AA216" s="22" t="n">
        <f aca="false">IF($A216&gt;=Premissas!$C$18,Y216+Z216,"")</f>
        <v>682286.137859577</v>
      </c>
      <c r="AB216" s="22" t="n">
        <f aca="false">AB215*(1+$P216)-X216</f>
        <v>824878.219860278</v>
      </c>
      <c r="AC216" s="22" t="n">
        <f aca="false">AND($A216&gt;=Premissas!$C$16,$A216&lt;EDATE(Premissas!$C$16,3))*Premissas!$C$10/3*(1+Premissas!$C$56)^$C216</f>
        <v>0</v>
      </c>
      <c r="AD216" s="22" t="n">
        <f aca="false">L216-M216-N216-AC216</f>
        <v>2576.12560508631</v>
      </c>
      <c r="AE216" s="22" t="n">
        <f aca="false">AE215+AD216</f>
        <v>-18545.6513404533</v>
      </c>
      <c r="AF216" s="22" t="n">
        <f aca="false">IF($A216&gt;=Premissas!$C$18,O216*(1-Premissas!$C$45)-Premissas!$C$46*MAX(0,O216*(1-Premissas!$C$45)-(SUM($AC$5:$AC$355)+Premissas!$C$26*Premissas!$C$60)),"")</f>
        <v>694354.394902009</v>
      </c>
      <c r="AG216" s="22" t="n">
        <f aca="false">IF($A216&gt;=Premissas!$C$18,AE216+AF216,"")</f>
        <v>675808.743561556</v>
      </c>
      <c r="AH216" s="22" t="n">
        <f aca="false">AH215*(1+$P216)-AD216</f>
        <v>846250.799016202</v>
      </c>
      <c r="AI216" s="22" t="n">
        <f aca="false">($A216=Premissas!$C$16)*0.2*Premissas!$C$11+AND($A216&gt;Premissas!$C$16,$A216&lt;=EDATE(Premissas!$C$16,43))*0.8*Premissas!$C$11/43*(1+Premissas!$C$56)^$C216</f>
        <v>0</v>
      </c>
      <c r="AJ216" s="22" t="n">
        <f aca="false">L216-M216-N216-AI216</f>
        <v>2576.12560508631</v>
      </c>
      <c r="AK216" s="22" t="n">
        <f aca="false">AK215+AJ216</f>
        <v>-64410.1367585153</v>
      </c>
      <c r="AL216" s="22" t="n">
        <f aca="false">IF($A216&gt;=Premissas!$C$18,O216*(1-Premissas!$C$45)-Premissas!$C$46*MAX(0,O216*(1-Premissas!$C$45)-(SUM($AI$5:$AI$355)+Premissas!$C$26*Premissas!$C$60)),"")</f>
        <v>701234.067714718</v>
      </c>
      <c r="AM216" s="22" t="n">
        <f aca="false">IF($A216&gt;=Premissas!$C$18,AK216+AL216,"")</f>
        <v>636823.930956203</v>
      </c>
      <c r="AN216" s="22" t="n">
        <f aca="false">AN215*(1+$P216)-AJ216</f>
        <v>866192.638980044</v>
      </c>
      <c r="AO216" s="22" t="n">
        <f aca="false">V216+S216</f>
        <v>710798.958359056</v>
      </c>
    </row>
    <row r="217" customFormat="false" ht="15" hidden="false" customHeight="false" outlineLevel="0" collapsed="false">
      <c r="A217" s="26" t="n">
        <f aca="false">DATE(YEAR(A216),MONTH(A216)+1,1)</f>
        <v>52749</v>
      </c>
      <c r="B217" s="22" t="str">
        <f aca="false">IF($A217&lt;Premissas!$C$18,"Obra",IF($A217&lt;Premissas!$C$20,"Entrega/mobília","Airbnb"))</f>
        <v>Airbnb</v>
      </c>
      <c r="C217" s="36" t="n">
        <f aca="false">(YEAR($A217)-YEAR(Premissas!$C$16))*12+MONTH($A217)-MONTH(Premissas!$C$16)</f>
        <v>212</v>
      </c>
      <c r="D217" s="33" t="n">
        <f aca="false">IF($A217&gt;=Premissas!$C$20,Premissas!$C$31*IF(((YEAR($A217)-YEAR(Premissas!$C$20))*12+MONTH($A217)-MONTH(Premissas!$C$20))&lt;Premissas!$C$33,Premissas!$C$34,1),0)</f>
        <v>0.62</v>
      </c>
      <c r="E217" s="22" t="n">
        <f aca="false">D217*Premissas!$C$30*Premissas!$C$32*(1+Premissas!$C$58)^$C217</f>
        <v>9297.69467765036</v>
      </c>
      <c r="F217" s="22" t="n">
        <f aca="false">E217*Premissas!$C$35</f>
        <v>1487.63114842406</v>
      </c>
      <c r="G217" s="22" t="n">
        <f aca="false">E217*Premissas!$C$36</f>
        <v>1859.53893553007</v>
      </c>
      <c r="H217" s="22" t="n">
        <f aca="false">IF($A217&gt;=Premissas!$C$18,Premissas!$C$37*(1+Premissas!$C$58)^$C217,0)</f>
        <v>1199.70253905166</v>
      </c>
      <c r="I217" s="22" t="n">
        <f aca="false">IF($A217&gt;=Premissas!$C$20,Premissas!$C$38*(1+Premissas!$C$58)^$C217,0)</f>
        <v>559.861184890774</v>
      </c>
      <c r="J217" s="22" t="n">
        <f aca="false">IF($A217&gt;=Premissas!$C$20,Premissas!$C$39*(1+Premissas!$C$58)^$C217,0)</f>
        <v>299.925634762915</v>
      </c>
      <c r="K217" s="22" t="n">
        <f aca="false">IF($A217&gt;=Premissas!$C$20,MAX(0,E217-F217-G217-H217)*Premissas!$C$41,0)</f>
        <v>1306.47606502726</v>
      </c>
      <c r="L217" s="22" t="n">
        <f aca="false">E217-F217-G217-H217-I217-J217-K217</f>
        <v>2584.55916996362</v>
      </c>
      <c r="M217" s="22" t="n">
        <f aca="false">($A217=Premissas!$C$18)*Premissas!$C$26*Premissas!$C$60</f>
        <v>0</v>
      </c>
      <c r="N217" s="22" t="n">
        <f aca="false">IF(AND($A217&gt;=Premissas!$C$18,$A217&lt;Premissas!$C$20),Premissas!$C$27/MAX(1,Premissas!$C$19),0)</f>
        <v>0</v>
      </c>
      <c r="O217" s="22" t="n">
        <f aca="false">IF($A217&gt;=Premissas!$C$18,Premissas!$C$60*(1+Premissas!$C$59)^((YEAR($A217)-YEAR(Premissas!$C$18))*12+MONTH($A217)-MONTH(Premissas!$C$18)),"")</f>
        <v>815074.596100306</v>
      </c>
      <c r="P217" s="31" t="n">
        <f aca="false">(1+IF(YEAR($A217)&lt;=2026,Premissas!$C$49,IF(YEAR($A217)=2027,Premissas!$C$50,IF(YEAR($A217)=2028,Premissas!$C$51,Premissas!$C$52)))*(1-Premissas!$C$53))^(1/12)-1</f>
        <v>0.00682149336596227</v>
      </c>
      <c r="Q217" s="22" t="n">
        <f aca="false">($A217=Premissas!$C$16)*Premissas!$C$13</f>
        <v>0</v>
      </c>
      <c r="R217" s="22" t="n">
        <f aca="false">L217-M217-N217-Q217</f>
        <v>2584.55916996362</v>
      </c>
      <c r="S217" s="22" t="n">
        <f aca="false">S216+R217</f>
        <v>22587.371709535</v>
      </c>
      <c r="T217" s="22" t="n">
        <f aca="false">IF($A217&gt;=Premissas!$C$18,O217*(1-Premissas!$C$45)-Premissas!$C$46*MAX(0,O217*(1-Premissas!$C$45)-(SUM($Q$5:$Q$355)+Premissas!$C$26*Premissas!$C$60)),"")</f>
        <v>691214.610630891</v>
      </c>
      <c r="U217" s="22" t="n">
        <f aca="false">IF($A217&gt;=Premissas!$C$18,S217+T217,"")</f>
        <v>713801.982340426</v>
      </c>
      <c r="V217" s="22" t="n">
        <f aca="false">V216*(1+$P217)-R217</f>
        <v>692923.847975461</v>
      </c>
      <c r="W217" s="22" t="n">
        <f aca="false">($A217=Premissas!$C$16)*Premissas!$C$9</f>
        <v>0</v>
      </c>
      <c r="X217" s="22" t="n">
        <f aca="false">L217-M217-N217-W217</f>
        <v>2584.55916996362</v>
      </c>
      <c r="Y217" s="22" t="n">
        <f aca="false">Y216+X217</f>
        <v>-8340.62829046489</v>
      </c>
      <c r="Z217" s="22" t="n">
        <f aca="false">IF($A217&gt;=Premissas!$C$18,O217*(1-Premissas!$C$45)-Premissas!$C$46*MAX(0,O217*(1-Premissas!$C$45)-(SUM($W$5:$W$355)+Premissas!$C$26*Premissas!$C$60)),"")</f>
        <v>695853.810630891</v>
      </c>
      <c r="AA217" s="22" t="n">
        <f aca="false">IF($A217&gt;=Premissas!$C$18,Y217+Z217,"")</f>
        <v>687513.182340426</v>
      </c>
      <c r="AB217" s="22" t="n">
        <f aca="false">AB216*(1+$P217)-X217</f>
        <v>827920.561994818</v>
      </c>
      <c r="AC217" s="22" t="n">
        <f aca="false">AND($A217&gt;=Premissas!$C$16,$A217&lt;EDATE(Premissas!$C$16,3))*Premissas!$C$10/3*(1+Premissas!$C$56)^$C217</f>
        <v>0</v>
      </c>
      <c r="AD217" s="22" t="n">
        <f aca="false">L217-M217-N217-AC217</f>
        <v>2584.55916996362</v>
      </c>
      <c r="AE217" s="22" t="n">
        <f aca="false">AE216+AD217</f>
        <v>-15961.0921704897</v>
      </c>
      <c r="AF217" s="22" t="n">
        <f aca="false">IF($A217&gt;=Premissas!$C$18,O217*(1-Premissas!$C$45)-Premissas!$C$46*MAX(0,O217*(1-Premissas!$C$45)-(SUM($AC$5:$AC$355)+Premissas!$C$26*Premissas!$C$60)),"")</f>
        <v>696996.880212894</v>
      </c>
      <c r="AG217" s="22" t="n">
        <f aca="false">IF($A217&gt;=Premissas!$C$18,AE217+AF217,"")</f>
        <v>681035.788042405</v>
      </c>
      <c r="AH217" s="22" t="n">
        <f aca="false">AH216*(1+$P217)-AD217</f>
        <v>849438.934057667</v>
      </c>
      <c r="AI217" s="22" t="n">
        <f aca="false">($A217=Premissas!$C$16)*0.2*Premissas!$C$11+AND($A217&gt;Premissas!$C$16,$A217&lt;=EDATE(Premissas!$C$16,43))*0.8*Premissas!$C$11/43*(1+Premissas!$C$56)^$C217</f>
        <v>0</v>
      </c>
      <c r="AJ217" s="22" t="n">
        <f aca="false">L217-M217-N217-AI217</f>
        <v>2584.55916996362</v>
      </c>
      <c r="AK217" s="22" t="n">
        <f aca="false">AK216+AJ217</f>
        <v>-61825.5775885516</v>
      </c>
      <c r="AL217" s="22" t="n">
        <f aca="false">IF($A217&gt;=Premissas!$C$18,O217*(1-Premissas!$C$45)-Premissas!$C$46*MAX(0,O217*(1-Premissas!$C$45)-(SUM($AI$5:$AI$355)+Premissas!$C$26*Premissas!$C$60)),"")</f>
        <v>703876.553025604</v>
      </c>
      <c r="AM217" s="22" t="n">
        <f aca="false">IF($A217&gt;=Premissas!$C$18,AK217+AL217,"")</f>
        <v>642050.975437052</v>
      </c>
      <c r="AN217" s="22" t="n">
        <f aca="false">AN216*(1+$P217)-AJ217</f>
        <v>869516.807150528</v>
      </c>
      <c r="AO217" s="22" t="n">
        <f aca="false">V217+S217</f>
        <v>715511.219684996</v>
      </c>
    </row>
    <row r="218" customFormat="false" ht="15" hidden="false" customHeight="false" outlineLevel="0" collapsed="false">
      <c r="A218" s="26" t="n">
        <f aca="false">DATE(YEAR(A217),MONTH(A217)+1,1)</f>
        <v>52779</v>
      </c>
      <c r="B218" s="22" t="str">
        <f aca="false">IF($A218&lt;Premissas!$C$18,"Obra",IF($A218&lt;Premissas!$C$20,"Entrega/mobília","Airbnb"))</f>
        <v>Airbnb</v>
      </c>
      <c r="C218" s="36" t="n">
        <f aca="false">(YEAR($A218)-YEAR(Premissas!$C$16))*12+MONTH($A218)-MONTH(Premissas!$C$16)</f>
        <v>213</v>
      </c>
      <c r="D218" s="33" t="n">
        <f aca="false">IF($A218&gt;=Premissas!$C$20,Premissas!$C$31*IF(((YEAR($A218)-YEAR(Premissas!$C$20))*12+MONTH($A218)-MONTH(Premissas!$C$20))&lt;Premissas!$C$33,Premissas!$C$34,1),0)</f>
        <v>0.62</v>
      </c>
      <c r="E218" s="22" t="n">
        <f aca="false">D218*Premissas!$C$30*Premissas!$C$32*(1+Premissas!$C$58)^$C218</f>
        <v>9328.13291059932</v>
      </c>
      <c r="F218" s="22" t="n">
        <f aca="false">E218*Premissas!$C$35</f>
        <v>1492.50126569589</v>
      </c>
      <c r="G218" s="22" t="n">
        <f aca="false">E218*Premissas!$C$36</f>
        <v>1865.62658211986</v>
      </c>
      <c r="H218" s="22" t="n">
        <f aca="false">IF($A218&gt;=Premissas!$C$18,Premissas!$C$37*(1+Premissas!$C$58)^$C218,0)</f>
        <v>1203.63005298056</v>
      </c>
      <c r="I218" s="22" t="n">
        <f aca="false">IF($A218&gt;=Premissas!$C$20,Premissas!$C$38*(1+Premissas!$C$58)^$C218,0)</f>
        <v>561.69402472426</v>
      </c>
      <c r="J218" s="22" t="n">
        <f aca="false">IF($A218&gt;=Premissas!$C$20,Premissas!$C$39*(1+Premissas!$C$58)^$C218,0)</f>
        <v>300.907513245139</v>
      </c>
      <c r="K218" s="22" t="n">
        <f aca="false">IF($A218&gt;=Premissas!$C$20,MAX(0,E218-F218-G218-H218)*Premissas!$C$41,0)</f>
        <v>1310.75312769583</v>
      </c>
      <c r="L218" s="22" t="n">
        <f aca="false">E218-F218-G218-H218-I218-J218-K218</f>
        <v>2593.02034413778</v>
      </c>
      <c r="M218" s="22" t="n">
        <f aca="false">($A218=Premissas!$C$18)*Premissas!$C$26*Premissas!$C$60</f>
        <v>0</v>
      </c>
      <c r="N218" s="22" t="n">
        <f aca="false">IF(AND($A218&gt;=Premissas!$C$18,$A218&lt;Premissas!$C$20),Premissas!$C$27/MAX(1,Premissas!$C$19),0)</f>
        <v>0</v>
      </c>
      <c r="O218" s="22" t="n">
        <f aca="false">IF($A218&gt;=Premissas!$C$18,Premissas!$C$60*(1+Premissas!$C$59)^((YEAR($A218)-YEAR(Premissas!$C$18))*12+MONTH($A218)-MONTH(Premissas!$C$18)),"")</f>
        <v>818395.310897726</v>
      </c>
      <c r="P218" s="31" t="n">
        <f aca="false">(1+IF(YEAR($A218)&lt;=2026,Premissas!$C$49,IF(YEAR($A218)=2027,Premissas!$C$50,IF(YEAR($A218)=2028,Premissas!$C$51,Premissas!$C$52)))*(1-Premissas!$C$53))^(1/12)-1</f>
        <v>0.00682149336596227</v>
      </c>
      <c r="Q218" s="22" t="n">
        <f aca="false">($A218=Premissas!$C$16)*Premissas!$C$13</f>
        <v>0</v>
      </c>
      <c r="R218" s="22" t="n">
        <f aca="false">L218-M218-N218-Q218</f>
        <v>2593.02034413778</v>
      </c>
      <c r="S218" s="22" t="n">
        <f aca="false">S217+R218</f>
        <v>25180.3920536727</v>
      </c>
      <c r="T218" s="22" t="n">
        <f aca="false">IF($A218&gt;=Premissas!$C$18,O218*(1-Premissas!$C$45)-Premissas!$C$46*MAX(0,O218*(1-Premissas!$C$45)-(SUM($Q$5:$Q$355)+Premissas!$C$26*Premissas!$C$60)),"")</f>
        <v>693867.861754029</v>
      </c>
      <c r="U218" s="22" t="n">
        <f aca="false">IF($A218&gt;=Premissas!$C$18,S218+T218,"")</f>
        <v>719048.253807702</v>
      </c>
      <c r="V218" s="22" t="n">
        <f aca="false">V217*(1+$P218)-R218</f>
        <v>695057.603063404</v>
      </c>
      <c r="W218" s="22" t="n">
        <f aca="false">($A218=Premissas!$C$16)*Premissas!$C$9</f>
        <v>0</v>
      </c>
      <c r="X218" s="22" t="n">
        <f aca="false">L218-M218-N218-W218</f>
        <v>2593.02034413778</v>
      </c>
      <c r="Y218" s="22" t="n">
        <f aca="false">Y217+X218</f>
        <v>-5747.60794632711</v>
      </c>
      <c r="Z218" s="22" t="n">
        <f aca="false">IF($A218&gt;=Premissas!$C$18,O218*(1-Premissas!$C$45)-Premissas!$C$46*MAX(0,O218*(1-Premissas!$C$45)-(SUM($W$5:$W$355)+Premissas!$C$26*Premissas!$C$60)),"")</f>
        <v>698507.061754029</v>
      </c>
      <c r="AA218" s="22" t="n">
        <f aca="false">IF($A218&gt;=Premissas!$C$18,Y218+Z218,"")</f>
        <v>692759.453807702</v>
      </c>
      <c r="AB218" s="22" t="n">
        <f aca="false">AB217*(1+$P218)-X218</f>
        <v>830975.196271872</v>
      </c>
      <c r="AC218" s="22" t="n">
        <f aca="false">AND($A218&gt;=Premissas!$C$16,$A218&lt;EDATE(Premissas!$C$16,3))*Premissas!$C$10/3*(1+Premissas!$C$56)^$C218</f>
        <v>0</v>
      </c>
      <c r="AD218" s="22" t="n">
        <f aca="false">L218-M218-N218-AC218</f>
        <v>2593.02034413778</v>
      </c>
      <c r="AE218" s="22" t="n">
        <f aca="false">AE217+AD218</f>
        <v>-13368.0718263519</v>
      </c>
      <c r="AF218" s="22" t="n">
        <f aca="false">IF($A218&gt;=Premissas!$C$18,O218*(1-Premissas!$C$45)-Premissas!$C$46*MAX(0,O218*(1-Premissas!$C$45)-(SUM($AC$5:$AC$355)+Premissas!$C$26*Premissas!$C$60)),"")</f>
        <v>699650.131336033</v>
      </c>
      <c r="AG218" s="22" t="n">
        <f aca="false">IF($A218&gt;=Premissas!$C$18,AE218+AF218,"")</f>
        <v>686282.059509681</v>
      </c>
      <c r="AH218" s="22" t="n">
        <f aca="false">AH217*(1+$P218)-AD218</f>
        <v>852640.355766994</v>
      </c>
      <c r="AI218" s="22" t="n">
        <f aca="false">($A218=Premissas!$C$16)*0.2*Premissas!$C$11+AND($A218&gt;Premissas!$C$16,$A218&lt;=EDATE(Premissas!$C$16,43))*0.8*Premissas!$C$11/43*(1+Premissas!$C$56)^$C218</f>
        <v>0</v>
      </c>
      <c r="AJ218" s="22" t="n">
        <f aca="false">L218-M218-N218-AI218</f>
        <v>2593.02034413778</v>
      </c>
      <c r="AK218" s="22" t="n">
        <f aca="false">AK217+AJ218</f>
        <v>-59232.5572444139</v>
      </c>
      <c r="AL218" s="22" t="n">
        <f aca="false">IF($A218&gt;=Premissas!$C$18,O218*(1-Premissas!$C$45)-Premissas!$C$46*MAX(0,O218*(1-Premissas!$C$45)-(SUM($AI$5:$AI$355)+Premissas!$C$26*Premissas!$C$60)),"")</f>
        <v>706529.804148742</v>
      </c>
      <c r="AM218" s="22" t="n">
        <f aca="false">IF($A218&gt;=Premissas!$C$18,AK218+AL218,"")</f>
        <v>647297.246904328</v>
      </c>
      <c r="AN218" s="22" t="n">
        <f aca="false">AN217*(1+$P218)-AJ218</f>
        <v>872855.189937961</v>
      </c>
      <c r="AO218" s="22" t="n">
        <f aca="false">V218+S218</f>
        <v>720237.995117077</v>
      </c>
    </row>
    <row r="219" customFormat="false" ht="15" hidden="false" customHeight="false" outlineLevel="0" collapsed="false">
      <c r="A219" s="26" t="n">
        <f aca="false">DATE(YEAR(A218),MONTH(A218)+1,1)</f>
        <v>52810</v>
      </c>
      <c r="B219" s="22" t="str">
        <f aca="false">IF($A219&lt;Premissas!$C$18,"Obra",IF($A219&lt;Premissas!$C$20,"Entrega/mobília","Airbnb"))</f>
        <v>Airbnb</v>
      </c>
      <c r="C219" s="36" t="n">
        <f aca="false">(YEAR($A219)-YEAR(Premissas!$C$16))*12+MONTH($A219)-MONTH(Premissas!$C$16)</f>
        <v>214</v>
      </c>
      <c r="D219" s="33" t="n">
        <f aca="false">IF($A219&gt;=Premissas!$C$20,Premissas!$C$31*IF(((YEAR($A219)-YEAR(Premissas!$C$20))*12+MONTH($A219)-MONTH(Premissas!$C$20))&lt;Premissas!$C$33,Premissas!$C$34,1),0)</f>
        <v>0.62</v>
      </c>
      <c r="E219" s="22" t="n">
        <f aca="false">D219*Premissas!$C$30*Premissas!$C$32*(1+Premissas!$C$58)^$C219</f>
        <v>9358.67079040239</v>
      </c>
      <c r="F219" s="22" t="n">
        <f aca="false">E219*Premissas!$C$35</f>
        <v>1497.38732646438</v>
      </c>
      <c r="G219" s="22" t="n">
        <f aca="false">E219*Premissas!$C$36</f>
        <v>1871.73415808048</v>
      </c>
      <c r="H219" s="22" t="n">
        <f aca="false">IF($A219&gt;=Premissas!$C$18,Premissas!$C$37*(1+Premissas!$C$58)^$C219,0)</f>
        <v>1207.57042456805</v>
      </c>
      <c r="I219" s="22" t="n">
        <f aca="false">IF($A219&gt;=Premissas!$C$20,Premissas!$C$38*(1+Premissas!$C$58)^$C219,0)</f>
        <v>563.532864798423</v>
      </c>
      <c r="J219" s="22" t="n">
        <f aca="false">IF($A219&gt;=Premissas!$C$20,Premissas!$C$39*(1+Premissas!$C$58)^$C219,0)</f>
        <v>301.892606142013</v>
      </c>
      <c r="K219" s="22" t="n">
        <f aca="false">IF($A219&gt;=Premissas!$C$20,MAX(0,E219-F219-G219-H219)*Premissas!$C$41,0)</f>
        <v>1315.04419235461</v>
      </c>
      <c r="L219" s="22" t="n">
        <f aca="false">E219-F219-G219-H219-I219-J219-K219</f>
        <v>2601.50921799444</v>
      </c>
      <c r="M219" s="22" t="n">
        <f aca="false">($A219=Premissas!$C$18)*Premissas!$C$26*Premissas!$C$60</f>
        <v>0</v>
      </c>
      <c r="N219" s="22" t="n">
        <f aca="false">IF(AND($A219&gt;=Premissas!$C$18,$A219&lt;Premissas!$C$20),Premissas!$C$27/MAX(1,Premissas!$C$19),0)</f>
        <v>0</v>
      </c>
      <c r="O219" s="22" t="n">
        <f aca="false">IF($A219&gt;=Premissas!$C$18,Premissas!$C$60*(1+Premissas!$C$59)^((YEAR($A219)-YEAR(Premissas!$C$18))*12+MONTH($A219)-MONTH(Premissas!$C$18)),"")</f>
        <v>821729.554698281</v>
      </c>
      <c r="P219" s="31" t="n">
        <f aca="false">(1+IF(YEAR($A219)&lt;=2026,Premissas!$C$49,IF(YEAR($A219)=2027,Premissas!$C$50,IF(YEAR($A219)=2028,Premissas!$C$51,Premissas!$C$52)))*(1-Premissas!$C$53))^(1/12)-1</f>
        <v>0.00682149336596227</v>
      </c>
      <c r="Q219" s="22" t="n">
        <f aca="false">($A219=Premissas!$C$16)*Premissas!$C$13</f>
        <v>0</v>
      </c>
      <c r="R219" s="22" t="n">
        <f aca="false">L219-M219-N219-Q219</f>
        <v>2601.50921799444</v>
      </c>
      <c r="S219" s="22" t="n">
        <f aca="false">S218+R219</f>
        <v>27781.9012716672</v>
      </c>
      <c r="T219" s="22" t="n">
        <f aca="false">IF($A219&gt;=Premissas!$C$18,O219*(1-Premissas!$C$45)-Premissas!$C$46*MAX(0,O219*(1-Premissas!$C$45)-(SUM($Q$5:$Q$355)+Premissas!$C$26*Premissas!$C$60)),"")</f>
        <v>696531.922550672</v>
      </c>
      <c r="U219" s="22" t="n">
        <f aca="false">IF($A219&gt;=Premissas!$C$18,S219+T219,"")</f>
        <v>724313.82382234</v>
      </c>
      <c r="V219" s="22" t="n">
        <f aca="false">V218*(1+$P219)-R219</f>
        <v>697197.424673669</v>
      </c>
      <c r="W219" s="22" t="n">
        <f aca="false">($A219=Premissas!$C$16)*Premissas!$C$9</f>
        <v>0</v>
      </c>
      <c r="X219" s="22" t="n">
        <f aca="false">L219-M219-N219-W219</f>
        <v>2601.50921799444</v>
      </c>
      <c r="Y219" s="22" t="n">
        <f aca="false">Y218+X219</f>
        <v>-3146.09872833268</v>
      </c>
      <c r="Z219" s="22" t="n">
        <f aca="false">IF($A219&gt;=Premissas!$C$18,O219*(1-Premissas!$C$45)-Premissas!$C$46*MAX(0,O219*(1-Premissas!$C$45)-(SUM($W$5:$W$355)+Premissas!$C$26*Premissas!$C$60)),"")</f>
        <v>701171.122550672</v>
      </c>
      <c r="AA219" s="22" t="n">
        <f aca="false">IF($A219&gt;=Premissas!$C$18,Y219+Z219,"")</f>
        <v>698025.02382234</v>
      </c>
      <c r="AB219" s="22" t="n">
        <f aca="false">AB218*(1+$P219)-X219</f>
        <v>834042.178842525</v>
      </c>
      <c r="AC219" s="22" t="n">
        <f aca="false">AND($A219&gt;=Premissas!$C$16,$A219&lt;EDATE(Premissas!$C$16,3))*Premissas!$C$10/3*(1+Premissas!$C$56)^$C219</f>
        <v>0</v>
      </c>
      <c r="AD219" s="22" t="n">
        <f aca="false">L219-M219-N219-AC219</f>
        <v>2601.50921799444</v>
      </c>
      <c r="AE219" s="22" t="n">
        <f aca="false">AE218+AD219</f>
        <v>-10766.5626083575</v>
      </c>
      <c r="AF219" s="22" t="n">
        <f aca="false">IF($A219&gt;=Premissas!$C$18,O219*(1-Premissas!$C$45)-Premissas!$C$46*MAX(0,O219*(1-Premissas!$C$45)-(SUM($AC$5:$AC$355)+Premissas!$C$26*Premissas!$C$60)),"")</f>
        <v>702314.192132676</v>
      </c>
      <c r="AG219" s="22" t="n">
        <f aca="false">IF($A219&gt;=Premissas!$C$18,AE219+AF219,"")</f>
        <v>691547.629524319</v>
      </c>
      <c r="AH219" s="22" t="n">
        <f aca="false">AH218*(1+$P219)-AD219</f>
        <v>855855.127079416</v>
      </c>
      <c r="AI219" s="22" t="n">
        <f aca="false">($A219=Premissas!$C$16)*0.2*Premissas!$C$11+AND($A219&gt;Premissas!$C$16,$A219&lt;=EDATE(Premissas!$C$16,43))*0.8*Premissas!$C$11/43*(1+Premissas!$C$56)^$C219</f>
        <v>0</v>
      </c>
      <c r="AJ219" s="22" t="n">
        <f aca="false">L219-M219-N219-AI219</f>
        <v>2601.50921799444</v>
      </c>
      <c r="AK219" s="22" t="n">
        <f aca="false">AK218+AJ219</f>
        <v>-56631.0480264194</v>
      </c>
      <c r="AL219" s="22" t="n">
        <f aca="false">IF($A219&gt;=Premissas!$C$18,O219*(1-Premissas!$C$45)-Premissas!$C$46*MAX(0,O219*(1-Premissas!$C$45)-(SUM($AI$5:$AI$355)+Premissas!$C$26*Premissas!$C$60)),"")</f>
        <v>709193.864945385</v>
      </c>
      <c r="AM219" s="22" t="n">
        <f aca="false">IF($A219&gt;=Premissas!$C$18,AK219+AL219,"")</f>
        <v>652562.816918966</v>
      </c>
      <c r="AN219" s="22" t="n">
        <f aca="false">AN218*(1+$P219)-AJ219</f>
        <v>876207.856607574</v>
      </c>
      <c r="AO219" s="22" t="n">
        <f aca="false">V219+S219</f>
        <v>724979.325945336</v>
      </c>
    </row>
    <row r="220" customFormat="false" ht="15" hidden="false" customHeight="false" outlineLevel="0" collapsed="false">
      <c r="A220" s="26" t="n">
        <f aca="false">DATE(YEAR(A219),MONTH(A219)+1,1)</f>
        <v>52841</v>
      </c>
      <c r="B220" s="22" t="str">
        <f aca="false">IF($A220&lt;Premissas!$C$18,"Obra",IF($A220&lt;Premissas!$C$20,"Entrega/mobília","Airbnb"))</f>
        <v>Airbnb</v>
      </c>
      <c r="C220" s="36" t="n">
        <f aca="false">(YEAR($A220)-YEAR(Premissas!$C$16))*12+MONTH($A220)-MONTH(Premissas!$C$16)</f>
        <v>215</v>
      </c>
      <c r="D220" s="33" t="n">
        <f aca="false">IF($A220&gt;=Premissas!$C$20,Premissas!$C$31*IF(((YEAR($A220)-YEAR(Premissas!$C$20))*12+MONTH($A220)-MONTH(Premissas!$C$20))&lt;Premissas!$C$33,Premissas!$C$34,1),0)</f>
        <v>0.62</v>
      </c>
      <c r="E220" s="22" t="n">
        <f aca="false">D220*Premissas!$C$30*Premissas!$C$32*(1+Premissas!$C$58)^$C220</f>
        <v>9389.30864327743</v>
      </c>
      <c r="F220" s="22" t="n">
        <f aca="false">E220*Premissas!$C$35</f>
        <v>1502.28938292439</v>
      </c>
      <c r="G220" s="22" t="n">
        <f aca="false">E220*Premissas!$C$36</f>
        <v>1877.86172865549</v>
      </c>
      <c r="H220" s="22" t="n">
        <f aca="false">IF($A220&gt;=Premissas!$C$18,Premissas!$C$37*(1+Premissas!$C$58)^$C220,0)</f>
        <v>1211.52369590677</v>
      </c>
      <c r="I220" s="22" t="n">
        <f aca="false">IF($A220&gt;=Premissas!$C$20,Premissas!$C$38*(1+Premissas!$C$58)^$C220,0)</f>
        <v>565.377724756491</v>
      </c>
      <c r="J220" s="22" t="n">
        <f aca="false">IF($A220&gt;=Premissas!$C$20,Premissas!$C$39*(1+Premissas!$C$58)^$C220,0)</f>
        <v>302.880923976691</v>
      </c>
      <c r="K220" s="22" t="n">
        <f aca="false">IF($A220&gt;=Premissas!$C$20,MAX(0,E220-F220-G220-H220)*Premissas!$C$41,0)</f>
        <v>1319.34930484247</v>
      </c>
      <c r="L220" s="22" t="n">
        <f aca="false">E220-F220-G220-H220-I220-J220-K220</f>
        <v>2610.02588221514</v>
      </c>
      <c r="M220" s="22" t="n">
        <f aca="false">($A220=Premissas!$C$18)*Premissas!$C$26*Premissas!$C$60</f>
        <v>0</v>
      </c>
      <c r="N220" s="22" t="n">
        <f aca="false">IF(AND($A220&gt;=Premissas!$C$18,$A220&lt;Premissas!$C$20),Premissas!$C$27/MAX(1,Premissas!$C$19),0)</f>
        <v>0</v>
      </c>
      <c r="O220" s="22" t="n">
        <f aca="false">IF($A220&gt;=Premissas!$C$18,Premissas!$C$60*(1+Premissas!$C$59)^((YEAR($A220)-YEAR(Premissas!$C$18))*12+MONTH($A220)-MONTH(Premissas!$C$18)),"")</f>
        <v>825077.382620804</v>
      </c>
      <c r="P220" s="31" t="n">
        <f aca="false">(1+IF(YEAR($A220)&lt;=2026,Premissas!$C$49,IF(YEAR($A220)=2027,Premissas!$C$50,IF(YEAR($A220)=2028,Premissas!$C$51,Premissas!$C$52)))*(1-Premissas!$C$53))^(1/12)-1</f>
        <v>0.00682149336596227</v>
      </c>
      <c r="Q220" s="22" t="n">
        <f aca="false">($A220=Premissas!$C$16)*Premissas!$C$13</f>
        <v>0</v>
      </c>
      <c r="R220" s="22" t="n">
        <f aca="false">L220-M220-N220-Q220</f>
        <v>2610.02588221514</v>
      </c>
      <c r="S220" s="22" t="n">
        <f aca="false">S219+R220</f>
        <v>30391.9271538823</v>
      </c>
      <c r="T220" s="22" t="n">
        <f aca="false">IF($A220&gt;=Premissas!$C$18,O220*(1-Premissas!$C$45)-Premissas!$C$46*MAX(0,O220*(1-Premissas!$C$45)-(SUM($Q$5:$Q$355)+Premissas!$C$26*Premissas!$C$60)),"")</f>
        <v>699206.837060768</v>
      </c>
      <c r="U220" s="22" t="n">
        <f aca="false">IF($A220&gt;=Premissas!$C$18,S220+T220,"")</f>
        <v>729598.764214651</v>
      </c>
      <c r="V220" s="22" t="n">
        <f aca="false">V219*(1+$P220)-R220</f>
        <v>699343.326398631</v>
      </c>
      <c r="W220" s="22" t="n">
        <f aca="false">($A220=Premissas!$C$16)*Premissas!$C$9</f>
        <v>0</v>
      </c>
      <c r="X220" s="22" t="n">
        <f aca="false">L220-M220-N220-W220</f>
        <v>2610.02588221514</v>
      </c>
      <c r="Y220" s="22" t="n">
        <f aca="false">Y219+X220</f>
        <v>-536.072846117535</v>
      </c>
      <c r="Z220" s="22" t="n">
        <f aca="false">IF($A220&gt;=Premissas!$C$18,O220*(1-Premissas!$C$45)-Premissas!$C$46*MAX(0,O220*(1-Premissas!$C$45)-(SUM($W$5:$W$355)+Premissas!$C$26*Premissas!$C$60)),"")</f>
        <v>703846.037060768</v>
      </c>
      <c r="AA220" s="22" t="n">
        <f aca="false">IF($A220&gt;=Premissas!$C$18,Y220+Z220,"")</f>
        <v>703309.964214651</v>
      </c>
      <c r="AB220" s="22" t="n">
        <f aca="false">AB219*(1+$P220)-X220</f>
        <v>837121.566150217</v>
      </c>
      <c r="AC220" s="22" t="n">
        <f aca="false">AND($A220&gt;=Premissas!$C$16,$A220&lt;EDATE(Premissas!$C$16,3))*Premissas!$C$10/3*(1+Premissas!$C$56)^$C220</f>
        <v>0</v>
      </c>
      <c r="AD220" s="22" t="n">
        <f aca="false">L220-M220-N220-AC220</f>
        <v>2610.02588221514</v>
      </c>
      <c r="AE220" s="22" t="n">
        <f aca="false">AE219+AD220</f>
        <v>-8156.53672614236</v>
      </c>
      <c r="AF220" s="22" t="n">
        <f aca="false">IF($A220&gt;=Premissas!$C$18,O220*(1-Premissas!$C$45)-Premissas!$C$46*MAX(0,O220*(1-Premissas!$C$45)-(SUM($AC$5:$AC$355)+Premissas!$C$26*Premissas!$C$60)),"")</f>
        <v>704989.106642772</v>
      </c>
      <c r="AG220" s="22" t="n">
        <f aca="false">IF($A220&gt;=Premissas!$C$18,AE220+AF220,"")</f>
        <v>696832.56991663</v>
      </c>
      <c r="AH220" s="22" t="n">
        <f aca="false">AH219*(1+$P220)-AD220</f>
        <v>859083.311268798</v>
      </c>
      <c r="AI220" s="22" t="n">
        <f aca="false">($A220=Premissas!$C$16)*0.2*Premissas!$C$11+AND($A220&gt;Premissas!$C$16,$A220&lt;=EDATE(Premissas!$C$16,43))*0.8*Premissas!$C$11/43*(1+Premissas!$C$56)^$C220</f>
        <v>0</v>
      </c>
      <c r="AJ220" s="22" t="n">
        <f aca="false">L220-M220-N220-AI220</f>
        <v>2610.02588221514</v>
      </c>
      <c r="AK220" s="22" t="n">
        <f aca="false">AK219+AJ220</f>
        <v>-54021.0221442043</v>
      </c>
      <c r="AL220" s="22" t="n">
        <f aca="false">IF($A220&gt;=Premissas!$C$18,O220*(1-Premissas!$C$45)-Premissas!$C$46*MAX(0,O220*(1-Premissas!$C$45)-(SUM($AI$5:$AI$355)+Premissas!$C$26*Premissas!$C$60)),"")</f>
        <v>711868.779455481</v>
      </c>
      <c r="AM220" s="22" t="n">
        <f aca="false">IF($A220&gt;=Premissas!$C$18,AK220+AL220,"")</f>
        <v>657847.757311277</v>
      </c>
      <c r="AN220" s="22" t="n">
        <f aca="false">AN219*(1+$P220)-AJ220</f>
        <v>879574.876806411</v>
      </c>
      <c r="AO220" s="22" t="n">
        <f aca="false">V220+S220</f>
        <v>729735.253552513</v>
      </c>
    </row>
    <row r="221" customFormat="false" ht="15" hidden="false" customHeight="false" outlineLevel="0" collapsed="false">
      <c r="A221" s="26" t="n">
        <f aca="false">DATE(YEAR(A220),MONTH(A220)+1,1)</f>
        <v>52871</v>
      </c>
      <c r="B221" s="22" t="str">
        <f aca="false">IF($A221&lt;Premissas!$C$18,"Obra",IF($A221&lt;Premissas!$C$20,"Entrega/mobília","Airbnb"))</f>
        <v>Airbnb</v>
      </c>
      <c r="C221" s="36" t="n">
        <f aca="false">(YEAR($A221)-YEAR(Premissas!$C$16))*12+MONTH($A221)-MONTH(Premissas!$C$16)</f>
        <v>216</v>
      </c>
      <c r="D221" s="33" t="n">
        <f aca="false">IF($A221&gt;=Premissas!$C$20,Premissas!$C$31*IF(((YEAR($A221)-YEAR(Premissas!$C$20))*12+MONTH($A221)-MONTH(Premissas!$C$20))&lt;Premissas!$C$33,Premissas!$C$34,1),0)</f>
        <v>0.62</v>
      </c>
      <c r="E221" s="22" t="n">
        <f aca="false">D221*Premissas!$C$30*Premissas!$C$32*(1+Premissas!$C$58)^$C221</f>
        <v>9420.04679651027</v>
      </c>
      <c r="F221" s="22" t="n">
        <f aca="false">E221*Premissas!$C$35</f>
        <v>1507.20748744164</v>
      </c>
      <c r="G221" s="22" t="n">
        <f aca="false">E221*Premissas!$C$36</f>
        <v>1884.00935930206</v>
      </c>
      <c r="H221" s="22" t="n">
        <f aca="false">IF($A221&gt;=Premissas!$C$18,Premissas!$C$37*(1+Premissas!$C$58)^$C221,0)</f>
        <v>1215.48990922713</v>
      </c>
      <c r="I221" s="22" t="n">
        <f aca="false">IF($A221&gt;=Premissas!$C$20,Premissas!$C$38*(1+Premissas!$C$58)^$C221,0)</f>
        <v>567.228624305995</v>
      </c>
      <c r="J221" s="22" t="n">
        <f aca="false">IF($A221&gt;=Premissas!$C$20,Premissas!$C$39*(1+Premissas!$C$58)^$C221,0)</f>
        <v>303.872477306783</v>
      </c>
      <c r="K221" s="22" t="n">
        <f aca="false">IF($A221&gt;=Premissas!$C$20,MAX(0,E221-F221-G221-H221)*Premissas!$C$41,0)</f>
        <v>1323.66851114835</v>
      </c>
      <c r="L221" s="22" t="n">
        <f aca="false">E221-F221-G221-H221-I221-J221-K221</f>
        <v>2618.57042777832</v>
      </c>
      <c r="M221" s="22" t="n">
        <f aca="false">($A221=Premissas!$C$18)*Premissas!$C$26*Premissas!$C$60</f>
        <v>0</v>
      </c>
      <c r="N221" s="22" t="n">
        <f aca="false">IF(AND($A221&gt;=Premissas!$C$18,$A221&lt;Premissas!$C$20),Premissas!$C$27/MAX(1,Premissas!$C$19),0)</f>
        <v>0</v>
      </c>
      <c r="O221" s="22" t="n">
        <f aca="false">IF($A221&gt;=Premissas!$C$18,Premissas!$C$60*(1+Premissas!$C$59)^((YEAR($A221)-YEAR(Premissas!$C$18))*12+MONTH($A221)-MONTH(Premissas!$C$18)),"")</f>
        <v>828438.850008689</v>
      </c>
      <c r="P221" s="31" t="n">
        <f aca="false">(1+IF(YEAR($A221)&lt;=2026,Premissas!$C$49,IF(YEAR($A221)=2027,Premissas!$C$50,IF(YEAR($A221)=2028,Premissas!$C$51,Premissas!$C$52)))*(1-Premissas!$C$53))^(1/12)-1</f>
        <v>0.00682149336596227</v>
      </c>
      <c r="Q221" s="22" t="n">
        <f aca="false">($A221=Premissas!$C$16)*Premissas!$C$13</f>
        <v>0</v>
      </c>
      <c r="R221" s="22" t="n">
        <f aca="false">L221-M221-N221-Q221</f>
        <v>2618.57042777832</v>
      </c>
      <c r="S221" s="22" t="n">
        <f aca="false">S220+R221</f>
        <v>33010.4975816606</v>
      </c>
      <c r="T221" s="22" t="n">
        <f aca="false">IF($A221&gt;=Premissas!$C$18,O221*(1-Premissas!$C$45)-Premissas!$C$46*MAX(0,O221*(1-Premissas!$C$45)-(SUM($Q$5:$Q$355)+Premissas!$C$26*Premissas!$C$60)),"")</f>
        <v>701892.649503689</v>
      </c>
      <c r="U221" s="22" t="n">
        <f aca="false">IF($A221&gt;=Premissas!$C$18,S221+T221,"")</f>
        <v>734903.147085349</v>
      </c>
      <c r="V221" s="22" t="n">
        <f aca="false">V220*(1+$P221)-R221</f>
        <v>701495.321832411</v>
      </c>
      <c r="W221" s="22" t="n">
        <f aca="false">($A221=Premissas!$C$16)*Premissas!$C$9</f>
        <v>0</v>
      </c>
      <c r="X221" s="22" t="n">
        <f aca="false">L221-M221-N221-W221</f>
        <v>2618.57042777832</v>
      </c>
      <c r="Y221" s="22" t="n">
        <f aca="false">Y220+X221</f>
        <v>2082.49758166078</v>
      </c>
      <c r="Z221" s="22" t="n">
        <f aca="false">IF($A221&gt;=Premissas!$C$18,O221*(1-Premissas!$C$45)-Premissas!$C$46*MAX(0,O221*(1-Premissas!$C$45)-(SUM($W$5:$W$355)+Premissas!$C$26*Premissas!$C$60)),"")</f>
        <v>706531.849503689</v>
      </c>
      <c r="AA221" s="22" t="n">
        <f aca="false">IF($A221&gt;=Premissas!$C$18,Y221+Z221,"")</f>
        <v>708614.34708535</v>
      </c>
      <c r="AB221" s="22" t="n">
        <f aca="false">AB220*(1+$P221)-X221</f>
        <v>840213.414932436</v>
      </c>
      <c r="AC221" s="22" t="n">
        <f aca="false">AND($A221&gt;=Premissas!$C$16,$A221&lt;EDATE(Premissas!$C$16,3))*Premissas!$C$10/3*(1+Premissas!$C$56)^$C221</f>
        <v>0</v>
      </c>
      <c r="AD221" s="22" t="n">
        <f aca="false">L221-M221-N221-AC221</f>
        <v>2618.57042777832</v>
      </c>
      <c r="AE221" s="22" t="n">
        <f aca="false">AE220+AD221</f>
        <v>-5537.96629836404</v>
      </c>
      <c r="AF221" s="22" t="n">
        <f aca="false">IF($A221&gt;=Premissas!$C$18,O221*(1-Premissas!$C$45)-Premissas!$C$46*MAX(0,O221*(1-Premissas!$C$45)-(SUM($AC$5:$AC$355)+Premissas!$C$26*Premissas!$C$60)),"")</f>
        <v>707674.919085693</v>
      </c>
      <c r="AG221" s="22" t="n">
        <f aca="false">IF($A221&gt;=Premissas!$C$18,AE221+AF221,"")</f>
        <v>702136.952787329</v>
      </c>
      <c r="AH221" s="22" t="n">
        <f aca="false">AH220*(1+$P221)-AD221</f>
        <v>862324.971949649</v>
      </c>
      <c r="AI221" s="22" t="n">
        <f aca="false">($A221=Premissas!$C$16)*0.2*Premissas!$C$11+AND($A221&gt;Premissas!$C$16,$A221&lt;=EDATE(Premissas!$C$16,43))*0.8*Premissas!$C$11/43*(1+Premissas!$C$56)^$C221</f>
        <v>0</v>
      </c>
      <c r="AJ221" s="22" t="n">
        <f aca="false">L221-M221-N221-AI221</f>
        <v>2618.57042777832</v>
      </c>
      <c r="AK221" s="22" t="n">
        <f aca="false">AK220+AJ221</f>
        <v>-51402.451716426</v>
      </c>
      <c r="AL221" s="22" t="n">
        <f aca="false">IF($A221&gt;=Premissas!$C$18,O221*(1-Premissas!$C$45)-Premissas!$C$46*MAX(0,O221*(1-Premissas!$C$45)-(SUM($AI$5:$AI$355)+Premissas!$C$26*Premissas!$C$60)),"")</f>
        <v>714554.591898402</v>
      </c>
      <c r="AM221" s="22" t="n">
        <f aca="false">IF($A221&gt;=Premissas!$C$18,AK221+AL221,"")</f>
        <v>663152.140181976</v>
      </c>
      <c r="AN221" s="22" t="n">
        <f aca="false">AN220*(1+$P221)-AJ221</f>
        <v>882956.320565635</v>
      </c>
      <c r="AO221" s="22" t="n">
        <f aca="false">V221+S221</f>
        <v>734505.819414072</v>
      </c>
    </row>
    <row r="222" customFormat="false" ht="15" hidden="false" customHeight="false" outlineLevel="0" collapsed="false">
      <c r="A222" s="26" t="n">
        <f aca="false">DATE(YEAR(A221),MONTH(A221)+1,1)</f>
        <v>52902</v>
      </c>
      <c r="B222" s="22" t="str">
        <f aca="false">IF($A222&lt;Premissas!$C$18,"Obra",IF($A222&lt;Premissas!$C$20,"Entrega/mobília","Airbnb"))</f>
        <v>Airbnb</v>
      </c>
      <c r="C222" s="36" t="n">
        <f aca="false">(YEAR($A222)-YEAR(Premissas!$C$16))*12+MONTH($A222)-MONTH(Premissas!$C$16)</f>
        <v>217</v>
      </c>
      <c r="D222" s="33" t="n">
        <f aca="false">IF($A222&gt;=Premissas!$C$20,Premissas!$C$31*IF(((YEAR($A222)-YEAR(Premissas!$C$20))*12+MONTH($A222)-MONTH(Premissas!$C$20))&lt;Premissas!$C$33,Premissas!$C$34,1),0)</f>
        <v>0.62</v>
      </c>
      <c r="E222" s="22" t="n">
        <f aca="false">D222*Premissas!$C$30*Premissas!$C$32*(1+Premissas!$C$58)^$C222</f>
        <v>9450.88557845818</v>
      </c>
      <c r="F222" s="22" t="n">
        <f aca="false">E222*Premissas!$C$35</f>
        <v>1512.14169255331</v>
      </c>
      <c r="G222" s="22" t="n">
        <f aca="false">E222*Premissas!$C$36</f>
        <v>1890.17711569164</v>
      </c>
      <c r="H222" s="22" t="n">
        <f aca="false">IF($A222&gt;=Premissas!$C$18,Premissas!$C$37*(1+Premissas!$C$58)^$C222,0)</f>
        <v>1219.46910689783</v>
      </c>
      <c r="I222" s="22" t="n">
        <f aca="false">IF($A222&gt;=Premissas!$C$20,Premissas!$C$38*(1+Premissas!$C$58)^$C222,0)</f>
        <v>569.085583218987</v>
      </c>
      <c r="J222" s="22" t="n">
        <f aca="false">IF($A222&gt;=Premissas!$C$20,Premissas!$C$39*(1+Premissas!$C$58)^$C222,0)</f>
        <v>304.867276724458</v>
      </c>
      <c r="K222" s="22" t="n">
        <f aca="false">IF($A222&gt;=Premissas!$C$20,MAX(0,E222-F222-G222-H222)*Premissas!$C$41,0)</f>
        <v>1328.00185741174</v>
      </c>
      <c r="L222" s="22" t="n">
        <f aca="false">E222-F222-G222-H222-I222-J222-K222</f>
        <v>2627.14294596023</v>
      </c>
      <c r="M222" s="22" t="n">
        <f aca="false">($A222=Premissas!$C$18)*Premissas!$C$26*Premissas!$C$60</f>
        <v>0</v>
      </c>
      <c r="N222" s="22" t="n">
        <f aca="false">IF(AND($A222&gt;=Premissas!$C$18,$A222&lt;Premissas!$C$20),Premissas!$C$27/MAX(1,Premissas!$C$19),0)</f>
        <v>0</v>
      </c>
      <c r="O222" s="22" t="n">
        <f aca="false">IF($A222&gt;=Premissas!$C$18,Premissas!$C$60*(1+Premissas!$C$59)^((YEAR($A222)-YEAR(Premissas!$C$18))*12+MONTH($A222)-MONTH(Premissas!$C$18)),"")</f>
        <v>831814.012430808</v>
      </c>
      <c r="P222" s="31" t="n">
        <f aca="false">(1+IF(YEAR($A222)&lt;=2026,Premissas!$C$49,IF(YEAR($A222)=2027,Premissas!$C$50,IF(YEAR($A222)=2028,Premissas!$C$51,Premissas!$C$52)))*(1-Premissas!$C$53))^(1/12)-1</f>
        <v>0.00682149336596227</v>
      </c>
      <c r="Q222" s="22" t="n">
        <f aca="false">($A222=Premissas!$C$16)*Premissas!$C$13</f>
        <v>0</v>
      </c>
      <c r="R222" s="22" t="n">
        <f aca="false">L222-M222-N222-Q222</f>
        <v>2627.14294596023</v>
      </c>
      <c r="S222" s="22" t="n">
        <f aca="false">S221+R222</f>
        <v>35637.6405276209</v>
      </c>
      <c r="T222" s="22" t="n">
        <f aca="false">IF($A222&gt;=Premissas!$C$18,O222*(1-Premissas!$C$45)-Premissas!$C$46*MAX(0,O222*(1-Premissas!$C$45)-(SUM($Q$5:$Q$355)+Premissas!$C$26*Premissas!$C$60)),"")</f>
        <v>704589.404278962</v>
      </c>
      <c r="U222" s="22" t="n">
        <f aca="false">IF($A222&gt;=Premissas!$C$18,S222+T222,"")</f>
        <v>740227.044806583</v>
      </c>
      <c r="V222" s="22" t="n">
        <f aca="false">V221*(1+$P222)-R222</f>
        <v>703653.424570584</v>
      </c>
      <c r="W222" s="22" t="n">
        <f aca="false">($A222=Premissas!$C$16)*Premissas!$C$9</f>
        <v>0</v>
      </c>
      <c r="X222" s="22" t="n">
        <f aca="false">L222-M222-N222-W222</f>
        <v>2627.14294596023</v>
      </c>
      <c r="Y222" s="22" t="n">
        <f aca="false">Y221+X222</f>
        <v>4709.64052762101</v>
      </c>
      <c r="Z222" s="22" t="n">
        <f aca="false">IF($A222&gt;=Premissas!$C$18,O222*(1-Premissas!$C$45)-Premissas!$C$46*MAX(0,O222*(1-Premissas!$C$45)-(SUM($W$5:$W$355)+Premissas!$C$26*Premissas!$C$60)),"")</f>
        <v>709228.604278962</v>
      </c>
      <c r="AA222" s="22" t="n">
        <f aca="false">IF($A222&gt;=Premissas!$C$18,Y222+Z222,"")</f>
        <v>713938.244806583</v>
      </c>
      <c r="AB222" s="22" t="n">
        <f aca="false">AB221*(1+$P222)-X222</f>
        <v>843317.78222243</v>
      </c>
      <c r="AC222" s="22" t="n">
        <f aca="false">AND($A222&gt;=Premissas!$C$16,$A222&lt;EDATE(Premissas!$C$16,3))*Premissas!$C$10/3*(1+Premissas!$C$56)^$C222</f>
        <v>0</v>
      </c>
      <c r="AD222" s="22" t="n">
        <f aca="false">L222-M222-N222-AC222</f>
        <v>2627.14294596023</v>
      </c>
      <c r="AE222" s="22" t="n">
        <f aca="false">AE221+AD222</f>
        <v>-2910.82335240381</v>
      </c>
      <c r="AF222" s="22" t="n">
        <f aca="false">IF($A222&gt;=Premissas!$C$18,O222*(1-Premissas!$C$45)-Premissas!$C$46*MAX(0,O222*(1-Premissas!$C$45)-(SUM($AC$5:$AC$355)+Premissas!$C$26*Premissas!$C$60)),"")</f>
        <v>710371.673860965</v>
      </c>
      <c r="AG222" s="22" t="n">
        <f aca="false">IF($A222&gt;=Premissas!$C$18,AE222+AF222,"")</f>
        <v>707460.850508562</v>
      </c>
      <c r="AH222" s="22" t="n">
        <f aca="false">AH221*(1+$P222)-AD222</f>
        <v>865580.173079146</v>
      </c>
      <c r="AI222" s="22" t="n">
        <f aca="false">($A222=Premissas!$C$16)*0.2*Premissas!$C$11+AND($A222&gt;Premissas!$C$16,$A222&lt;=EDATE(Premissas!$C$16,43))*0.8*Premissas!$C$11/43*(1+Premissas!$C$56)^$C222</f>
        <v>0</v>
      </c>
      <c r="AJ222" s="22" t="n">
        <f aca="false">L222-M222-N222-AI222</f>
        <v>2627.14294596023</v>
      </c>
      <c r="AK222" s="22" t="n">
        <f aca="false">AK221+AJ222</f>
        <v>-48775.3087704657</v>
      </c>
      <c r="AL222" s="22" t="n">
        <f aca="false">IF($A222&gt;=Premissas!$C$18,O222*(1-Premissas!$C$45)-Premissas!$C$46*MAX(0,O222*(1-Premissas!$C$45)-(SUM($AI$5:$AI$355)+Premissas!$C$26*Premissas!$C$60)),"")</f>
        <v>717251.346673675</v>
      </c>
      <c r="AM222" s="22" t="n">
        <f aca="false">IF($A222&gt;=Premissas!$C$18,AK222+AL222,"")</f>
        <v>668476.037903209</v>
      </c>
      <c r="AN222" s="22" t="n">
        <f aca="false">AN221*(1+$P222)-AJ222</f>
        <v>886352.258302848</v>
      </c>
      <c r="AO222" s="22" t="n">
        <f aca="false">V222+S222</f>
        <v>739291.065098205</v>
      </c>
    </row>
    <row r="223" customFormat="false" ht="15" hidden="false" customHeight="false" outlineLevel="0" collapsed="false">
      <c r="A223" s="26" t="n">
        <f aca="false">DATE(YEAR(A222),MONTH(A222)+1,1)</f>
        <v>52932</v>
      </c>
      <c r="B223" s="22" t="str">
        <f aca="false">IF($A223&lt;Premissas!$C$18,"Obra",IF($A223&lt;Premissas!$C$20,"Entrega/mobília","Airbnb"))</f>
        <v>Airbnb</v>
      </c>
      <c r="C223" s="36" t="n">
        <f aca="false">(YEAR($A223)-YEAR(Premissas!$C$16))*12+MONTH($A223)-MONTH(Premissas!$C$16)</f>
        <v>218</v>
      </c>
      <c r="D223" s="33" t="n">
        <f aca="false">IF($A223&gt;=Premissas!$C$20,Premissas!$C$31*IF(((YEAR($A223)-YEAR(Premissas!$C$20))*12+MONTH($A223)-MONTH(Premissas!$C$20))&lt;Premissas!$C$33,Premissas!$C$34,1),0)</f>
        <v>0.62</v>
      </c>
      <c r="E223" s="22" t="n">
        <f aca="false">D223*Premissas!$C$30*Premissas!$C$32*(1+Premissas!$C$58)^$C223</f>
        <v>9481.82531855339</v>
      </c>
      <c r="F223" s="22" t="n">
        <f aca="false">E223*Premissas!$C$35</f>
        <v>1517.09205096854</v>
      </c>
      <c r="G223" s="22" t="n">
        <f aca="false">E223*Premissas!$C$36</f>
        <v>1896.36506371068</v>
      </c>
      <c r="H223" s="22" t="n">
        <f aca="false">IF($A223&gt;=Premissas!$C$18,Premissas!$C$37*(1+Premissas!$C$58)^$C223,0)</f>
        <v>1223.46133142624</v>
      </c>
      <c r="I223" s="22" t="n">
        <f aca="false">IF($A223&gt;=Premissas!$C$20,Premissas!$C$38*(1+Premissas!$C$58)^$C223,0)</f>
        <v>570.948621332247</v>
      </c>
      <c r="J223" s="22" t="n">
        <f aca="false">IF($A223&gt;=Premissas!$C$20,Premissas!$C$39*(1+Premissas!$C$58)^$C223,0)</f>
        <v>305.865332856561</v>
      </c>
      <c r="K223" s="22" t="n">
        <f aca="false">IF($A223&gt;=Premissas!$C$20,MAX(0,E223-F223-G223-H223)*Premissas!$C$41,0)</f>
        <v>1332.34938992318</v>
      </c>
      <c r="L223" s="22" t="n">
        <f aca="false">E223-F223-G223-H223-I223-J223-K223</f>
        <v>2635.74352833594</v>
      </c>
      <c r="M223" s="22" t="n">
        <f aca="false">($A223=Premissas!$C$18)*Premissas!$C$26*Premissas!$C$60</f>
        <v>0</v>
      </c>
      <c r="N223" s="22" t="n">
        <f aca="false">IF(AND($A223&gt;=Premissas!$C$18,$A223&lt;Premissas!$C$20),Premissas!$C$27/MAX(1,Premissas!$C$19),0)</f>
        <v>0</v>
      </c>
      <c r="O223" s="22" t="n">
        <f aca="false">IF($A223&gt;=Premissas!$C$18,Premissas!$C$60*(1+Premissas!$C$59)^((YEAR($A223)-YEAR(Premissas!$C$18))*12+MONTH($A223)-MONTH(Premissas!$C$18)),"")</f>
        <v>835202.925682424</v>
      </c>
      <c r="P223" s="31" t="n">
        <f aca="false">(1+IF(YEAR($A223)&lt;=2026,Premissas!$C$49,IF(YEAR($A223)=2027,Premissas!$C$50,IF(YEAR($A223)=2028,Premissas!$C$51,Premissas!$C$52)))*(1-Premissas!$C$53))^(1/12)-1</f>
        <v>0.00682149336596227</v>
      </c>
      <c r="Q223" s="22" t="n">
        <f aca="false">($A223=Premissas!$C$16)*Premissas!$C$13</f>
        <v>0</v>
      </c>
      <c r="R223" s="22" t="n">
        <f aca="false">L223-M223-N223-Q223</f>
        <v>2635.74352833594</v>
      </c>
      <c r="S223" s="22" t="n">
        <f aca="false">S222+R223</f>
        <v>38273.3840559568</v>
      </c>
      <c r="T223" s="22" t="n">
        <f aca="false">IF($A223&gt;=Premissas!$C$18,O223*(1-Premissas!$C$45)-Premissas!$C$46*MAX(0,O223*(1-Premissas!$C$45)-(SUM($Q$5:$Q$355)+Premissas!$C$26*Premissas!$C$60)),"")</f>
        <v>707297.145967003</v>
      </c>
      <c r="U223" s="22" t="n">
        <f aca="false">IF($A223&gt;=Premissas!$C$18,S223+T223,"")</f>
        <v>745570.53002296</v>
      </c>
      <c r="V223" s="22" t="n">
        <f aca="false">V222*(1+$P223)-R223</f>
        <v>705817.648209893</v>
      </c>
      <c r="W223" s="22" t="n">
        <f aca="false">($A223=Premissas!$C$16)*Premissas!$C$9</f>
        <v>0</v>
      </c>
      <c r="X223" s="22" t="n">
        <f aca="false">L223-M223-N223-W223</f>
        <v>2635.74352833594</v>
      </c>
      <c r="Y223" s="22" t="n">
        <f aca="false">Y222+X223</f>
        <v>7345.38405595695</v>
      </c>
      <c r="Z223" s="22" t="n">
        <f aca="false">IF($A223&gt;=Premissas!$C$18,O223*(1-Premissas!$C$45)-Premissas!$C$46*MAX(0,O223*(1-Premissas!$C$45)-(SUM($W$5:$W$355)+Premissas!$C$26*Premissas!$C$60)),"")</f>
        <v>711936.345967003</v>
      </c>
      <c r="AA223" s="22" t="n">
        <f aca="false">IF($A223&gt;=Premissas!$C$18,Y223+Z223,"")</f>
        <v>719281.73002296</v>
      </c>
      <c r="AB223" s="22" t="n">
        <f aca="false">AB222*(1+$P223)-X223</f>
        <v>846434.725350922</v>
      </c>
      <c r="AC223" s="22" t="n">
        <f aca="false">AND($A223&gt;=Premissas!$C$16,$A223&lt;EDATE(Premissas!$C$16,3))*Premissas!$C$10/3*(1+Premissas!$C$56)^$C223</f>
        <v>0</v>
      </c>
      <c r="AD223" s="22" t="n">
        <f aca="false">L223-M223-N223-AC223</f>
        <v>2635.74352833594</v>
      </c>
      <c r="AE223" s="22" t="n">
        <f aca="false">AE222+AD223</f>
        <v>-275.079824067874</v>
      </c>
      <c r="AF223" s="22" t="n">
        <f aca="false">IF($A223&gt;=Premissas!$C$18,O223*(1-Premissas!$C$45)-Premissas!$C$46*MAX(0,O223*(1-Premissas!$C$45)-(SUM($AC$5:$AC$355)+Premissas!$C$26*Premissas!$C$60)),"")</f>
        <v>713079.415549007</v>
      </c>
      <c r="AG223" s="22" t="n">
        <f aca="false">IF($A223&gt;=Premissas!$C$18,AE223+AF223,"")</f>
        <v>712804.335724939</v>
      </c>
      <c r="AH223" s="22" t="n">
        <f aca="false">AH222*(1+$P223)-AD223</f>
        <v>868848.978959178</v>
      </c>
      <c r="AI223" s="22" t="n">
        <f aca="false">($A223=Premissas!$C$16)*0.2*Premissas!$C$11+AND($A223&gt;Premissas!$C$16,$A223&lt;=EDATE(Premissas!$C$16,43))*0.8*Premissas!$C$11/43*(1+Premissas!$C$56)^$C223</f>
        <v>0</v>
      </c>
      <c r="AJ223" s="22" t="n">
        <f aca="false">L223-M223-N223-AI223</f>
        <v>2635.74352833594</v>
      </c>
      <c r="AK223" s="22" t="n">
        <f aca="false">AK222+AJ223</f>
        <v>-46139.5652421298</v>
      </c>
      <c r="AL223" s="22" t="n">
        <f aca="false">IF($A223&gt;=Premissas!$C$18,O223*(1-Premissas!$C$45)-Premissas!$C$46*MAX(0,O223*(1-Premissas!$C$45)-(SUM($AI$5:$AI$355)+Premissas!$C$26*Premissas!$C$60)),"")</f>
        <v>719959.088361716</v>
      </c>
      <c r="AM223" s="22" t="n">
        <f aca="false">IF($A223&gt;=Premissas!$C$18,AK223+AL223,"")</f>
        <v>673819.523119586</v>
      </c>
      <c r="AN223" s="22" t="n">
        <f aca="false">AN222*(1+$P223)-AJ223</f>
        <v>889762.76082443</v>
      </c>
      <c r="AO223" s="22" t="n">
        <f aca="false">V223+S223</f>
        <v>744091.03226585</v>
      </c>
    </row>
    <row r="224" customFormat="false" ht="15" hidden="false" customHeight="false" outlineLevel="0" collapsed="false">
      <c r="A224" s="26" t="n">
        <f aca="false">DATE(YEAR(A223),MONTH(A223)+1,1)</f>
        <v>52963</v>
      </c>
      <c r="B224" s="22" t="str">
        <f aca="false">IF($A224&lt;Premissas!$C$18,"Obra",IF($A224&lt;Premissas!$C$20,"Entrega/mobília","Airbnb"))</f>
        <v>Airbnb</v>
      </c>
      <c r="C224" s="36" t="n">
        <f aca="false">(YEAR($A224)-YEAR(Premissas!$C$16))*12+MONTH($A224)-MONTH(Premissas!$C$16)</f>
        <v>219</v>
      </c>
      <c r="D224" s="33" t="n">
        <f aca="false">IF($A224&gt;=Premissas!$C$20,Premissas!$C$31*IF(((YEAR($A224)-YEAR(Premissas!$C$20))*12+MONTH($A224)-MONTH(Premissas!$C$20))&lt;Premissas!$C$33,Premissas!$C$34,1),0)</f>
        <v>0.62</v>
      </c>
      <c r="E224" s="22" t="n">
        <f aca="false">D224*Premissas!$C$30*Premissas!$C$32*(1+Premissas!$C$58)^$C224</f>
        <v>9512.8663473066</v>
      </c>
      <c r="F224" s="22" t="n">
        <f aca="false">E224*Premissas!$C$35</f>
        <v>1522.05861556906</v>
      </c>
      <c r="G224" s="22" t="n">
        <f aca="false">E224*Premissas!$C$36</f>
        <v>1902.57326946132</v>
      </c>
      <c r="H224" s="22" t="n">
        <f aca="false">IF($A224&gt;=Premissas!$C$18,Premissas!$C$37*(1+Premissas!$C$58)^$C224,0)</f>
        <v>1227.46662545892</v>
      </c>
      <c r="I224" s="22" t="n">
        <f aca="false">IF($A224&gt;=Premissas!$C$20,Premissas!$C$38*(1+Premissas!$C$58)^$C224,0)</f>
        <v>572.817758547494</v>
      </c>
      <c r="J224" s="22" t="n">
        <f aca="false">IF($A224&gt;=Premissas!$C$20,Premissas!$C$39*(1+Premissas!$C$58)^$C224,0)</f>
        <v>306.866656364729</v>
      </c>
      <c r="K224" s="22" t="n">
        <f aca="false">IF($A224&gt;=Premissas!$C$20,MAX(0,E224-F224-G224-H224)*Premissas!$C$41,0)</f>
        <v>1336.71115512476</v>
      </c>
      <c r="L224" s="22" t="n">
        <f aca="false">E224-F224-G224-H224-I224-J224-K224</f>
        <v>2644.37226678033</v>
      </c>
      <c r="M224" s="22" t="n">
        <f aca="false">($A224=Premissas!$C$18)*Premissas!$C$26*Premissas!$C$60</f>
        <v>0</v>
      </c>
      <c r="N224" s="22" t="n">
        <f aca="false">IF(AND($A224&gt;=Premissas!$C$18,$A224&lt;Premissas!$C$20),Premissas!$C$27/MAX(1,Premissas!$C$19),0)</f>
        <v>0</v>
      </c>
      <c r="O224" s="22" t="n">
        <f aca="false">IF($A224&gt;=Premissas!$C$18,Premissas!$C$60*(1+Premissas!$C$59)^((YEAR($A224)-YEAR(Premissas!$C$18))*12+MONTH($A224)-MONTH(Premissas!$C$18)),"")</f>
        <v>838605.64578612</v>
      </c>
      <c r="P224" s="31" t="n">
        <f aca="false">(1+IF(YEAR($A224)&lt;=2026,Premissas!$C$49,IF(YEAR($A224)=2027,Premissas!$C$50,IF(YEAR($A224)=2028,Premissas!$C$51,Premissas!$C$52)))*(1-Premissas!$C$53))^(1/12)-1</f>
        <v>0.00682149336596227</v>
      </c>
      <c r="Q224" s="22" t="n">
        <f aca="false">($A224=Premissas!$C$16)*Premissas!$C$13</f>
        <v>0</v>
      </c>
      <c r="R224" s="22" t="n">
        <f aca="false">L224-M224-N224-Q224</f>
        <v>2644.37226678033</v>
      </c>
      <c r="S224" s="22" t="n">
        <f aca="false">S223+R224</f>
        <v>40917.7563227371</v>
      </c>
      <c r="T224" s="22" t="n">
        <f aca="false">IF($A224&gt;=Premissas!$C$18,O224*(1-Premissas!$C$45)-Premissas!$C$46*MAX(0,O224*(1-Premissas!$C$45)-(SUM($Q$5:$Q$355)+Premissas!$C$26*Premissas!$C$60)),"")</f>
        <v>710015.919329856</v>
      </c>
      <c r="U224" s="22" t="n">
        <f aca="false">IF($A224&gt;=Premissas!$C$18,S224+T224,"")</f>
        <v>750933.675652593</v>
      </c>
      <c r="V224" s="22" t="n">
        <f aca="false">V223*(1+$P224)-R224</f>
        <v>707988.006347955</v>
      </c>
      <c r="W224" s="22" t="n">
        <f aca="false">($A224=Premissas!$C$16)*Premissas!$C$9</f>
        <v>0</v>
      </c>
      <c r="X224" s="22" t="n">
        <f aca="false">L224-M224-N224-W224</f>
        <v>2644.37226678033</v>
      </c>
      <c r="Y224" s="22" t="n">
        <f aca="false">Y223+X224</f>
        <v>9989.75632273727</v>
      </c>
      <c r="Z224" s="22" t="n">
        <f aca="false">IF($A224&gt;=Premissas!$C$18,O224*(1-Premissas!$C$45)-Premissas!$C$46*MAX(0,O224*(1-Premissas!$C$45)-(SUM($W$5:$W$355)+Premissas!$C$26*Premissas!$C$60)),"")</f>
        <v>714655.119329856</v>
      </c>
      <c r="AA224" s="22" t="n">
        <f aca="false">IF($A224&gt;=Premissas!$C$18,Y224+Z224,"")</f>
        <v>724644.875652593</v>
      </c>
      <c r="AB224" s="22" t="n">
        <f aca="false">AB223*(1+$P224)-X224</f>
        <v>849564.301947843</v>
      </c>
      <c r="AC224" s="22" t="n">
        <f aca="false">AND($A224&gt;=Premissas!$C$16,$A224&lt;EDATE(Premissas!$C$16,3))*Premissas!$C$10/3*(1+Premissas!$C$56)^$C224</f>
        <v>0</v>
      </c>
      <c r="AD224" s="22" t="n">
        <f aca="false">L224-M224-N224-AC224</f>
        <v>2644.37226678033</v>
      </c>
      <c r="AE224" s="22" t="n">
        <f aca="false">AE223+AD224</f>
        <v>2369.29244271245</v>
      </c>
      <c r="AF224" s="22" t="n">
        <f aca="false">IF($A224&gt;=Premissas!$C$18,O224*(1-Premissas!$C$45)-Premissas!$C$46*MAX(0,O224*(1-Premissas!$C$45)-(SUM($AC$5:$AC$355)+Premissas!$C$26*Premissas!$C$60)),"")</f>
        <v>715798.18891186</v>
      </c>
      <c r="AG224" s="22" t="n">
        <f aca="false">IF($A224&gt;=Premissas!$C$18,AE224+AF224,"")</f>
        <v>718167.481354572</v>
      </c>
      <c r="AH224" s="22" t="n">
        <f aca="false">AH223*(1+$P224)-AD224</f>
        <v>872131.454238391</v>
      </c>
      <c r="AI224" s="22" t="n">
        <f aca="false">($A224=Premissas!$C$16)*0.2*Premissas!$C$11+AND($A224&gt;Premissas!$C$16,$A224&lt;=EDATE(Premissas!$C$16,43))*0.8*Premissas!$C$11/43*(1+Premissas!$C$56)^$C224</f>
        <v>0</v>
      </c>
      <c r="AJ224" s="22" t="n">
        <f aca="false">L224-M224-N224-AI224</f>
        <v>2644.37226678033</v>
      </c>
      <c r="AK224" s="22" t="n">
        <f aca="false">AK223+AJ224</f>
        <v>-43495.1929753495</v>
      </c>
      <c r="AL224" s="22" t="n">
        <f aca="false">IF($A224&gt;=Premissas!$C$18,O224*(1-Premissas!$C$45)-Premissas!$C$46*MAX(0,O224*(1-Premissas!$C$45)-(SUM($AI$5:$AI$355)+Premissas!$C$26*Premissas!$C$60)),"")</f>
        <v>722677.861724569</v>
      </c>
      <c r="AM224" s="22" t="n">
        <f aca="false">IF($A224&gt;=Premissas!$C$18,AK224+AL224,"")</f>
        <v>679182.668749219</v>
      </c>
      <c r="AN224" s="22" t="n">
        <f aca="false">AN223*(1+$P224)-AJ224</f>
        <v>893187.899327894</v>
      </c>
      <c r="AO224" s="22" t="n">
        <f aca="false">V224+S224</f>
        <v>748905.762670693</v>
      </c>
    </row>
    <row r="225" customFormat="false" ht="15" hidden="false" customHeight="false" outlineLevel="0" collapsed="false">
      <c r="A225" s="26" t="n">
        <f aca="false">DATE(YEAR(A224),MONTH(A224)+1,1)</f>
        <v>52994</v>
      </c>
      <c r="B225" s="22" t="str">
        <f aca="false">IF($A225&lt;Premissas!$C$18,"Obra",IF($A225&lt;Premissas!$C$20,"Entrega/mobília","Airbnb"))</f>
        <v>Airbnb</v>
      </c>
      <c r="C225" s="36" t="n">
        <f aca="false">(YEAR($A225)-YEAR(Premissas!$C$16))*12+MONTH($A225)-MONTH(Premissas!$C$16)</f>
        <v>220</v>
      </c>
      <c r="D225" s="33" t="n">
        <f aca="false">IF($A225&gt;=Premissas!$C$20,Premissas!$C$31*IF(((YEAR($A225)-YEAR(Premissas!$C$20))*12+MONTH($A225)-MONTH(Premissas!$C$20))&lt;Premissas!$C$33,Premissas!$C$34,1),0)</f>
        <v>0.62</v>
      </c>
      <c r="E225" s="22" t="n">
        <f aca="false">D225*Premissas!$C$30*Premissas!$C$32*(1+Premissas!$C$58)^$C225</f>
        <v>9544.00899631052</v>
      </c>
      <c r="F225" s="22" t="n">
        <f aca="false">E225*Premissas!$C$35</f>
        <v>1527.04143940968</v>
      </c>
      <c r="G225" s="22" t="n">
        <f aca="false">E225*Premissas!$C$36</f>
        <v>1908.8017992621</v>
      </c>
      <c r="H225" s="22" t="n">
        <f aca="false">IF($A225&gt;=Premissas!$C$18,Premissas!$C$37*(1+Premissas!$C$58)^$C225,0)</f>
        <v>1231.485031782</v>
      </c>
      <c r="I225" s="22" t="n">
        <f aca="false">IF($A225&gt;=Premissas!$C$20,Premissas!$C$38*(1+Premissas!$C$58)^$C225,0)</f>
        <v>574.693014831601</v>
      </c>
      <c r="J225" s="22" t="n">
        <f aca="false">IF($A225&gt;=Premissas!$C$20,Premissas!$C$39*(1+Premissas!$C$58)^$C225,0)</f>
        <v>307.871257945501</v>
      </c>
      <c r="K225" s="22" t="n">
        <f aca="false">IF($A225&gt;=Premissas!$C$20,MAX(0,E225-F225-G225-H225)*Premissas!$C$41,0)</f>
        <v>1341.0871996106</v>
      </c>
      <c r="L225" s="22" t="n">
        <f aca="false">E225-F225-G225-H225-I225-J225-K225</f>
        <v>2653.02925346903</v>
      </c>
      <c r="M225" s="22" t="n">
        <f aca="false">($A225=Premissas!$C$18)*Premissas!$C$26*Premissas!$C$60</f>
        <v>0</v>
      </c>
      <c r="N225" s="22" t="n">
        <f aca="false">IF(AND($A225&gt;=Premissas!$C$18,$A225&lt;Premissas!$C$20),Premissas!$C$27/MAX(1,Premissas!$C$19),0)</f>
        <v>0</v>
      </c>
      <c r="O225" s="22" t="n">
        <f aca="false">IF($A225&gt;=Premissas!$C$18,Premissas!$C$60*(1+Premissas!$C$59)^((YEAR($A225)-YEAR(Premissas!$C$18))*12+MONTH($A225)-MONTH(Premissas!$C$18)),"")</f>
        <v>842022.228992719</v>
      </c>
      <c r="P225" s="31" t="n">
        <f aca="false">(1+IF(YEAR($A225)&lt;=2026,Premissas!$C$49,IF(YEAR($A225)=2027,Premissas!$C$50,IF(YEAR($A225)=2028,Premissas!$C$51,Premissas!$C$52)))*(1-Premissas!$C$53))^(1/12)-1</f>
        <v>0.00682149336596227</v>
      </c>
      <c r="Q225" s="22" t="n">
        <f aca="false">($A225=Premissas!$C$16)*Premissas!$C$13</f>
        <v>0</v>
      </c>
      <c r="R225" s="22" t="n">
        <f aca="false">L225-M225-N225-Q225</f>
        <v>2653.02925346903</v>
      </c>
      <c r="S225" s="22" t="n">
        <f aca="false">S224+R225</f>
        <v>43570.7855762062</v>
      </c>
      <c r="T225" s="22" t="n">
        <f aca="false">IF($A225&gt;=Premissas!$C$18,O225*(1-Premissas!$C$45)-Premissas!$C$46*MAX(0,O225*(1-Premissas!$C$45)-(SUM($Q$5:$Q$355)+Premissas!$C$26*Premissas!$C$60)),"")</f>
        <v>712745.769311928</v>
      </c>
      <c r="U225" s="22" t="n">
        <f aca="false">IF($A225&gt;=Premissas!$C$18,S225+T225,"")</f>
        <v>756316.554888135</v>
      </c>
      <c r="V225" s="22" t="n">
        <f aca="false">V224*(1+$P225)-R225</f>
        <v>710164.51258297</v>
      </c>
      <c r="W225" s="22" t="n">
        <f aca="false">($A225=Premissas!$C$16)*Premissas!$C$9</f>
        <v>0</v>
      </c>
      <c r="X225" s="22" t="n">
        <f aca="false">L225-M225-N225-W225</f>
        <v>2653.02925346903</v>
      </c>
      <c r="Y225" s="22" t="n">
        <f aca="false">Y224+X225</f>
        <v>12642.7855762063</v>
      </c>
      <c r="Z225" s="22" t="n">
        <f aca="false">IF($A225&gt;=Premissas!$C$18,O225*(1-Premissas!$C$45)-Premissas!$C$46*MAX(0,O225*(1-Premissas!$C$45)-(SUM($W$5:$W$355)+Premissas!$C$26*Premissas!$C$60)),"")</f>
        <v>717384.969311928</v>
      </c>
      <c r="AA225" s="22" t="n">
        <f aca="false">IF($A225&gt;=Premissas!$C$18,Y225+Z225,"")</f>
        <v>730027.754888135</v>
      </c>
      <c r="AB225" s="22" t="n">
        <f aca="false">AB224*(1+$P225)-X225</f>
        <v>852706.56994407</v>
      </c>
      <c r="AC225" s="22" t="n">
        <f aca="false">AND($A225&gt;=Premissas!$C$16,$A225&lt;EDATE(Premissas!$C$16,3))*Premissas!$C$10/3*(1+Premissas!$C$56)^$C225</f>
        <v>0</v>
      </c>
      <c r="AD225" s="22" t="n">
        <f aca="false">L225-M225-N225-AC225</f>
        <v>2653.02925346903</v>
      </c>
      <c r="AE225" s="22" t="n">
        <f aca="false">AE224+AD225</f>
        <v>5022.32169618148</v>
      </c>
      <c r="AF225" s="22" t="n">
        <f aca="false">IF($A225&gt;=Premissas!$C$18,O225*(1-Premissas!$C$45)-Premissas!$C$46*MAX(0,O225*(1-Premissas!$C$45)-(SUM($AC$5:$AC$355)+Premissas!$C$26*Premissas!$C$60)),"")</f>
        <v>718528.038893932</v>
      </c>
      <c r="AG225" s="22" t="n">
        <f aca="false">IF($A225&gt;=Premissas!$C$18,AE225+AF225,"")</f>
        <v>723550.360590114</v>
      </c>
      <c r="AH225" s="22" t="n">
        <f aca="false">AH224*(1+$P225)-AD225</f>
        <v>875427.663914256</v>
      </c>
      <c r="AI225" s="22" t="n">
        <f aca="false">($A225=Premissas!$C$16)*0.2*Premissas!$C$11+AND($A225&gt;Premissas!$C$16,$A225&lt;=EDATE(Premissas!$C$16,43))*0.8*Premissas!$C$11/43*(1+Premissas!$C$56)^$C225</f>
        <v>0</v>
      </c>
      <c r="AJ225" s="22" t="n">
        <f aca="false">L225-M225-N225-AI225</f>
        <v>2653.02925346903</v>
      </c>
      <c r="AK225" s="22" t="n">
        <f aca="false">AK224+AJ225</f>
        <v>-40842.1637218805</v>
      </c>
      <c r="AL225" s="22" t="n">
        <f aca="false">IF($A225&gt;=Premissas!$C$18,O225*(1-Premissas!$C$45)-Premissas!$C$46*MAX(0,O225*(1-Premissas!$C$45)-(SUM($AI$5:$AI$355)+Premissas!$C$26*Premissas!$C$60)),"")</f>
        <v>725407.711706642</v>
      </c>
      <c r="AM225" s="22" t="n">
        <f aca="false">IF($A225&gt;=Premissas!$C$18,AK225+AL225,"")</f>
        <v>684565.547984761</v>
      </c>
      <c r="AN225" s="22" t="n">
        <f aca="false">AN224*(1+$P225)-AJ225</f>
        <v>896627.745404248</v>
      </c>
      <c r="AO225" s="22" t="n">
        <f aca="false">V225+S225</f>
        <v>753735.298159176</v>
      </c>
    </row>
    <row r="226" customFormat="false" ht="15" hidden="false" customHeight="false" outlineLevel="0" collapsed="false">
      <c r="A226" s="26" t="n">
        <f aca="false">DATE(YEAR(A225),MONTH(A225)+1,1)</f>
        <v>53022</v>
      </c>
      <c r="B226" s="22" t="str">
        <f aca="false">IF($A226&lt;Premissas!$C$18,"Obra",IF($A226&lt;Premissas!$C$20,"Entrega/mobília","Airbnb"))</f>
        <v>Airbnb</v>
      </c>
      <c r="C226" s="36" t="n">
        <f aca="false">(YEAR($A226)-YEAR(Premissas!$C$16))*12+MONTH($A226)-MONTH(Premissas!$C$16)</f>
        <v>221</v>
      </c>
      <c r="D226" s="33" t="n">
        <f aca="false">IF($A226&gt;=Premissas!$C$20,Premissas!$C$31*IF(((YEAR($A226)-YEAR(Premissas!$C$20))*12+MONTH($A226)-MONTH(Premissas!$C$20))&lt;Premissas!$C$33,Premissas!$C$34,1),0)</f>
        <v>0.62</v>
      </c>
      <c r="E226" s="22" t="n">
        <f aca="false">D226*Premissas!$C$30*Premissas!$C$32*(1+Premissas!$C$58)^$C226</f>
        <v>9575.25359824341</v>
      </c>
      <c r="F226" s="22" t="n">
        <f aca="false">E226*Premissas!$C$35</f>
        <v>1532.04057571895</v>
      </c>
      <c r="G226" s="22" t="n">
        <f aca="false">E226*Premissas!$C$36</f>
        <v>1915.05071964868</v>
      </c>
      <c r="H226" s="22" t="n">
        <f aca="false">IF($A226&gt;=Premissas!$C$18,Premissas!$C$37*(1+Premissas!$C$58)^$C226,0)</f>
        <v>1235.51659332173</v>
      </c>
      <c r="I226" s="22" t="n">
        <f aca="false">IF($A226&gt;=Premissas!$C$20,Premissas!$C$38*(1+Premissas!$C$58)^$C226,0)</f>
        <v>576.574410216807</v>
      </c>
      <c r="J226" s="22" t="n">
        <f aca="false">IF($A226&gt;=Premissas!$C$20,Premissas!$C$39*(1+Premissas!$C$58)^$C226,0)</f>
        <v>308.879148330433</v>
      </c>
      <c r="K226" s="22" t="n">
        <f aca="false">IF($A226&gt;=Premissas!$C$20,MAX(0,E226-F226-G226-H226)*Premissas!$C$41,0)</f>
        <v>1345.47757012736</v>
      </c>
      <c r="L226" s="22" t="n">
        <f aca="false">E226-F226-G226-H226-I226-J226-K226</f>
        <v>2661.71458087945</v>
      </c>
      <c r="M226" s="22" t="n">
        <f aca="false">($A226=Premissas!$C$18)*Premissas!$C$26*Premissas!$C$60</f>
        <v>0</v>
      </c>
      <c r="N226" s="22" t="n">
        <f aca="false">IF(AND($A226&gt;=Premissas!$C$18,$A226&lt;Premissas!$C$20),Premissas!$C$27/MAX(1,Premissas!$C$19),0)</f>
        <v>0</v>
      </c>
      <c r="O226" s="22" t="n">
        <f aca="false">IF($A226&gt;=Premissas!$C$18,Premissas!$C$60*(1+Premissas!$C$59)^((YEAR($A226)-YEAR(Premissas!$C$18))*12+MONTH($A226)-MONTH(Premissas!$C$18)),"")</f>
        <v>845452.731782219</v>
      </c>
      <c r="P226" s="31" t="n">
        <f aca="false">(1+IF(YEAR($A226)&lt;=2026,Premissas!$C$49,IF(YEAR($A226)=2027,Premissas!$C$50,IF(YEAR($A226)=2028,Premissas!$C$51,Premissas!$C$52)))*(1-Premissas!$C$53))^(1/12)-1</f>
        <v>0.00682149336596227</v>
      </c>
      <c r="Q226" s="22" t="n">
        <f aca="false">($A226=Premissas!$C$16)*Premissas!$C$13</f>
        <v>0</v>
      </c>
      <c r="R226" s="22" t="n">
        <f aca="false">L226-M226-N226-Q226</f>
        <v>2661.71458087945</v>
      </c>
      <c r="S226" s="22" t="n">
        <f aca="false">S225+R226</f>
        <v>46232.5001570856</v>
      </c>
      <c r="T226" s="22" t="n">
        <f aca="false">IF($A226&gt;=Premissas!$C$18,O226*(1-Premissas!$C$45)-Premissas!$C$46*MAX(0,O226*(1-Premissas!$C$45)-(SUM($Q$5:$Q$355)+Premissas!$C$26*Premissas!$C$60)),"")</f>
        <v>715486.741040739</v>
      </c>
      <c r="U226" s="22" t="n">
        <f aca="false">IF($A226&gt;=Premissas!$C$18,S226+T226,"")</f>
        <v>761719.241197824</v>
      </c>
      <c r="V226" s="22" t="n">
        <f aca="false">V225*(1+$P226)-R226</f>
        <v>712347.180513417</v>
      </c>
      <c r="W226" s="22" t="n">
        <f aca="false">($A226=Premissas!$C$16)*Premissas!$C$9</f>
        <v>0</v>
      </c>
      <c r="X226" s="22" t="n">
        <f aca="false">L226-M226-N226-W226</f>
        <v>2661.71458087945</v>
      </c>
      <c r="Y226" s="22" t="n">
        <f aca="false">Y225+X226</f>
        <v>15304.5001570857</v>
      </c>
      <c r="Z226" s="22" t="n">
        <f aca="false">IF($A226&gt;=Premissas!$C$18,O226*(1-Premissas!$C$45)-Premissas!$C$46*MAX(0,O226*(1-Premissas!$C$45)-(SUM($W$5:$W$355)+Premissas!$C$26*Premissas!$C$60)),"")</f>
        <v>720125.941040739</v>
      </c>
      <c r="AA226" s="22" t="n">
        <f aca="false">IF($A226&gt;=Premissas!$C$18,Y226+Z226,"")</f>
        <v>735430.441197824</v>
      </c>
      <c r="AB226" s="22" t="n">
        <f aca="false">AB225*(1+$P226)-X226</f>
        <v>855861.587573176</v>
      </c>
      <c r="AC226" s="22" t="n">
        <f aca="false">AND($A226&gt;=Premissas!$C$16,$A226&lt;EDATE(Premissas!$C$16,3))*Premissas!$C$10/3*(1+Premissas!$C$56)^$C226</f>
        <v>0</v>
      </c>
      <c r="AD226" s="22" t="n">
        <f aca="false">L226-M226-N226-AC226</f>
        <v>2661.71458087945</v>
      </c>
      <c r="AE226" s="22" t="n">
        <f aca="false">AE225+AD226</f>
        <v>7684.03627706092</v>
      </c>
      <c r="AF226" s="22" t="n">
        <f aca="false">IF($A226&gt;=Premissas!$C$18,O226*(1-Premissas!$C$45)-Premissas!$C$46*MAX(0,O226*(1-Premissas!$C$45)-(SUM($AC$5:$AC$355)+Premissas!$C$26*Premissas!$C$60)),"")</f>
        <v>721269.010622743</v>
      </c>
      <c r="AG226" s="22" t="n">
        <f aca="false">IF($A226&gt;=Premissas!$C$18,AE226+AF226,"")</f>
        <v>728953.046899803</v>
      </c>
      <c r="AH226" s="22" t="n">
        <f aca="false">AH225*(1+$P226)-AD226</f>
        <v>878737.673335148</v>
      </c>
      <c r="AI226" s="22" t="n">
        <f aca="false">($A226=Premissas!$C$16)*0.2*Premissas!$C$11+AND($A226&gt;Premissas!$C$16,$A226&lt;=EDATE(Premissas!$C$16,43))*0.8*Premissas!$C$11/43*(1+Premissas!$C$56)^$C226</f>
        <v>0</v>
      </c>
      <c r="AJ226" s="22" t="n">
        <f aca="false">L226-M226-N226-AI226</f>
        <v>2661.71458087945</v>
      </c>
      <c r="AK226" s="22" t="n">
        <f aca="false">AK225+AJ226</f>
        <v>-38180.449141001</v>
      </c>
      <c r="AL226" s="22" t="n">
        <f aca="false">IF($A226&gt;=Premissas!$C$18,O226*(1-Premissas!$C$45)-Premissas!$C$46*MAX(0,O226*(1-Premissas!$C$45)-(SUM($AI$5:$AI$355)+Premissas!$C$26*Premissas!$C$60)),"")</f>
        <v>728148.683435452</v>
      </c>
      <c r="AM226" s="22" t="n">
        <f aca="false">IF($A226&gt;=Premissas!$C$18,AK226+AL226,"")</f>
        <v>689968.234294451</v>
      </c>
      <c r="AN226" s="22" t="n">
        <f aca="false">AN225*(1+$P226)-AJ226</f>
        <v>900082.371040381</v>
      </c>
      <c r="AO226" s="22" t="n">
        <f aca="false">V226+S226</f>
        <v>758579.680670503</v>
      </c>
    </row>
    <row r="227" customFormat="false" ht="15" hidden="false" customHeight="false" outlineLevel="0" collapsed="false">
      <c r="A227" s="26" t="n">
        <f aca="false">DATE(YEAR(A226),MONTH(A226)+1,1)</f>
        <v>53053</v>
      </c>
      <c r="B227" s="22" t="str">
        <f aca="false">IF($A227&lt;Premissas!$C$18,"Obra",IF($A227&lt;Premissas!$C$20,"Entrega/mobília","Airbnb"))</f>
        <v>Airbnb</v>
      </c>
      <c r="C227" s="36" t="n">
        <f aca="false">(YEAR($A227)-YEAR(Premissas!$C$16))*12+MONTH($A227)-MONTH(Premissas!$C$16)</f>
        <v>222</v>
      </c>
      <c r="D227" s="33" t="n">
        <f aca="false">IF($A227&gt;=Premissas!$C$20,Premissas!$C$31*IF(((YEAR($A227)-YEAR(Premissas!$C$20))*12+MONTH($A227)-MONTH(Premissas!$C$20))&lt;Premissas!$C$33,Premissas!$C$34,1),0)</f>
        <v>0.62</v>
      </c>
      <c r="E227" s="22" t="n">
        <f aca="false">D227*Premissas!$C$30*Premissas!$C$32*(1+Premissas!$C$58)^$C227</f>
        <v>9606.60048687262</v>
      </c>
      <c r="F227" s="22" t="n">
        <f aca="false">E227*Premissas!$C$35</f>
        <v>1537.05607789962</v>
      </c>
      <c r="G227" s="22" t="n">
        <f aca="false">E227*Premissas!$C$36</f>
        <v>1921.32009737452</v>
      </c>
      <c r="H227" s="22" t="n">
        <f aca="false">IF($A227&gt;=Premissas!$C$18,Premissas!$C$37*(1+Premissas!$C$58)^$C227,0)</f>
        <v>1239.56135314485</v>
      </c>
      <c r="I227" s="22" t="n">
        <f aca="false">IF($A227&gt;=Premissas!$C$20,Premissas!$C$38*(1+Premissas!$C$58)^$C227,0)</f>
        <v>578.461964800932</v>
      </c>
      <c r="J227" s="22" t="n">
        <f aca="false">IF($A227&gt;=Premissas!$C$20,Premissas!$C$39*(1+Premissas!$C$58)^$C227,0)</f>
        <v>309.890338286214</v>
      </c>
      <c r="K227" s="22" t="n">
        <f aca="false">IF($A227&gt;=Premissas!$C$20,MAX(0,E227-F227-G227-H227)*Premissas!$C$41,0)</f>
        <v>1349.88231357475</v>
      </c>
      <c r="L227" s="22" t="n">
        <f aca="false">E227-F227-G227-H227-I227-J227-K227</f>
        <v>2670.42834179173</v>
      </c>
      <c r="M227" s="22" t="n">
        <f aca="false">($A227=Premissas!$C$18)*Premissas!$C$26*Premissas!$C$60</f>
        <v>0</v>
      </c>
      <c r="N227" s="22" t="n">
        <f aca="false">IF(AND($A227&gt;=Premissas!$C$18,$A227&lt;Premissas!$C$20),Premissas!$C$27/MAX(1,Premissas!$C$19),0)</f>
        <v>0</v>
      </c>
      <c r="O227" s="22" t="n">
        <f aca="false">IF($A227&gt;=Premissas!$C$18,Premissas!$C$60*(1+Premissas!$C$59)^((YEAR($A227)-YEAR(Premissas!$C$18))*12+MONTH($A227)-MONTH(Premissas!$C$18)),"")</f>
        <v>848897.210864723</v>
      </c>
      <c r="P227" s="31" t="n">
        <f aca="false">(1+IF(YEAR($A227)&lt;=2026,Premissas!$C$49,IF(YEAR($A227)=2027,Premissas!$C$50,IF(YEAR($A227)=2028,Premissas!$C$51,Premissas!$C$52)))*(1-Premissas!$C$53))^(1/12)-1</f>
        <v>0.00682149336596227</v>
      </c>
      <c r="Q227" s="22" t="n">
        <f aca="false">($A227=Premissas!$C$16)*Premissas!$C$13</f>
        <v>0</v>
      </c>
      <c r="R227" s="22" t="n">
        <f aca="false">L227-M227-N227-Q227</f>
        <v>2670.42834179173</v>
      </c>
      <c r="S227" s="22" t="n">
        <f aca="false">S226+R227</f>
        <v>48902.9284988773</v>
      </c>
      <c r="T227" s="22" t="n">
        <f aca="false">IF($A227&gt;=Premissas!$C$18,O227*(1-Premissas!$C$45)-Premissas!$C$46*MAX(0,O227*(1-Premissas!$C$45)-(SUM($Q$5:$Q$355)+Premissas!$C$26*Premissas!$C$60)),"")</f>
        <v>718238.87982766</v>
      </c>
      <c r="U227" s="22" t="n">
        <f aca="false">IF($A227&gt;=Premissas!$C$18,S227+T227,"")</f>
        <v>767141.808326537</v>
      </c>
      <c r="V227" s="22" t="n">
        <f aca="false">V226*(1+$P227)-R227</f>
        <v>714536.023737759</v>
      </c>
      <c r="W227" s="22" t="n">
        <f aca="false">($A227=Premissas!$C$16)*Premissas!$C$9</f>
        <v>0</v>
      </c>
      <c r="X227" s="22" t="n">
        <f aca="false">L227-M227-N227-W227</f>
        <v>2670.42834179173</v>
      </c>
      <c r="Y227" s="22" t="n">
        <f aca="false">Y226+X227</f>
        <v>17974.9284988775</v>
      </c>
      <c r="Z227" s="22" t="n">
        <f aca="false">IF($A227&gt;=Premissas!$C$18,O227*(1-Premissas!$C$45)-Premissas!$C$46*MAX(0,O227*(1-Premissas!$C$45)-(SUM($W$5:$W$355)+Premissas!$C$26*Premissas!$C$60)),"")</f>
        <v>722878.07982766</v>
      </c>
      <c r="AA227" s="22" t="n">
        <f aca="false">IF($A227&gt;=Premissas!$C$18,Y227+Z227,"")</f>
        <v>740853.008326537</v>
      </c>
      <c r="AB227" s="22" t="n">
        <f aca="false">AB226*(1+$P227)-X227</f>
        <v>859029.413373197</v>
      </c>
      <c r="AC227" s="22" t="n">
        <f aca="false">AND($A227&gt;=Premissas!$C$16,$A227&lt;EDATE(Premissas!$C$16,3))*Premissas!$C$10/3*(1+Premissas!$C$56)^$C227</f>
        <v>0</v>
      </c>
      <c r="AD227" s="22" t="n">
        <f aca="false">L227-M227-N227-AC227</f>
        <v>2670.42834179173</v>
      </c>
      <c r="AE227" s="22" t="n">
        <f aca="false">AE226+AD227</f>
        <v>10354.4646188527</v>
      </c>
      <c r="AF227" s="22" t="n">
        <f aca="false">IF($A227&gt;=Premissas!$C$18,O227*(1-Premissas!$C$45)-Premissas!$C$46*MAX(0,O227*(1-Premissas!$C$45)-(SUM($AC$5:$AC$355)+Premissas!$C$26*Premissas!$C$60)),"")</f>
        <v>724021.149409663</v>
      </c>
      <c r="AG227" s="22" t="n">
        <f aca="false">IF($A227&gt;=Premissas!$C$18,AE227+AF227,"")</f>
        <v>734375.614028516</v>
      </c>
      <c r="AH227" s="22" t="n">
        <f aca="false">AH226*(1+$P227)-AD227</f>
        <v>882061.548202433</v>
      </c>
      <c r="AI227" s="22" t="n">
        <f aca="false">($A227=Premissas!$C$16)*0.2*Premissas!$C$11+AND($A227&gt;Premissas!$C$16,$A227&lt;=EDATE(Premissas!$C$16,43))*0.8*Premissas!$C$11/43*(1+Premissas!$C$56)^$C227</f>
        <v>0</v>
      </c>
      <c r="AJ227" s="22" t="n">
        <f aca="false">L227-M227-N227-AI227</f>
        <v>2670.42834179173</v>
      </c>
      <c r="AK227" s="22" t="n">
        <f aca="false">AK226+AJ227</f>
        <v>-35510.0207992093</v>
      </c>
      <c r="AL227" s="22" t="n">
        <f aca="false">IF($A227&gt;=Premissas!$C$18,O227*(1-Premissas!$C$45)-Premissas!$C$46*MAX(0,O227*(1-Premissas!$C$45)-(SUM($AI$5:$AI$355)+Premissas!$C$26*Premissas!$C$60)),"")</f>
        <v>730900.822222373</v>
      </c>
      <c r="AM227" s="22" t="n">
        <f aca="false">IF($A227&gt;=Premissas!$C$18,AK227+AL227,"")</f>
        <v>695390.801423164</v>
      </c>
      <c r="AN227" s="22" t="n">
        <f aca="false">AN226*(1+$P227)-AJ227</f>
        <v>903551.848621461</v>
      </c>
      <c r="AO227" s="22" t="n">
        <f aca="false">V227+S227</f>
        <v>763438.952236637</v>
      </c>
    </row>
    <row r="228" customFormat="false" ht="15" hidden="false" customHeight="false" outlineLevel="0" collapsed="false">
      <c r="A228" s="26" t="n">
        <f aca="false">DATE(YEAR(A227),MONTH(A227)+1,1)</f>
        <v>53083</v>
      </c>
      <c r="B228" s="22" t="str">
        <f aca="false">IF($A228&lt;Premissas!$C$18,"Obra",IF($A228&lt;Premissas!$C$20,"Entrega/mobília","Airbnb"))</f>
        <v>Airbnb</v>
      </c>
      <c r="C228" s="36" t="n">
        <f aca="false">(YEAR($A228)-YEAR(Premissas!$C$16))*12+MONTH($A228)-MONTH(Premissas!$C$16)</f>
        <v>223</v>
      </c>
      <c r="D228" s="33" t="n">
        <f aca="false">IF($A228&gt;=Premissas!$C$20,Premissas!$C$31*IF(((YEAR($A228)-YEAR(Premissas!$C$20))*12+MONTH($A228)-MONTH(Premissas!$C$20))&lt;Premissas!$C$33,Premissas!$C$34,1),0)</f>
        <v>0.62</v>
      </c>
      <c r="E228" s="22" t="n">
        <f aca="false">D228*Premissas!$C$30*Premissas!$C$32*(1+Premissas!$C$58)^$C228</f>
        <v>9638.04999705819</v>
      </c>
      <c r="F228" s="22" t="n">
        <f aca="false">E228*Premissas!$C$35</f>
        <v>1542.08799952931</v>
      </c>
      <c r="G228" s="22" t="n">
        <f aca="false">E228*Premissas!$C$36</f>
        <v>1927.60999941164</v>
      </c>
      <c r="H228" s="22" t="n">
        <f aca="false">IF($A228&gt;=Premissas!$C$18,Premissas!$C$37*(1+Premissas!$C$58)^$C228,0)</f>
        <v>1243.61935445912</v>
      </c>
      <c r="I228" s="22" t="n">
        <f aca="false">IF($A228&gt;=Premissas!$C$20,Premissas!$C$38*(1+Premissas!$C$58)^$C228,0)</f>
        <v>580.35569874759</v>
      </c>
      <c r="J228" s="22" t="n">
        <f aca="false">IF($A228&gt;=Premissas!$C$20,Premissas!$C$39*(1+Premissas!$C$58)^$C228,0)</f>
        <v>310.90483861478</v>
      </c>
      <c r="K228" s="22" t="n">
        <f aca="false">IF($A228&gt;=Premissas!$C$20,MAX(0,E228-F228-G228-H228)*Premissas!$C$41,0)</f>
        <v>1354.30147700598</v>
      </c>
      <c r="L228" s="22" t="n">
        <f aca="false">E228-F228-G228-H228-I228-J228-K228</f>
        <v>2679.17062928977</v>
      </c>
      <c r="M228" s="22" t="n">
        <f aca="false">($A228=Premissas!$C$18)*Premissas!$C$26*Premissas!$C$60</f>
        <v>0</v>
      </c>
      <c r="N228" s="22" t="n">
        <f aca="false">IF(AND($A228&gt;=Premissas!$C$18,$A228&lt;Premissas!$C$20),Premissas!$C$27/MAX(1,Premissas!$C$19),0)</f>
        <v>0</v>
      </c>
      <c r="O228" s="22" t="n">
        <f aca="false">IF($A228&gt;=Premissas!$C$18,Premissas!$C$60*(1+Premissas!$C$59)^((YEAR($A228)-YEAR(Premissas!$C$18))*12+MONTH($A228)-MONTH(Premissas!$C$18)),"")</f>
        <v>852355.72318138</v>
      </c>
      <c r="P228" s="31" t="n">
        <f aca="false">(1+IF(YEAR($A228)&lt;=2026,Premissas!$C$49,IF(YEAR($A228)=2027,Premissas!$C$50,IF(YEAR($A228)=2028,Premissas!$C$51,Premissas!$C$52)))*(1-Premissas!$C$53))^(1/12)-1</f>
        <v>0.00682149336596227</v>
      </c>
      <c r="Q228" s="22" t="n">
        <f aca="false">($A228=Premissas!$C$16)*Premissas!$C$13</f>
        <v>0</v>
      </c>
      <c r="R228" s="22" t="n">
        <f aca="false">L228-M228-N228-Q228</f>
        <v>2679.17062928977</v>
      </c>
      <c r="S228" s="22" t="n">
        <f aca="false">S227+R228</f>
        <v>51582.0991281671</v>
      </c>
      <c r="T228" s="22" t="n">
        <f aca="false">IF($A228&gt;=Premissas!$C$18,O228*(1-Premissas!$C$45)-Premissas!$C$46*MAX(0,O228*(1-Premissas!$C$45)-(SUM($Q$5:$Q$355)+Premissas!$C$26*Premissas!$C$60)),"")</f>
        <v>721002.231168669</v>
      </c>
      <c r="U228" s="22" t="n">
        <f aca="false">IF($A228&gt;=Premissas!$C$18,S228+T228,"")</f>
        <v>772584.330296836</v>
      </c>
      <c r="V228" s="22" t="n">
        <f aca="false">V227*(1+$P228)-R228</f>
        <v>716731.055854138</v>
      </c>
      <c r="W228" s="22" t="n">
        <f aca="false">($A228=Premissas!$C$16)*Premissas!$C$9</f>
        <v>0</v>
      </c>
      <c r="X228" s="22" t="n">
        <f aca="false">L228-M228-N228-W228</f>
        <v>2679.17062928977</v>
      </c>
      <c r="Y228" s="22" t="n">
        <f aca="false">Y227+X228</f>
        <v>20654.0991281672</v>
      </c>
      <c r="Z228" s="22" t="n">
        <f aca="false">IF($A228&gt;=Premissas!$C$18,O228*(1-Premissas!$C$45)-Premissas!$C$46*MAX(0,O228*(1-Premissas!$C$45)-(SUM($W$5:$W$355)+Premissas!$C$26*Premissas!$C$60)),"")</f>
        <v>725641.431168668</v>
      </c>
      <c r="AA228" s="22" t="n">
        <f aca="false">IF($A228&gt;=Premissas!$C$18,Y228+Z228,"")</f>
        <v>746295.530296836</v>
      </c>
      <c r="AB228" s="22" t="n">
        <f aca="false">AB227*(1+$P228)-X228</f>
        <v>862210.106188399</v>
      </c>
      <c r="AC228" s="22" t="n">
        <f aca="false">AND($A228&gt;=Premissas!$C$16,$A228&lt;EDATE(Premissas!$C$16,3))*Premissas!$C$10/3*(1+Premissas!$C$56)^$C228</f>
        <v>0</v>
      </c>
      <c r="AD228" s="22" t="n">
        <f aca="false">L228-M228-N228-AC228</f>
        <v>2679.17062928977</v>
      </c>
      <c r="AE228" s="22" t="n">
        <f aca="false">AE227+AD228</f>
        <v>13033.6352481424</v>
      </c>
      <c r="AF228" s="22" t="n">
        <f aca="false">IF($A228&gt;=Premissas!$C$18,O228*(1-Premissas!$C$45)-Premissas!$C$46*MAX(0,O228*(1-Premissas!$C$45)-(SUM($AC$5:$AC$355)+Premissas!$C$26*Premissas!$C$60)),"")</f>
        <v>726784.500750672</v>
      </c>
      <c r="AG228" s="22" t="n">
        <f aca="false">IF($A228&gt;=Premissas!$C$18,AE228+AF228,"")</f>
        <v>739818.135998815</v>
      </c>
      <c r="AH228" s="22" t="n">
        <f aca="false">AH227*(1+$P228)-AD228</f>
        <v>885399.354572576</v>
      </c>
      <c r="AI228" s="22" t="n">
        <f aca="false">($A228=Premissas!$C$16)*0.2*Premissas!$C$11+AND($A228&gt;Premissas!$C$16,$A228&lt;=EDATE(Premissas!$C$16,43))*0.8*Premissas!$C$11/43*(1+Premissas!$C$56)^$C228</f>
        <v>0</v>
      </c>
      <c r="AJ228" s="22" t="n">
        <f aca="false">L228-M228-N228-AI228</f>
        <v>2679.17062928977</v>
      </c>
      <c r="AK228" s="22" t="n">
        <f aca="false">AK227+AJ228</f>
        <v>-32830.8501699195</v>
      </c>
      <c r="AL228" s="22" t="n">
        <f aca="false">IF($A228&gt;=Premissas!$C$18,O228*(1-Premissas!$C$45)-Premissas!$C$46*MAX(0,O228*(1-Premissas!$C$45)-(SUM($AI$5:$AI$355)+Premissas!$C$26*Premissas!$C$60)),"")</f>
        <v>733664.173563381</v>
      </c>
      <c r="AM228" s="22" t="n">
        <f aca="false">IF($A228&gt;=Premissas!$C$18,AK228+AL228,"")</f>
        <v>700833.323393462</v>
      </c>
      <c r="AN228" s="22" t="n">
        <f aca="false">AN227*(1+$P228)-AJ228</f>
        <v>907036.250933346</v>
      </c>
      <c r="AO228" s="22" t="n">
        <f aca="false">V228+S228</f>
        <v>768313.154982305</v>
      </c>
    </row>
    <row r="229" customFormat="false" ht="15" hidden="false" customHeight="false" outlineLevel="0" collapsed="false">
      <c r="A229" s="26" t="n">
        <f aca="false">DATE(YEAR(A228),MONTH(A228)+1,1)</f>
        <v>53114</v>
      </c>
      <c r="B229" s="22" t="str">
        <f aca="false">IF($A229&lt;Premissas!$C$18,"Obra",IF($A229&lt;Premissas!$C$20,"Entrega/mobília","Airbnb"))</f>
        <v>Airbnb</v>
      </c>
      <c r="C229" s="36" t="n">
        <f aca="false">(YEAR($A229)-YEAR(Premissas!$C$16))*12+MONTH($A229)-MONTH(Premissas!$C$16)</f>
        <v>224</v>
      </c>
      <c r="D229" s="33" t="n">
        <f aca="false">IF($A229&gt;=Premissas!$C$20,Premissas!$C$31*IF(((YEAR($A229)-YEAR(Premissas!$C$20))*12+MONTH($A229)-MONTH(Premissas!$C$20))&lt;Premissas!$C$33,Premissas!$C$34,1),0)</f>
        <v>0.62</v>
      </c>
      <c r="E229" s="22" t="n">
        <f aca="false">D229*Premissas!$C$30*Premissas!$C$32*(1+Premissas!$C$58)^$C229</f>
        <v>9669.60246475638</v>
      </c>
      <c r="F229" s="22" t="n">
        <f aca="false">E229*Premissas!$C$35</f>
        <v>1547.13639436102</v>
      </c>
      <c r="G229" s="22" t="n">
        <f aca="false">E229*Premissas!$C$36</f>
        <v>1933.92049295128</v>
      </c>
      <c r="H229" s="22" t="n">
        <f aca="false">IF($A229&gt;=Premissas!$C$18,Premissas!$C$37*(1+Premissas!$C$58)^$C229,0)</f>
        <v>1247.69064061373</v>
      </c>
      <c r="I229" s="22" t="n">
        <f aca="false">IF($A229&gt;=Premissas!$C$20,Premissas!$C$38*(1+Premissas!$C$58)^$C229,0)</f>
        <v>582.255632286406</v>
      </c>
      <c r="J229" s="22" t="n">
        <f aca="false">IF($A229&gt;=Premissas!$C$20,Premissas!$C$39*(1+Premissas!$C$58)^$C229,0)</f>
        <v>311.922660153432</v>
      </c>
      <c r="K229" s="22" t="n">
        <f aca="false">IF($A229&gt;=Premissas!$C$20,MAX(0,E229-F229-G229-H229)*Premissas!$C$41,0)</f>
        <v>1358.73510762835</v>
      </c>
      <c r="L229" s="22" t="n">
        <f aca="false">E229-F229-G229-H229-I229-J229-K229</f>
        <v>2687.94153676217</v>
      </c>
      <c r="M229" s="22" t="n">
        <f aca="false">($A229=Premissas!$C$18)*Premissas!$C$26*Premissas!$C$60</f>
        <v>0</v>
      </c>
      <c r="N229" s="22" t="n">
        <f aca="false">IF(AND($A229&gt;=Premissas!$C$18,$A229&lt;Premissas!$C$20),Premissas!$C$27/MAX(1,Premissas!$C$19),0)</f>
        <v>0</v>
      </c>
      <c r="O229" s="22" t="n">
        <f aca="false">IF($A229&gt;=Premissas!$C$18,Premissas!$C$60*(1+Premissas!$C$59)^((YEAR($A229)-YEAR(Premissas!$C$18))*12+MONTH($A229)-MONTH(Premissas!$C$18)),"")</f>
        <v>855828.325905322</v>
      </c>
      <c r="P229" s="31" t="n">
        <f aca="false">(1+IF(YEAR($A229)&lt;=2026,Premissas!$C$49,IF(YEAR($A229)=2027,Premissas!$C$50,IF(YEAR($A229)=2028,Premissas!$C$51,Premissas!$C$52)))*(1-Premissas!$C$53))^(1/12)-1</f>
        <v>0.00682149336596227</v>
      </c>
      <c r="Q229" s="22" t="n">
        <f aca="false">($A229=Premissas!$C$16)*Premissas!$C$13</f>
        <v>0</v>
      </c>
      <c r="R229" s="22" t="n">
        <f aca="false">L229-M229-N229-Q229</f>
        <v>2687.94153676217</v>
      </c>
      <c r="S229" s="22" t="n">
        <f aca="false">S228+R229</f>
        <v>54270.0406649293</v>
      </c>
      <c r="T229" s="22" t="n">
        <f aca="false">IF($A229&gt;=Premissas!$C$18,O229*(1-Premissas!$C$45)-Premissas!$C$46*MAX(0,O229*(1-Premissas!$C$45)-(SUM($Q$5:$Q$355)+Premissas!$C$26*Premissas!$C$60)),"")</f>
        <v>723776.840745098</v>
      </c>
      <c r="U229" s="22" t="n">
        <f aca="false">IF($A229&gt;=Premissas!$C$18,S229+T229,"")</f>
        <v>778046.881410028</v>
      </c>
      <c r="V229" s="22" t="n">
        <f aca="false">V228*(1+$P229)-R229</f>
        <v>718932.290460064</v>
      </c>
      <c r="W229" s="22" t="n">
        <f aca="false">($A229=Premissas!$C$16)*Premissas!$C$9</f>
        <v>0</v>
      </c>
      <c r="X229" s="22" t="n">
        <f aca="false">L229-M229-N229-W229</f>
        <v>2687.94153676217</v>
      </c>
      <c r="Y229" s="22" t="n">
        <f aca="false">Y228+X229</f>
        <v>23342.0406649294</v>
      </c>
      <c r="Z229" s="22" t="n">
        <f aca="false">IF($A229&gt;=Premissas!$C$18,O229*(1-Premissas!$C$45)-Premissas!$C$46*MAX(0,O229*(1-Premissas!$C$45)-(SUM($W$5:$W$355)+Premissas!$C$26*Premissas!$C$60)),"")</f>
        <v>728416.040745098</v>
      </c>
      <c r="AA229" s="22" t="n">
        <f aca="false">IF($A229&gt;=Premissas!$C$18,Y229+Z229,"")</f>
        <v>751758.081410028</v>
      </c>
      <c r="AB229" s="22" t="n">
        <f aca="false">AB228*(1+$P229)-X229</f>
        <v>865403.725171067</v>
      </c>
      <c r="AC229" s="22" t="n">
        <f aca="false">AND($A229&gt;=Premissas!$C$16,$A229&lt;EDATE(Premissas!$C$16,3))*Premissas!$C$10/3*(1+Premissas!$C$56)^$C229</f>
        <v>0</v>
      </c>
      <c r="AD229" s="22" t="n">
        <f aca="false">L229-M229-N229-AC229</f>
        <v>2687.94153676217</v>
      </c>
      <c r="AE229" s="22" t="n">
        <f aca="false">AE228+AD229</f>
        <v>15721.5767849046</v>
      </c>
      <c r="AF229" s="22" t="n">
        <f aca="false">IF($A229&gt;=Premissas!$C$18,O229*(1-Premissas!$C$45)-Premissas!$C$46*MAX(0,O229*(1-Premissas!$C$45)-(SUM($AC$5:$AC$355)+Premissas!$C$26*Premissas!$C$60)),"")</f>
        <v>729559.110327102</v>
      </c>
      <c r="AG229" s="22" t="n">
        <f aca="false">IF($A229&gt;=Premissas!$C$18,AE229+AF229,"")</f>
        <v>745280.687112007</v>
      </c>
      <c r="AH229" s="22" t="n">
        <f aca="false">AH228*(1+$P229)-AD229</f>
        <v>888751.158859258</v>
      </c>
      <c r="AI229" s="22" t="n">
        <f aca="false">($A229=Premissas!$C$16)*0.2*Premissas!$C$11+AND($A229&gt;Premissas!$C$16,$A229&lt;=EDATE(Premissas!$C$16,43))*0.8*Premissas!$C$11/43*(1+Premissas!$C$56)^$C229</f>
        <v>0</v>
      </c>
      <c r="AJ229" s="22" t="n">
        <f aca="false">L229-M229-N229-AI229</f>
        <v>2687.94153676217</v>
      </c>
      <c r="AK229" s="22" t="n">
        <f aca="false">AK228+AJ229</f>
        <v>-30142.9086331573</v>
      </c>
      <c r="AL229" s="22" t="n">
        <f aca="false">IF($A229&gt;=Premissas!$C$18,O229*(1-Premissas!$C$45)-Premissas!$C$46*MAX(0,O229*(1-Premissas!$C$45)-(SUM($AI$5:$AI$355)+Premissas!$C$26*Premissas!$C$60)),"")</f>
        <v>736438.783139811</v>
      </c>
      <c r="AM229" s="22" t="n">
        <f aca="false">IF($A229&gt;=Premissas!$C$18,AK229+AL229,"")</f>
        <v>706295.874506654</v>
      </c>
      <c r="AN229" s="22" t="n">
        <f aca="false">AN228*(1+$P229)-AJ229</f>
        <v>910535.651165013</v>
      </c>
      <c r="AO229" s="22" t="n">
        <f aca="false">V229+S229</f>
        <v>773202.331124993</v>
      </c>
    </row>
    <row r="230" customFormat="false" ht="15" hidden="false" customHeight="false" outlineLevel="0" collapsed="false">
      <c r="A230" s="26" t="n">
        <f aca="false">DATE(YEAR(A229),MONTH(A229)+1,1)</f>
        <v>53144</v>
      </c>
      <c r="B230" s="22" t="str">
        <f aca="false">IF($A230&lt;Premissas!$C$18,"Obra",IF($A230&lt;Premissas!$C$20,"Entrega/mobília","Airbnb"))</f>
        <v>Airbnb</v>
      </c>
      <c r="C230" s="36" t="n">
        <f aca="false">(YEAR($A230)-YEAR(Premissas!$C$16))*12+MONTH($A230)-MONTH(Premissas!$C$16)</f>
        <v>225</v>
      </c>
      <c r="D230" s="33" t="n">
        <f aca="false">IF($A230&gt;=Premissas!$C$20,Premissas!$C$31*IF(((YEAR($A230)-YEAR(Premissas!$C$20))*12+MONTH($A230)-MONTH(Premissas!$C$20))&lt;Premissas!$C$33,Premissas!$C$34,1),0)</f>
        <v>0.62</v>
      </c>
      <c r="E230" s="22" t="n">
        <f aca="false">D230*Premissas!$C$30*Premissas!$C$32*(1+Premissas!$C$58)^$C230</f>
        <v>9701.2582270233</v>
      </c>
      <c r="F230" s="22" t="n">
        <f aca="false">E230*Premissas!$C$35</f>
        <v>1552.20131632373</v>
      </c>
      <c r="G230" s="22" t="n">
        <f aca="false">E230*Premissas!$C$36</f>
        <v>1940.25164540466</v>
      </c>
      <c r="H230" s="22" t="n">
        <f aca="false">IF($A230&gt;=Premissas!$C$18,Premissas!$C$37*(1+Premissas!$C$58)^$C230,0)</f>
        <v>1251.77525509978</v>
      </c>
      <c r="I230" s="22" t="n">
        <f aca="false">IF($A230&gt;=Premissas!$C$20,Premissas!$C$38*(1+Premissas!$C$58)^$C230,0)</f>
        <v>584.161785713231</v>
      </c>
      <c r="J230" s="22" t="n">
        <f aca="false">IF($A230&gt;=Premissas!$C$20,Premissas!$C$39*(1+Premissas!$C$58)^$C230,0)</f>
        <v>312.943813774945</v>
      </c>
      <c r="K230" s="22" t="n">
        <f aca="false">IF($A230&gt;=Premissas!$C$20,MAX(0,E230-F230-G230-H230)*Premissas!$C$41,0)</f>
        <v>1363.18325280366</v>
      </c>
      <c r="L230" s="22" t="n">
        <f aca="false">E230-F230-G230-H230-I230-J230-K230</f>
        <v>2696.74115790329</v>
      </c>
      <c r="M230" s="22" t="n">
        <f aca="false">($A230=Premissas!$C$18)*Premissas!$C$26*Premissas!$C$60</f>
        <v>0</v>
      </c>
      <c r="N230" s="22" t="n">
        <f aca="false">IF(AND($A230&gt;=Premissas!$C$18,$A230&lt;Premissas!$C$20),Premissas!$C$27/MAX(1,Premissas!$C$19),0)</f>
        <v>0</v>
      </c>
      <c r="O230" s="22" t="n">
        <f aca="false">IF($A230&gt;=Premissas!$C$18,Premissas!$C$60*(1+Premissas!$C$59)^((YEAR($A230)-YEAR(Premissas!$C$18))*12+MONTH($A230)-MONTH(Premissas!$C$18)),"")</f>
        <v>859315.076442613</v>
      </c>
      <c r="P230" s="31" t="n">
        <f aca="false">(1+IF(YEAR($A230)&lt;=2026,Premissas!$C$49,IF(YEAR($A230)=2027,Premissas!$C$50,IF(YEAR($A230)=2028,Premissas!$C$51,Premissas!$C$52)))*(1-Premissas!$C$53))^(1/12)-1</f>
        <v>0.00682149336596227</v>
      </c>
      <c r="Q230" s="22" t="n">
        <f aca="false">($A230=Premissas!$C$16)*Premissas!$C$13</f>
        <v>0</v>
      </c>
      <c r="R230" s="22" t="n">
        <f aca="false">L230-M230-N230-Q230</f>
        <v>2696.74115790329</v>
      </c>
      <c r="S230" s="22" t="n">
        <f aca="false">S229+R230</f>
        <v>56966.7818228326</v>
      </c>
      <c r="T230" s="22" t="n">
        <f aca="false">IF($A230&gt;=Premissas!$C$18,O230*(1-Premissas!$C$45)-Premissas!$C$46*MAX(0,O230*(1-Premissas!$C$45)-(SUM($Q$5:$Q$355)+Premissas!$C$26*Premissas!$C$60)),"")</f>
        <v>726562.754424393</v>
      </c>
      <c r="U230" s="22" t="n">
        <f aca="false">IF($A230&gt;=Premissas!$C$18,S230+T230,"")</f>
        <v>783529.536247226</v>
      </c>
      <c r="V230" s="22" t="n">
        <f aca="false">V229*(1+$P230)-R230</f>
        <v>721139.74115211</v>
      </c>
      <c r="W230" s="22" t="n">
        <f aca="false">($A230=Premissas!$C$16)*Premissas!$C$9</f>
        <v>0</v>
      </c>
      <c r="X230" s="22" t="n">
        <f aca="false">L230-M230-N230-W230</f>
        <v>2696.74115790329</v>
      </c>
      <c r="Y230" s="22" t="n">
        <f aca="false">Y229+X230</f>
        <v>26038.7818228327</v>
      </c>
      <c r="Z230" s="22" t="n">
        <f aca="false">IF($A230&gt;=Premissas!$C$18,O230*(1-Premissas!$C$45)-Premissas!$C$46*MAX(0,O230*(1-Premissas!$C$45)-(SUM($W$5:$W$355)+Premissas!$C$26*Premissas!$C$60)),"")</f>
        <v>731201.954424394</v>
      </c>
      <c r="AA230" s="22" t="n">
        <f aca="false">IF($A230&gt;=Premissas!$C$18,Y230+Z230,"")</f>
        <v>757240.736247226</v>
      </c>
      <c r="AB230" s="22" t="n">
        <f aca="false">AB229*(1+$P230)-X230</f>
        <v>868610.329783297</v>
      </c>
      <c r="AC230" s="22" t="n">
        <f aca="false">AND($A230&gt;=Premissas!$C$16,$A230&lt;EDATE(Premissas!$C$16,3))*Premissas!$C$10/3*(1+Premissas!$C$56)^$C230</f>
        <v>0</v>
      </c>
      <c r="AD230" s="22" t="n">
        <f aca="false">L230-M230-N230-AC230</f>
        <v>2696.74115790329</v>
      </c>
      <c r="AE230" s="22" t="n">
        <f aca="false">AE229+AD230</f>
        <v>18418.3179428079</v>
      </c>
      <c r="AF230" s="22" t="n">
        <f aca="false">IF($A230&gt;=Premissas!$C$18,O230*(1-Premissas!$C$45)-Premissas!$C$46*MAX(0,O230*(1-Premissas!$C$45)-(SUM($AC$5:$AC$355)+Premissas!$C$26*Premissas!$C$60)),"")</f>
        <v>732345.024006397</v>
      </c>
      <c r="AG230" s="22" t="n">
        <f aca="false">IF($A230&gt;=Premissas!$C$18,AE230+AF230,"")</f>
        <v>750763.341949205</v>
      </c>
      <c r="AH230" s="22" t="n">
        <f aca="false">AH229*(1+$P230)-AD230</f>
        <v>892117.027835505</v>
      </c>
      <c r="AI230" s="22" t="n">
        <f aca="false">($A230=Premissas!$C$16)*0.2*Premissas!$C$11+AND($A230&gt;Premissas!$C$16,$A230&lt;=EDATE(Premissas!$C$16,43))*0.8*Premissas!$C$11/43*(1+Premissas!$C$56)^$C230</f>
        <v>0</v>
      </c>
      <c r="AJ230" s="22" t="n">
        <f aca="false">L230-M230-N230-AI230</f>
        <v>2696.74115790329</v>
      </c>
      <c r="AK230" s="22" t="n">
        <f aca="false">AK229+AJ230</f>
        <v>-27446.1674752541</v>
      </c>
      <c r="AL230" s="22" t="n">
        <f aca="false">IF($A230&gt;=Premissas!$C$18,O230*(1-Premissas!$C$45)-Premissas!$C$46*MAX(0,O230*(1-Premissas!$C$45)-(SUM($AI$5:$AI$355)+Premissas!$C$26*Premissas!$C$60)),"")</f>
        <v>739224.696819107</v>
      </c>
      <c r="AM230" s="22" t="n">
        <f aca="false">IF($A230&gt;=Premissas!$C$18,AK230+AL230,"")</f>
        <v>711778.529343852</v>
      </c>
      <c r="AN230" s="22" t="n">
        <f aca="false">AN229*(1+$P230)-AJ230</f>
        <v>914050.122911003</v>
      </c>
      <c r="AO230" s="22" t="n">
        <f aca="false">V230+S230</f>
        <v>778106.522974942</v>
      </c>
    </row>
    <row r="231" customFormat="false" ht="15" hidden="false" customHeight="false" outlineLevel="0" collapsed="false">
      <c r="A231" s="26" t="n">
        <f aca="false">DATE(YEAR(A230),MONTH(A230)+1,1)</f>
        <v>53175</v>
      </c>
      <c r="B231" s="22" t="str">
        <f aca="false">IF($A231&lt;Premissas!$C$18,"Obra",IF($A231&lt;Premissas!$C$20,"Entrega/mobília","Airbnb"))</f>
        <v>Airbnb</v>
      </c>
      <c r="C231" s="36" t="n">
        <f aca="false">(YEAR($A231)-YEAR(Premissas!$C$16))*12+MONTH($A231)-MONTH(Premissas!$C$16)</f>
        <v>226</v>
      </c>
      <c r="D231" s="33" t="n">
        <f aca="false">IF($A231&gt;=Premissas!$C$20,Premissas!$C$31*IF(((YEAR($A231)-YEAR(Premissas!$C$20))*12+MONTH($A231)-MONTH(Premissas!$C$20))&lt;Premissas!$C$33,Premissas!$C$34,1),0)</f>
        <v>0.62</v>
      </c>
      <c r="E231" s="22" t="n">
        <f aca="false">D231*Premissas!$C$30*Premissas!$C$32*(1+Premissas!$C$58)^$C231</f>
        <v>9733.01762201849</v>
      </c>
      <c r="F231" s="22" t="n">
        <f aca="false">E231*Premissas!$C$35</f>
        <v>1557.28281952296</v>
      </c>
      <c r="G231" s="22" t="n">
        <f aca="false">E231*Premissas!$C$36</f>
        <v>1946.6035244037</v>
      </c>
      <c r="H231" s="22" t="n">
        <f aca="false">IF($A231&gt;=Premissas!$C$18,Premissas!$C$37*(1+Premissas!$C$58)^$C231,0)</f>
        <v>1255.87324155077</v>
      </c>
      <c r="I231" s="22" t="n">
        <f aca="false">IF($A231&gt;=Premissas!$C$20,Premissas!$C$38*(1+Premissas!$C$58)^$C231,0)</f>
        <v>586.074179390361</v>
      </c>
      <c r="J231" s="22" t="n">
        <f aca="false">IF($A231&gt;=Premissas!$C$20,Premissas!$C$39*(1+Premissas!$C$58)^$C231,0)</f>
        <v>313.968310387693</v>
      </c>
      <c r="K231" s="22" t="n">
        <f aca="false">IF($A231&gt;=Premissas!$C$20,MAX(0,E231-F231-G231-H231)*Premissas!$C$41,0)</f>
        <v>1367.64596004879</v>
      </c>
      <c r="L231" s="22" t="n">
        <f aca="false">E231-F231-G231-H231-I231-J231-K231</f>
        <v>2705.56958671421</v>
      </c>
      <c r="M231" s="22" t="n">
        <f aca="false">($A231=Premissas!$C$18)*Premissas!$C$26*Premissas!$C$60</f>
        <v>0</v>
      </c>
      <c r="N231" s="22" t="n">
        <f aca="false">IF(AND($A231&gt;=Premissas!$C$18,$A231&lt;Premissas!$C$20),Premissas!$C$27/MAX(1,Premissas!$C$19),0)</f>
        <v>0</v>
      </c>
      <c r="O231" s="22" t="n">
        <f aca="false">IF($A231&gt;=Premissas!$C$18,Premissas!$C$60*(1+Premissas!$C$59)^((YEAR($A231)-YEAR(Premissas!$C$18))*12+MONTH($A231)-MONTH(Premissas!$C$18)),"")</f>
        <v>862816.032433195</v>
      </c>
      <c r="P231" s="31" t="n">
        <f aca="false">(1+IF(YEAR($A231)&lt;=2026,Premissas!$C$49,IF(YEAR($A231)=2027,Premissas!$C$50,IF(YEAR($A231)=2028,Premissas!$C$51,Premissas!$C$52)))*(1-Premissas!$C$53))^(1/12)-1</f>
        <v>0.00682149336596227</v>
      </c>
      <c r="Q231" s="22" t="n">
        <f aca="false">($A231=Premissas!$C$16)*Premissas!$C$13</f>
        <v>0</v>
      </c>
      <c r="R231" s="22" t="n">
        <f aca="false">L231-M231-N231-Q231</f>
        <v>2705.56958671421</v>
      </c>
      <c r="S231" s="22" t="n">
        <f aca="false">S230+R231</f>
        <v>59672.3514095468</v>
      </c>
      <c r="T231" s="22" t="n">
        <f aca="false">IF($A231&gt;=Premissas!$C$18,O231*(1-Premissas!$C$45)-Premissas!$C$46*MAX(0,O231*(1-Premissas!$C$45)-(SUM($Q$5:$Q$355)+Premissas!$C$26*Premissas!$C$60)),"")</f>
        <v>729360.018260869</v>
      </c>
      <c r="U231" s="22" t="n">
        <f aca="false">IF($A231&gt;=Premissas!$C$18,S231+T231,"")</f>
        <v>789032.369670416</v>
      </c>
      <c r="V231" s="22" t="n">
        <f aca="false">V230*(1+$P231)-R231</f>
        <v>723353.421525596</v>
      </c>
      <c r="W231" s="22" t="n">
        <f aca="false">($A231=Premissas!$C$16)*Premissas!$C$9</f>
        <v>0</v>
      </c>
      <c r="X231" s="22" t="n">
        <f aca="false">L231-M231-N231-W231</f>
        <v>2705.56958671421</v>
      </c>
      <c r="Y231" s="22" t="n">
        <f aca="false">Y230+X231</f>
        <v>28744.3514095469</v>
      </c>
      <c r="Z231" s="22" t="n">
        <f aca="false">IF($A231&gt;=Premissas!$C$18,O231*(1-Premissas!$C$45)-Premissas!$C$46*MAX(0,O231*(1-Premissas!$C$45)-(SUM($W$5:$W$355)+Premissas!$C$26*Premissas!$C$60)),"")</f>
        <v>733999.218260869</v>
      </c>
      <c r="AA231" s="22" t="n">
        <f aca="false">IF($A231&gt;=Premissas!$C$18,Y231+Z231,"")</f>
        <v>762743.569670416</v>
      </c>
      <c r="AB231" s="22" t="n">
        <f aca="false">AB230*(1+$P231)-X231</f>
        <v>871829.979798805</v>
      </c>
      <c r="AC231" s="22" t="n">
        <f aca="false">AND($A231&gt;=Premissas!$C$16,$A231&lt;EDATE(Premissas!$C$16,3))*Premissas!$C$10/3*(1+Premissas!$C$56)^$C231</f>
        <v>0</v>
      </c>
      <c r="AD231" s="22" t="n">
        <f aca="false">L231-M231-N231-AC231</f>
        <v>2705.56958671421</v>
      </c>
      <c r="AE231" s="22" t="n">
        <f aca="false">AE230+AD231</f>
        <v>21123.8875295221</v>
      </c>
      <c r="AF231" s="22" t="n">
        <f aca="false">IF($A231&gt;=Premissas!$C$18,O231*(1-Premissas!$C$45)-Premissas!$C$46*MAX(0,O231*(1-Premissas!$C$45)-(SUM($AC$5:$AC$355)+Premissas!$C$26*Premissas!$C$60)),"")</f>
        <v>735142.287842873</v>
      </c>
      <c r="AG231" s="22" t="n">
        <f aca="false">IF($A231&gt;=Premissas!$C$18,AE231+AF231,"")</f>
        <v>756266.175372395</v>
      </c>
      <c r="AH231" s="22" t="n">
        <f aca="false">AH230*(1+$P231)-AD231</f>
        <v>895497.028635832</v>
      </c>
      <c r="AI231" s="22" t="n">
        <f aca="false">($A231=Premissas!$C$16)*0.2*Premissas!$C$11+AND($A231&gt;Premissas!$C$16,$A231&lt;=EDATE(Premissas!$C$16,43))*0.8*Premissas!$C$11/43*(1+Premissas!$C$56)^$C231</f>
        <v>0</v>
      </c>
      <c r="AJ231" s="22" t="n">
        <f aca="false">L231-M231-N231-AI231</f>
        <v>2705.56958671421</v>
      </c>
      <c r="AK231" s="22" t="n">
        <f aca="false">AK230+AJ231</f>
        <v>-24740.5978885398</v>
      </c>
      <c r="AL231" s="22" t="n">
        <f aca="false">IF($A231&gt;=Premissas!$C$18,O231*(1-Premissas!$C$45)-Premissas!$C$46*MAX(0,O231*(1-Premissas!$C$45)-(SUM($AI$5:$AI$355)+Premissas!$C$26*Premissas!$C$60)),"")</f>
        <v>742021.960655582</v>
      </c>
      <c r="AM231" s="22" t="n">
        <f aca="false">IF($A231&gt;=Premissas!$C$18,AK231+AL231,"")</f>
        <v>717281.362767042</v>
      </c>
      <c r="AN231" s="22" t="n">
        <f aca="false">AN230*(1+$P231)-AJ231</f>
        <v>917579.740173884</v>
      </c>
      <c r="AO231" s="22" t="n">
        <f aca="false">V231+S231</f>
        <v>783025.772935143</v>
      </c>
    </row>
    <row r="232" customFormat="false" ht="15" hidden="false" customHeight="false" outlineLevel="0" collapsed="false">
      <c r="A232" s="26" t="n">
        <f aca="false">DATE(YEAR(A231),MONTH(A231)+1,1)</f>
        <v>53206</v>
      </c>
      <c r="B232" s="22" t="str">
        <f aca="false">IF($A232&lt;Premissas!$C$18,"Obra",IF($A232&lt;Premissas!$C$20,"Entrega/mobília","Airbnb"))</f>
        <v>Airbnb</v>
      </c>
      <c r="C232" s="36" t="n">
        <f aca="false">(YEAR($A232)-YEAR(Premissas!$C$16))*12+MONTH($A232)-MONTH(Premissas!$C$16)</f>
        <v>227</v>
      </c>
      <c r="D232" s="33" t="n">
        <f aca="false">IF($A232&gt;=Premissas!$C$20,Premissas!$C$31*IF(((YEAR($A232)-YEAR(Premissas!$C$20))*12+MONTH($A232)-MONTH(Premissas!$C$20))&lt;Premissas!$C$33,Premissas!$C$34,1),0)</f>
        <v>0.62</v>
      </c>
      <c r="E232" s="22" t="n">
        <f aca="false">D232*Premissas!$C$30*Premissas!$C$32*(1+Premissas!$C$58)^$C232</f>
        <v>9764.88098900853</v>
      </c>
      <c r="F232" s="22" t="n">
        <f aca="false">E232*Premissas!$C$35</f>
        <v>1562.38095824137</v>
      </c>
      <c r="G232" s="22" t="n">
        <f aca="false">E232*Premissas!$C$36</f>
        <v>1952.97619780171</v>
      </c>
      <c r="H232" s="22" t="n">
        <f aca="false">IF($A232&gt;=Premissas!$C$18,Premissas!$C$37*(1+Premissas!$C$58)^$C232,0)</f>
        <v>1259.98464374304</v>
      </c>
      <c r="I232" s="22" t="n">
        <f aca="false">IF($A232&gt;=Premissas!$C$20,Premissas!$C$38*(1+Premissas!$C$58)^$C232,0)</f>
        <v>587.99283374675</v>
      </c>
      <c r="J232" s="22" t="n">
        <f aca="false">IF($A232&gt;=Premissas!$C$20,Premissas!$C$39*(1+Premissas!$C$58)^$C232,0)</f>
        <v>314.996160935759</v>
      </c>
      <c r="K232" s="22" t="n">
        <f aca="false">IF($A232&gt;=Premissas!$C$20,MAX(0,E232-F232-G232-H232)*Premissas!$C$41,0)</f>
        <v>1372.12327703617</v>
      </c>
      <c r="L232" s="22" t="n">
        <f aca="false">E232-F232-G232-H232-I232-J232-K232</f>
        <v>2714.42691750375</v>
      </c>
      <c r="M232" s="22" t="n">
        <f aca="false">($A232=Premissas!$C$18)*Premissas!$C$26*Premissas!$C$60</f>
        <v>0</v>
      </c>
      <c r="N232" s="22" t="n">
        <f aca="false">IF(AND($A232&gt;=Premissas!$C$18,$A232&lt;Premissas!$C$20),Premissas!$C$27/MAX(1,Premissas!$C$19),0)</f>
        <v>0</v>
      </c>
      <c r="O232" s="22" t="n">
        <f aca="false">IF($A232&gt;=Premissas!$C$18,Premissas!$C$60*(1+Premissas!$C$59)^((YEAR($A232)-YEAR(Premissas!$C$18))*12+MONTH($A232)-MONTH(Premissas!$C$18)),"")</f>
        <v>866331.251751844</v>
      </c>
      <c r="P232" s="31" t="n">
        <f aca="false">(1+IF(YEAR($A232)&lt;=2026,Premissas!$C$49,IF(YEAR($A232)=2027,Premissas!$C$50,IF(YEAR($A232)=2028,Premissas!$C$51,Premissas!$C$52)))*(1-Premissas!$C$53))^(1/12)-1</f>
        <v>0.00682149336596227</v>
      </c>
      <c r="Q232" s="22" t="n">
        <f aca="false">($A232=Premissas!$C$16)*Premissas!$C$13</f>
        <v>0</v>
      </c>
      <c r="R232" s="22" t="n">
        <f aca="false">L232-M232-N232-Q232</f>
        <v>2714.42691750375</v>
      </c>
      <c r="S232" s="22" t="n">
        <f aca="false">S231+R232</f>
        <v>62386.7783270505</v>
      </c>
      <c r="T232" s="22" t="n">
        <f aca="false">IF($A232&gt;=Premissas!$C$18,O232*(1-Premissas!$C$45)-Premissas!$C$46*MAX(0,O232*(1-Premissas!$C$45)-(SUM($Q$5:$Q$355)+Premissas!$C$26*Premissas!$C$60)),"")</f>
        <v>732168.67849647</v>
      </c>
      <c r="U232" s="22" t="n">
        <f aca="false">IF($A232&gt;=Premissas!$C$18,S232+T232,"")</f>
        <v>794555.45682352</v>
      </c>
      <c r="V232" s="22" t="n">
        <f aca="false">V231*(1+$P232)-R232</f>
        <v>725573.345174276</v>
      </c>
      <c r="W232" s="22" t="n">
        <f aca="false">($A232=Premissas!$C$16)*Premissas!$C$9</f>
        <v>0</v>
      </c>
      <c r="X232" s="22" t="n">
        <f aca="false">L232-M232-N232-W232</f>
        <v>2714.42691750375</v>
      </c>
      <c r="Y232" s="22" t="n">
        <f aca="false">Y231+X232</f>
        <v>31458.7783270507</v>
      </c>
      <c r="Z232" s="22" t="n">
        <f aca="false">IF($A232&gt;=Premissas!$C$18,O232*(1-Premissas!$C$45)-Premissas!$C$46*MAX(0,O232*(1-Premissas!$C$45)-(SUM($W$5:$W$355)+Premissas!$C$26*Premissas!$C$60)),"")</f>
        <v>736807.87849647</v>
      </c>
      <c r="AA232" s="22" t="n">
        <f aca="false">IF($A232&gt;=Premissas!$C$18,Y232+Z232,"")</f>
        <v>768266.65682352</v>
      </c>
      <c r="AB232" s="22" t="n">
        <f aca="false">AB231*(1+$P232)-X232</f>
        <v>875062.735304746</v>
      </c>
      <c r="AC232" s="22" t="n">
        <f aca="false">AND($A232&gt;=Premissas!$C$16,$A232&lt;EDATE(Premissas!$C$16,3))*Premissas!$C$10/3*(1+Premissas!$C$56)^$C232</f>
        <v>0</v>
      </c>
      <c r="AD232" s="22" t="n">
        <f aca="false">L232-M232-N232-AC232</f>
        <v>2714.42691750375</v>
      </c>
      <c r="AE232" s="22" t="n">
        <f aca="false">AE231+AD232</f>
        <v>23838.3144470258</v>
      </c>
      <c r="AF232" s="22" t="n">
        <f aca="false">IF($A232&gt;=Premissas!$C$18,O232*(1-Premissas!$C$45)-Premissas!$C$46*MAX(0,O232*(1-Premissas!$C$45)-(SUM($AC$5:$AC$355)+Premissas!$C$26*Premissas!$C$60)),"")</f>
        <v>737950.948078473</v>
      </c>
      <c r="AG232" s="22" t="n">
        <f aca="false">IF($A232&gt;=Premissas!$C$18,AE232+AF232,"")</f>
        <v>761789.262525499</v>
      </c>
      <c r="AH232" s="22" t="n">
        <f aca="false">AH231*(1+$P232)-AD232</f>
        <v>898891.228758407</v>
      </c>
      <c r="AI232" s="22" t="n">
        <f aca="false">($A232=Premissas!$C$16)*0.2*Premissas!$C$11+AND($A232&gt;Premissas!$C$16,$A232&lt;=EDATE(Premissas!$C$16,43))*0.8*Premissas!$C$11/43*(1+Premissas!$C$56)^$C232</f>
        <v>0</v>
      </c>
      <c r="AJ232" s="22" t="n">
        <f aca="false">L232-M232-N232-AI232</f>
        <v>2714.42691750375</v>
      </c>
      <c r="AK232" s="22" t="n">
        <f aca="false">AK231+AJ232</f>
        <v>-22026.1709710361</v>
      </c>
      <c r="AL232" s="22" t="n">
        <f aca="false">IF($A232&gt;=Premissas!$C$18,O232*(1-Premissas!$C$45)-Premissas!$C$46*MAX(0,O232*(1-Premissas!$C$45)-(SUM($AI$5:$AI$355)+Premissas!$C$26*Premissas!$C$60)),"")</f>
        <v>744830.620891183</v>
      </c>
      <c r="AM232" s="22" t="n">
        <f aca="false">IF($A232&gt;=Premissas!$C$18,AK232+AL232,"")</f>
        <v>722804.449920147</v>
      </c>
      <c r="AN232" s="22" t="n">
        <f aca="false">AN231*(1+$P232)-AJ232</f>
        <v>921124.577366717</v>
      </c>
      <c r="AO232" s="22" t="n">
        <f aca="false">V232+S232</f>
        <v>787960.123501326</v>
      </c>
    </row>
    <row r="233" customFormat="false" ht="15" hidden="false" customHeight="false" outlineLevel="0" collapsed="false">
      <c r="A233" s="26" t="n">
        <f aca="false">DATE(YEAR(A232),MONTH(A232)+1,1)</f>
        <v>53236</v>
      </c>
      <c r="B233" s="22" t="str">
        <f aca="false">IF($A233&lt;Premissas!$C$18,"Obra",IF($A233&lt;Premissas!$C$20,"Entrega/mobília","Airbnb"))</f>
        <v>Airbnb</v>
      </c>
      <c r="C233" s="36" t="n">
        <f aca="false">(YEAR($A233)-YEAR(Premissas!$C$16))*12+MONTH($A233)-MONTH(Premissas!$C$16)</f>
        <v>228</v>
      </c>
      <c r="D233" s="33" t="n">
        <f aca="false">IF($A233&gt;=Premissas!$C$20,Premissas!$C$31*IF(((YEAR($A233)-YEAR(Premissas!$C$20))*12+MONTH($A233)-MONTH(Premissas!$C$20))&lt;Premissas!$C$33,Premissas!$C$34,1),0)</f>
        <v>0.62</v>
      </c>
      <c r="E233" s="22" t="n">
        <f aca="false">D233*Premissas!$C$30*Premissas!$C$32*(1+Premissas!$C$58)^$C233</f>
        <v>9796.84866837069</v>
      </c>
      <c r="F233" s="22" t="n">
        <f aca="false">E233*Premissas!$C$35</f>
        <v>1567.49578693931</v>
      </c>
      <c r="G233" s="22" t="n">
        <f aca="false">E233*Premissas!$C$36</f>
        <v>1959.36973367414</v>
      </c>
      <c r="H233" s="22" t="n">
        <f aca="false">IF($A233&gt;=Premissas!$C$18,Premissas!$C$37*(1+Premissas!$C$58)^$C233,0)</f>
        <v>1264.10950559622</v>
      </c>
      <c r="I233" s="22" t="n">
        <f aca="false">IF($A233&gt;=Premissas!$C$20,Premissas!$C$38*(1+Premissas!$C$58)^$C233,0)</f>
        <v>589.917769278235</v>
      </c>
      <c r="J233" s="22" t="n">
        <f aca="false">IF($A233&gt;=Premissas!$C$20,Premissas!$C$39*(1+Premissas!$C$58)^$C233,0)</f>
        <v>316.027376399054</v>
      </c>
      <c r="K233" s="22" t="n">
        <f aca="false">IF($A233&gt;=Premissas!$C$20,MAX(0,E233-F233-G233-H233)*Premissas!$C$41,0)</f>
        <v>1376.61525159428</v>
      </c>
      <c r="L233" s="22" t="n">
        <f aca="false">E233-F233-G233-H233-I233-J233-K233</f>
        <v>2723.31324488945</v>
      </c>
      <c r="M233" s="22" t="n">
        <f aca="false">($A233=Premissas!$C$18)*Premissas!$C$26*Premissas!$C$60</f>
        <v>0</v>
      </c>
      <c r="N233" s="22" t="n">
        <f aca="false">IF(AND($A233&gt;=Premissas!$C$18,$A233&lt;Premissas!$C$20),Premissas!$C$27/MAX(1,Premissas!$C$19),0)</f>
        <v>0</v>
      </c>
      <c r="O233" s="22" t="n">
        <f aca="false">IF($A233&gt;=Premissas!$C$18,Premissas!$C$60*(1+Premissas!$C$59)^((YEAR($A233)-YEAR(Premissas!$C$18))*12+MONTH($A233)-MONTH(Premissas!$C$18)),"")</f>
        <v>869860.792509124</v>
      </c>
      <c r="P233" s="31" t="n">
        <f aca="false">(1+IF(YEAR($A233)&lt;=2026,Premissas!$C$49,IF(YEAR($A233)=2027,Premissas!$C$50,IF(YEAR($A233)=2028,Premissas!$C$51,Premissas!$C$52)))*(1-Premissas!$C$53))^(1/12)-1</f>
        <v>0.00682149336596227</v>
      </c>
      <c r="Q233" s="22" t="n">
        <f aca="false">($A233=Premissas!$C$16)*Premissas!$C$13</f>
        <v>0</v>
      </c>
      <c r="R233" s="22" t="n">
        <f aca="false">L233-M233-N233-Q233</f>
        <v>2723.31324488945</v>
      </c>
      <c r="S233" s="22" t="n">
        <f aca="false">S232+R233</f>
        <v>65110.09157194</v>
      </c>
      <c r="T233" s="22" t="n">
        <f aca="false">IF($A233&gt;=Premissas!$C$18,O233*(1-Premissas!$C$45)-Premissas!$C$46*MAX(0,O233*(1-Premissas!$C$45)-(SUM($Q$5:$Q$355)+Premissas!$C$26*Premissas!$C$60)),"")</f>
        <v>734988.781561536</v>
      </c>
      <c r="U233" s="22" t="n">
        <f aca="false">IF($A233&gt;=Premissas!$C$18,S233+T233,"")</f>
        <v>800098.873133476</v>
      </c>
      <c r="V233" s="22" t="n">
        <f aca="false">V232*(1+$P233)-R233</f>
        <v>727799.525690012</v>
      </c>
      <c r="W233" s="22" t="n">
        <f aca="false">($A233=Premissas!$C$16)*Premissas!$C$9</f>
        <v>0</v>
      </c>
      <c r="X233" s="22" t="n">
        <f aca="false">L233-M233-N233-W233</f>
        <v>2723.31324488945</v>
      </c>
      <c r="Y233" s="22" t="n">
        <f aca="false">Y232+X233</f>
        <v>34182.0915719401</v>
      </c>
      <c r="Z233" s="22" t="n">
        <f aca="false">IF($A233&gt;=Premissas!$C$18,O233*(1-Premissas!$C$45)-Premissas!$C$46*MAX(0,O233*(1-Premissas!$C$45)-(SUM($W$5:$W$355)+Premissas!$C$26*Premissas!$C$60)),"")</f>
        <v>739627.981561536</v>
      </c>
      <c r="AA233" s="22" t="n">
        <f aca="false">IF($A233&gt;=Premissas!$C$18,Y233+Z233,"")</f>
        <v>773810.073133476</v>
      </c>
      <c r="AB233" s="22" t="n">
        <f aca="false">AB232*(1+$P233)-X233</f>
        <v>878308.656703539</v>
      </c>
      <c r="AC233" s="22" t="n">
        <f aca="false">AND($A233&gt;=Premissas!$C$16,$A233&lt;EDATE(Premissas!$C$16,3))*Premissas!$C$10/3*(1+Premissas!$C$56)^$C233</f>
        <v>0</v>
      </c>
      <c r="AD233" s="22" t="n">
        <f aca="false">L233-M233-N233-AC233</f>
        <v>2723.31324488945</v>
      </c>
      <c r="AE233" s="22" t="n">
        <f aca="false">AE232+AD233</f>
        <v>26561.6276919153</v>
      </c>
      <c r="AF233" s="22" t="n">
        <f aca="false">IF($A233&gt;=Premissas!$C$18,O233*(1-Premissas!$C$45)-Premissas!$C$46*MAX(0,O233*(1-Premissas!$C$45)-(SUM($AC$5:$AC$355)+Premissas!$C$26*Premissas!$C$60)),"")</f>
        <v>740771.05114354</v>
      </c>
      <c r="AG233" s="22" t="n">
        <f aca="false">IF($A233&gt;=Premissas!$C$18,AE233+AF233,"")</f>
        <v>767332.678835455</v>
      </c>
      <c r="AH233" s="22" t="n">
        <f aca="false">AH232*(1+$P233)-AD233</f>
        <v>902299.696067215</v>
      </c>
      <c r="AI233" s="22" t="n">
        <f aca="false">($A233=Premissas!$C$16)*0.2*Premissas!$C$11+AND($A233&gt;Premissas!$C$16,$A233&lt;=EDATE(Premissas!$C$16,43))*0.8*Premissas!$C$11/43*(1+Premissas!$C$56)^$C233</f>
        <v>0</v>
      </c>
      <c r="AJ233" s="22" t="n">
        <f aca="false">L233-M233-N233-AI233</f>
        <v>2723.31324488945</v>
      </c>
      <c r="AK233" s="22" t="n">
        <f aca="false">AK232+AJ233</f>
        <v>-19302.8577261466</v>
      </c>
      <c r="AL233" s="22" t="n">
        <f aca="false">IF($A233&gt;=Premissas!$C$18,O233*(1-Premissas!$C$45)-Premissas!$C$46*MAX(0,O233*(1-Premissas!$C$45)-(SUM($AI$5:$AI$355)+Premissas!$C$26*Premissas!$C$60)),"")</f>
        <v>747650.723956249</v>
      </c>
      <c r="AM233" s="22" t="n">
        <f aca="false">IF($A233&gt;=Premissas!$C$18,AK233+AL233,"")</f>
        <v>728347.866230103</v>
      </c>
      <c r="AN233" s="22" t="n">
        <f aca="false">AN232*(1+$P233)-AJ233</f>
        <v>924684.70931556</v>
      </c>
      <c r="AO233" s="22" t="n">
        <f aca="false">V233+S233</f>
        <v>792909.617261952</v>
      </c>
    </row>
    <row r="234" customFormat="false" ht="15" hidden="false" customHeight="false" outlineLevel="0" collapsed="false">
      <c r="A234" s="26" t="n">
        <f aca="false">DATE(YEAR(A233),MONTH(A233)+1,1)</f>
        <v>53267</v>
      </c>
      <c r="B234" s="22" t="str">
        <f aca="false">IF($A234&lt;Premissas!$C$18,"Obra",IF($A234&lt;Premissas!$C$20,"Entrega/mobília","Airbnb"))</f>
        <v>Airbnb</v>
      </c>
      <c r="C234" s="36" t="n">
        <f aca="false">(YEAR($A234)-YEAR(Premissas!$C$16))*12+MONTH($A234)-MONTH(Premissas!$C$16)</f>
        <v>229</v>
      </c>
      <c r="D234" s="33" t="n">
        <f aca="false">IF($A234&gt;=Premissas!$C$20,Premissas!$C$31*IF(((YEAR($A234)-YEAR(Premissas!$C$20))*12+MONTH($A234)-MONTH(Premissas!$C$20))&lt;Premissas!$C$33,Premissas!$C$34,1),0)</f>
        <v>0.62</v>
      </c>
      <c r="E234" s="22" t="n">
        <f aca="false">D234*Premissas!$C$30*Premissas!$C$32*(1+Premissas!$C$58)^$C234</f>
        <v>9828.92100159652</v>
      </c>
      <c r="F234" s="22" t="n">
        <f aca="false">E234*Premissas!$C$35</f>
        <v>1572.62736025544</v>
      </c>
      <c r="G234" s="22" t="n">
        <f aca="false">E234*Premissas!$C$36</f>
        <v>1965.7842003193</v>
      </c>
      <c r="H234" s="22" t="n">
        <f aca="false">IF($A234&gt;=Premissas!$C$18,Premissas!$C$37*(1+Premissas!$C$58)^$C234,0)</f>
        <v>1268.24787117374</v>
      </c>
      <c r="I234" s="22" t="n">
        <f aca="false">IF($A234&gt;=Premissas!$C$20,Premissas!$C$38*(1+Premissas!$C$58)^$C234,0)</f>
        <v>591.849006547747</v>
      </c>
      <c r="J234" s="22" t="n">
        <f aca="false">IF($A234&gt;=Premissas!$C$20,Premissas!$C$39*(1+Premissas!$C$58)^$C234,0)</f>
        <v>317.061967793436</v>
      </c>
      <c r="K234" s="22" t="n">
        <f aca="false">IF($A234&gt;=Premissas!$C$20,MAX(0,E234-F234-G234-H234)*Premissas!$C$41,0)</f>
        <v>1381.12193170821</v>
      </c>
      <c r="L234" s="22" t="n">
        <f aca="false">E234-F234-G234-H234-I234-J234-K234</f>
        <v>2732.22866379864</v>
      </c>
      <c r="M234" s="22" t="n">
        <f aca="false">($A234=Premissas!$C$18)*Premissas!$C$26*Premissas!$C$60</f>
        <v>0</v>
      </c>
      <c r="N234" s="22" t="n">
        <f aca="false">IF(AND($A234&gt;=Premissas!$C$18,$A234&lt;Premissas!$C$20),Premissas!$C$27/MAX(1,Premissas!$C$19),0)</f>
        <v>0</v>
      </c>
      <c r="O234" s="22" t="n">
        <f aca="false">IF($A234&gt;=Premissas!$C$18,Premissas!$C$60*(1+Premissas!$C$59)^((YEAR($A234)-YEAR(Premissas!$C$18))*12+MONTH($A234)-MONTH(Premissas!$C$18)),"")</f>
        <v>873404.713052349</v>
      </c>
      <c r="P234" s="31" t="n">
        <f aca="false">(1+IF(YEAR($A234)&lt;=2026,Premissas!$C$49,IF(YEAR($A234)=2027,Premissas!$C$50,IF(YEAR($A234)=2028,Premissas!$C$51,Premissas!$C$52)))*(1-Premissas!$C$53))^(1/12)-1</f>
        <v>0.00682149336596227</v>
      </c>
      <c r="Q234" s="22" t="n">
        <f aca="false">($A234=Premissas!$C$16)*Premissas!$C$13</f>
        <v>0</v>
      </c>
      <c r="R234" s="22" t="n">
        <f aca="false">L234-M234-N234-Q234</f>
        <v>2732.22866379864</v>
      </c>
      <c r="S234" s="22" t="n">
        <f aca="false">S233+R234</f>
        <v>67842.3202357386</v>
      </c>
      <c r="T234" s="22" t="n">
        <f aca="false">IF($A234&gt;=Premissas!$C$18,O234*(1-Premissas!$C$45)-Premissas!$C$46*MAX(0,O234*(1-Premissas!$C$45)-(SUM($Q$5:$Q$355)+Premissas!$C$26*Premissas!$C$60)),"")</f>
        <v>737820.374075573</v>
      </c>
      <c r="U234" s="22" t="n">
        <f aca="false">IF($A234&gt;=Premissas!$C$18,S234+T234,"")</f>
        <v>805662.694311312</v>
      </c>
      <c r="V234" s="22" t="n">
        <f aca="false">V233*(1+$P234)-R234</f>
        <v>730031.976662458</v>
      </c>
      <c r="W234" s="22" t="n">
        <f aca="false">($A234=Premissas!$C$16)*Premissas!$C$9</f>
        <v>0</v>
      </c>
      <c r="X234" s="22" t="n">
        <f aca="false">L234-M234-N234-W234</f>
        <v>2732.22866379864</v>
      </c>
      <c r="Y234" s="22" t="n">
        <f aca="false">Y233+X234</f>
        <v>36914.3202357388</v>
      </c>
      <c r="Z234" s="22" t="n">
        <f aca="false">IF($A234&gt;=Premissas!$C$18,O234*(1-Premissas!$C$45)-Premissas!$C$46*MAX(0,O234*(1-Premissas!$C$45)-(SUM($W$5:$W$355)+Premissas!$C$26*Premissas!$C$60)),"")</f>
        <v>742459.574075573</v>
      </c>
      <c r="AA234" s="22" t="n">
        <f aca="false">IF($A234&gt;=Premissas!$C$18,Y234+Z234,"")</f>
        <v>779373.894311312</v>
      </c>
      <c r="AB234" s="22" t="n">
        <f aca="false">AB233*(1+$P234)-X234</f>
        <v>881567.804714711</v>
      </c>
      <c r="AC234" s="22" t="n">
        <f aca="false">AND($A234&gt;=Premissas!$C$16,$A234&lt;EDATE(Premissas!$C$16,3))*Premissas!$C$10/3*(1+Premissas!$C$56)^$C234</f>
        <v>0</v>
      </c>
      <c r="AD234" s="22" t="n">
        <f aca="false">L234-M234-N234-AC234</f>
        <v>2732.22866379864</v>
      </c>
      <c r="AE234" s="22" t="n">
        <f aca="false">AE233+AD234</f>
        <v>29293.8563557139</v>
      </c>
      <c r="AF234" s="22" t="n">
        <f aca="false">IF($A234&gt;=Premissas!$C$18,O234*(1-Premissas!$C$45)-Premissas!$C$46*MAX(0,O234*(1-Premissas!$C$45)-(SUM($AC$5:$AC$355)+Premissas!$C$26*Premissas!$C$60)),"")</f>
        <v>743602.643657577</v>
      </c>
      <c r="AG234" s="22" t="n">
        <f aca="false">IF($A234&gt;=Premissas!$C$18,AE234+AF234,"")</f>
        <v>772896.500013291</v>
      </c>
      <c r="AH234" s="22" t="n">
        <f aca="false">AH233*(1+$P234)-AD234</f>
        <v>905722.498794248</v>
      </c>
      <c r="AI234" s="22" t="n">
        <f aca="false">($A234=Premissas!$C$16)*0.2*Premissas!$C$11+AND($A234&gt;Premissas!$C$16,$A234&lt;=EDATE(Premissas!$C$16,43))*0.8*Premissas!$C$11/43*(1+Premissas!$C$56)^$C234</f>
        <v>0</v>
      </c>
      <c r="AJ234" s="22" t="n">
        <f aca="false">L234-M234-N234-AI234</f>
        <v>2732.22866379864</v>
      </c>
      <c r="AK234" s="22" t="n">
        <f aca="false">AK233+AJ234</f>
        <v>-16570.629062348</v>
      </c>
      <c r="AL234" s="22" t="n">
        <f aca="false">IF($A234&gt;=Premissas!$C$18,O234*(1-Premissas!$C$45)-Premissas!$C$46*MAX(0,O234*(1-Premissas!$C$45)-(SUM($AI$5:$AI$355)+Premissas!$C$26*Premissas!$C$60)),"")</f>
        <v>750482.316470286</v>
      </c>
      <c r="AM234" s="22" t="n">
        <f aca="false">IF($A234&gt;=Premissas!$C$18,AK234+AL234,"")</f>
        <v>733911.687407938</v>
      </c>
      <c r="AN234" s="22" t="n">
        <f aca="false">AN233*(1+$P234)-AJ234</f>
        <v>928260.211261964</v>
      </c>
      <c r="AO234" s="22" t="n">
        <f aca="false">V234+S234</f>
        <v>797874.296898197</v>
      </c>
    </row>
    <row r="235" customFormat="false" ht="15" hidden="false" customHeight="false" outlineLevel="0" collapsed="false">
      <c r="A235" s="26" t="n">
        <f aca="false">DATE(YEAR(A234),MONTH(A234)+1,1)</f>
        <v>53297</v>
      </c>
      <c r="B235" s="22" t="str">
        <f aca="false">IF($A235&lt;Premissas!$C$18,"Obra",IF($A235&lt;Premissas!$C$20,"Entrega/mobília","Airbnb"))</f>
        <v>Airbnb</v>
      </c>
      <c r="C235" s="36" t="n">
        <f aca="false">(YEAR($A235)-YEAR(Premissas!$C$16))*12+MONTH($A235)-MONTH(Premissas!$C$16)</f>
        <v>230</v>
      </c>
      <c r="D235" s="33" t="n">
        <f aca="false">IF($A235&gt;=Premissas!$C$20,Premissas!$C$31*IF(((YEAR($A235)-YEAR(Premissas!$C$20))*12+MONTH($A235)-MONTH(Premissas!$C$20))&lt;Premissas!$C$33,Premissas!$C$34,1),0)</f>
        <v>0.62</v>
      </c>
      <c r="E235" s="22" t="n">
        <f aca="false">D235*Premissas!$C$30*Premissas!$C$32*(1+Premissas!$C$58)^$C235</f>
        <v>9861.09833129553</v>
      </c>
      <c r="F235" s="22" t="n">
        <f aca="false">E235*Premissas!$C$35</f>
        <v>1577.77573300729</v>
      </c>
      <c r="G235" s="22" t="n">
        <f aca="false">E235*Premissas!$C$36</f>
        <v>1972.21966625911</v>
      </c>
      <c r="H235" s="22" t="n">
        <f aca="false">IF($A235&gt;=Premissas!$C$18,Premissas!$C$37*(1+Premissas!$C$58)^$C235,0)</f>
        <v>1272.39978468329</v>
      </c>
      <c r="I235" s="22" t="n">
        <f aca="false">IF($A235&gt;=Premissas!$C$20,Premissas!$C$38*(1+Premissas!$C$58)^$C235,0)</f>
        <v>593.786566185538</v>
      </c>
      <c r="J235" s="22" t="n">
        <f aca="false">IF($A235&gt;=Premissas!$C$20,Premissas!$C$39*(1+Premissas!$C$58)^$C235,0)</f>
        <v>318.099946170824</v>
      </c>
      <c r="K235" s="22" t="n">
        <f aca="false">IF($A235&gt;=Premissas!$C$20,MAX(0,E235-F235-G235-H235)*Premissas!$C$41,0)</f>
        <v>1385.64336552011</v>
      </c>
      <c r="L235" s="22" t="n">
        <f aca="false">E235-F235-G235-H235-I235-J235-K235</f>
        <v>2741.17326946938</v>
      </c>
      <c r="M235" s="22" t="n">
        <f aca="false">($A235=Premissas!$C$18)*Premissas!$C$26*Premissas!$C$60</f>
        <v>0</v>
      </c>
      <c r="N235" s="22" t="n">
        <f aca="false">IF(AND($A235&gt;=Premissas!$C$18,$A235&lt;Premissas!$C$20),Premissas!$C$27/MAX(1,Premissas!$C$19),0)</f>
        <v>0</v>
      </c>
      <c r="O235" s="22" t="n">
        <f aca="false">IF($A235&gt;=Premissas!$C$18,Premissas!$C$60*(1+Premissas!$C$59)^((YEAR($A235)-YEAR(Premissas!$C$18))*12+MONTH($A235)-MONTH(Premissas!$C$18)),"")</f>
        <v>876963.071966546</v>
      </c>
      <c r="P235" s="31" t="n">
        <f aca="false">(1+IF(YEAR($A235)&lt;=2026,Premissas!$C$49,IF(YEAR($A235)=2027,Premissas!$C$50,IF(YEAR($A235)=2028,Premissas!$C$51,Premissas!$C$52)))*(1-Premissas!$C$53))^(1/12)-1</f>
        <v>0.00682149336596227</v>
      </c>
      <c r="Q235" s="22" t="n">
        <f aca="false">($A235=Premissas!$C$16)*Premissas!$C$13</f>
        <v>0</v>
      </c>
      <c r="R235" s="22" t="n">
        <f aca="false">L235-M235-N235-Q235</f>
        <v>2741.17326946938</v>
      </c>
      <c r="S235" s="22" t="n">
        <f aca="false">S234+R235</f>
        <v>70583.493505208</v>
      </c>
      <c r="T235" s="22" t="n">
        <f aca="false">IF($A235&gt;=Premissas!$C$18,O235*(1-Premissas!$C$45)-Premissas!$C$46*MAX(0,O235*(1-Premissas!$C$45)-(SUM($Q$5:$Q$355)+Premissas!$C$26*Premissas!$C$60)),"")</f>
        <v>740663.502848016</v>
      </c>
      <c r="U235" s="22" t="n">
        <f aca="false">IF($A235&gt;=Premissas!$C$18,S235+T235,"")</f>
        <v>811246.996353224</v>
      </c>
      <c r="V235" s="22" t="n">
        <f aca="false">V234*(1+$P235)-R235</f>
        <v>732270.711678732</v>
      </c>
      <c r="W235" s="22" t="n">
        <f aca="false">($A235=Premissas!$C$16)*Premissas!$C$9</f>
        <v>0</v>
      </c>
      <c r="X235" s="22" t="n">
        <f aca="false">L235-M235-N235-W235</f>
        <v>2741.17326946938</v>
      </c>
      <c r="Y235" s="22" t="n">
        <f aca="false">Y234+X235</f>
        <v>39655.4935052081</v>
      </c>
      <c r="Z235" s="22" t="n">
        <f aca="false">IF($A235&gt;=Premissas!$C$18,O235*(1-Premissas!$C$45)-Premissas!$C$46*MAX(0,O235*(1-Premissas!$C$45)-(SUM($W$5:$W$355)+Premissas!$C$26*Premissas!$C$60)),"")</f>
        <v>745302.702848016</v>
      </c>
      <c r="AA235" s="22" t="n">
        <f aca="false">IF($A235&gt;=Premissas!$C$18,Y235+Z235,"")</f>
        <v>784958.196353225</v>
      </c>
      <c r="AB235" s="22" t="n">
        <f aca="false">AB234*(1+$P235)-X235</f>
        <v>884840.240376749</v>
      </c>
      <c r="AC235" s="22" t="n">
        <f aca="false">AND($A235&gt;=Premissas!$C$16,$A235&lt;EDATE(Premissas!$C$16,3))*Premissas!$C$10/3*(1+Premissas!$C$56)^$C235</f>
        <v>0</v>
      </c>
      <c r="AD235" s="22" t="n">
        <f aca="false">L235-M235-N235-AC235</f>
        <v>2741.17326946938</v>
      </c>
      <c r="AE235" s="22" t="n">
        <f aca="false">AE234+AD235</f>
        <v>32035.0296251833</v>
      </c>
      <c r="AF235" s="22" t="n">
        <f aca="false">IF($A235&gt;=Premissas!$C$18,O235*(1-Premissas!$C$45)-Premissas!$C$46*MAX(0,O235*(1-Premissas!$C$45)-(SUM($AC$5:$AC$355)+Premissas!$C$26*Premissas!$C$60)),"")</f>
        <v>746445.77243002</v>
      </c>
      <c r="AG235" s="22" t="n">
        <f aca="false">IF($A235&gt;=Premissas!$C$18,AE235+AF235,"")</f>
        <v>778480.802055203</v>
      </c>
      <c r="AH235" s="22" t="n">
        <f aca="false">AH234*(1+$P235)-AD235</f>
        <v>909159.705541706</v>
      </c>
      <c r="AI235" s="22" t="n">
        <f aca="false">($A235=Premissas!$C$16)*0.2*Premissas!$C$11+AND($A235&gt;Premissas!$C$16,$A235&lt;=EDATE(Premissas!$C$16,43))*0.8*Premissas!$C$11/43*(1+Premissas!$C$56)^$C235</f>
        <v>0</v>
      </c>
      <c r="AJ235" s="22" t="n">
        <f aca="false">L235-M235-N235-AI235</f>
        <v>2741.17326946938</v>
      </c>
      <c r="AK235" s="22" t="n">
        <f aca="false">AK234+AJ235</f>
        <v>-13829.4557928786</v>
      </c>
      <c r="AL235" s="22" t="n">
        <f aca="false">IF($A235&gt;=Premissas!$C$18,O235*(1-Premissas!$C$45)-Premissas!$C$46*MAX(0,O235*(1-Premissas!$C$45)-(SUM($AI$5:$AI$355)+Premissas!$C$26*Premissas!$C$60)),"")</f>
        <v>753325.445242729</v>
      </c>
      <c r="AM235" s="22" t="n">
        <f aca="false">IF($A235&gt;=Premissas!$C$18,AK235+AL235,"")</f>
        <v>739495.989449851</v>
      </c>
      <c r="AN235" s="22" t="n">
        <f aca="false">AN234*(1+$P235)-AJ235</f>
        <v>931851.158865505</v>
      </c>
      <c r="AO235" s="22" t="n">
        <f aca="false">V235+S235</f>
        <v>802854.20518394</v>
      </c>
    </row>
    <row r="236" customFormat="false" ht="15" hidden="false" customHeight="false" outlineLevel="0" collapsed="false">
      <c r="A236" s="26" t="n">
        <f aca="false">DATE(YEAR(A235),MONTH(A235)+1,1)</f>
        <v>53328</v>
      </c>
      <c r="B236" s="22" t="str">
        <f aca="false">IF($A236&lt;Premissas!$C$18,"Obra",IF($A236&lt;Premissas!$C$20,"Entrega/mobília","Airbnb"))</f>
        <v>Airbnb</v>
      </c>
      <c r="C236" s="36" t="n">
        <f aca="false">(YEAR($A236)-YEAR(Premissas!$C$16))*12+MONTH($A236)-MONTH(Premissas!$C$16)</f>
        <v>231</v>
      </c>
      <c r="D236" s="33" t="n">
        <f aca="false">IF($A236&gt;=Premissas!$C$20,Premissas!$C$31*IF(((YEAR($A236)-YEAR(Premissas!$C$20))*12+MONTH($A236)-MONTH(Premissas!$C$20))&lt;Premissas!$C$33,Premissas!$C$34,1),0)</f>
        <v>0.62</v>
      </c>
      <c r="E236" s="22" t="n">
        <f aca="false">D236*Premissas!$C$30*Premissas!$C$32*(1+Premissas!$C$58)^$C236</f>
        <v>9893.38100119887</v>
      </c>
      <c r="F236" s="22" t="n">
        <f aca="false">E236*Premissas!$C$35</f>
        <v>1582.94096019182</v>
      </c>
      <c r="G236" s="22" t="n">
        <f aca="false">E236*Premissas!$C$36</f>
        <v>1978.67620023977</v>
      </c>
      <c r="H236" s="22" t="n">
        <f aca="false">IF($A236&gt;=Premissas!$C$18,Premissas!$C$37*(1+Premissas!$C$58)^$C236,0)</f>
        <v>1276.56529047727</v>
      </c>
      <c r="I236" s="22" t="n">
        <f aca="false">IF($A236&gt;=Premissas!$C$20,Premissas!$C$38*(1+Premissas!$C$58)^$C236,0)</f>
        <v>595.730468889394</v>
      </c>
      <c r="J236" s="22" t="n">
        <f aca="false">IF($A236&gt;=Premissas!$C$20,Premissas!$C$39*(1+Premissas!$C$58)^$C236,0)</f>
        <v>319.141322619318</v>
      </c>
      <c r="K236" s="22" t="n">
        <f aca="false">IF($A236&gt;=Premissas!$C$20,MAX(0,E236-F236-G236-H236)*Premissas!$C$41,0)</f>
        <v>1390.17960132975</v>
      </c>
      <c r="L236" s="22" t="n">
        <f aca="false">E236-F236-G236-H236-I236-J236-K236</f>
        <v>2750.14715745154</v>
      </c>
      <c r="M236" s="22" t="n">
        <f aca="false">($A236=Premissas!$C$18)*Premissas!$C$26*Premissas!$C$60</f>
        <v>0</v>
      </c>
      <c r="N236" s="22" t="n">
        <f aca="false">IF(AND($A236&gt;=Premissas!$C$18,$A236&lt;Premissas!$C$20),Premissas!$C$27/MAX(1,Premissas!$C$19),0)</f>
        <v>0</v>
      </c>
      <c r="O236" s="22" t="n">
        <f aca="false">IF($A236&gt;=Premissas!$C$18,Premissas!$C$60*(1+Premissas!$C$59)^((YEAR($A236)-YEAR(Premissas!$C$18))*12+MONTH($A236)-MONTH(Premissas!$C$18)),"")</f>
        <v>880535.928075426</v>
      </c>
      <c r="P236" s="31" t="n">
        <f aca="false">(1+IF(YEAR($A236)&lt;=2026,Premissas!$C$49,IF(YEAR($A236)=2027,Premissas!$C$50,IF(YEAR($A236)=2028,Premissas!$C$51,Premissas!$C$52)))*(1-Premissas!$C$53))^(1/12)-1</f>
        <v>0.00682149336596227</v>
      </c>
      <c r="Q236" s="22" t="n">
        <f aca="false">($A236=Premissas!$C$16)*Premissas!$C$13</f>
        <v>0</v>
      </c>
      <c r="R236" s="22" t="n">
        <f aca="false">L236-M236-N236-Q236</f>
        <v>2750.14715745154</v>
      </c>
      <c r="S236" s="22" t="n">
        <f aca="false">S235+R236</f>
        <v>73333.6406626595</v>
      </c>
      <c r="T236" s="22" t="n">
        <f aca="false">IF($A236&gt;=Premissas!$C$18,O236*(1-Premissas!$C$45)-Premissas!$C$46*MAX(0,O236*(1-Premissas!$C$45)-(SUM($Q$5:$Q$355)+Premissas!$C$26*Premissas!$C$60)),"")</f>
        <v>743518.214879012</v>
      </c>
      <c r="U236" s="22" t="n">
        <f aca="false">IF($A236&gt;=Premissas!$C$18,S236+T236,"")</f>
        <v>816851.855541671</v>
      </c>
      <c r="V236" s="22" t="n">
        <f aca="false">V235*(1+$P236)-R236</f>
        <v>734515.744323085</v>
      </c>
      <c r="W236" s="22" t="n">
        <f aca="false">($A236=Premissas!$C$16)*Premissas!$C$9</f>
        <v>0</v>
      </c>
      <c r="X236" s="22" t="n">
        <f aca="false">L236-M236-N236-W236</f>
        <v>2750.14715745154</v>
      </c>
      <c r="Y236" s="22" t="n">
        <f aca="false">Y235+X236</f>
        <v>42405.6406626597</v>
      </c>
      <c r="Z236" s="22" t="n">
        <f aca="false">IF($A236&gt;=Premissas!$C$18,O236*(1-Premissas!$C$45)-Premissas!$C$46*MAX(0,O236*(1-Premissas!$C$45)-(SUM($W$5:$W$355)+Premissas!$C$26*Premissas!$C$60)),"")</f>
        <v>748157.414879012</v>
      </c>
      <c r="AA236" s="22" t="n">
        <f aca="false">IF($A236&gt;=Premissas!$C$18,Y236+Z236,"")</f>
        <v>790563.055541671</v>
      </c>
      <c r="AB236" s="22" t="n">
        <f aca="false">AB235*(1+$P236)-X236</f>
        <v>888126.025048964</v>
      </c>
      <c r="AC236" s="22" t="n">
        <f aca="false">AND($A236&gt;=Premissas!$C$16,$A236&lt;EDATE(Premissas!$C$16,3))*Premissas!$C$10/3*(1+Premissas!$C$56)^$C236</f>
        <v>0</v>
      </c>
      <c r="AD236" s="22" t="n">
        <f aca="false">L236-M236-N236-AC236</f>
        <v>2750.14715745154</v>
      </c>
      <c r="AE236" s="22" t="n">
        <f aca="false">AE235+AD236</f>
        <v>34785.1767826349</v>
      </c>
      <c r="AF236" s="22" t="n">
        <f aca="false">IF($A236&gt;=Premissas!$C$18,O236*(1-Premissas!$C$45)-Premissas!$C$46*MAX(0,O236*(1-Premissas!$C$45)-(SUM($AC$5:$AC$355)+Premissas!$C$26*Premissas!$C$60)),"")</f>
        <v>749300.484461015</v>
      </c>
      <c r="AG236" s="22" t="n">
        <f aca="false">IF($A236&gt;=Premissas!$C$18,AE236+AF236,"")</f>
        <v>784085.66124365</v>
      </c>
      <c r="AH236" s="22" t="n">
        <f aca="false">AH235*(1+$P236)-AD236</f>
        <v>912611.385284208</v>
      </c>
      <c r="AI236" s="22" t="n">
        <f aca="false">($A236=Premissas!$C$16)*0.2*Premissas!$C$11+AND($A236&gt;Premissas!$C$16,$A236&lt;=EDATE(Premissas!$C$16,43))*0.8*Premissas!$C$11/43*(1+Premissas!$C$56)^$C236</f>
        <v>0</v>
      </c>
      <c r="AJ236" s="22" t="n">
        <f aca="false">L236-M236-N236-AI236</f>
        <v>2750.14715745154</v>
      </c>
      <c r="AK236" s="22" t="n">
        <f aca="false">AK235+AJ236</f>
        <v>-11079.3086354271</v>
      </c>
      <c r="AL236" s="22" t="n">
        <f aca="false">IF($A236&gt;=Premissas!$C$18,O236*(1-Premissas!$C$45)-Premissas!$C$46*MAX(0,O236*(1-Premissas!$C$45)-(SUM($AI$5:$AI$355)+Premissas!$C$26*Premissas!$C$60)),"")</f>
        <v>756180.157273725</v>
      </c>
      <c r="AM236" s="22" t="n">
        <f aca="false">IF($A236&gt;=Premissas!$C$18,AK236+AL236,"")</f>
        <v>745100.848638298</v>
      </c>
      <c r="AN236" s="22" t="n">
        <f aca="false">AN235*(1+$P236)-AJ236</f>
        <v>935457.628206319</v>
      </c>
      <c r="AO236" s="22" t="n">
        <f aca="false">V236+S236</f>
        <v>807849.384985745</v>
      </c>
    </row>
    <row r="237" customFormat="false" ht="15" hidden="false" customHeight="false" outlineLevel="0" collapsed="false">
      <c r="A237" s="26" t="n">
        <f aca="false">DATE(YEAR(A236),MONTH(A236)+1,1)</f>
        <v>53359</v>
      </c>
      <c r="B237" s="22" t="str">
        <f aca="false">IF($A237&lt;Premissas!$C$18,"Obra",IF($A237&lt;Premissas!$C$20,"Entrega/mobília","Airbnb"))</f>
        <v>Airbnb</v>
      </c>
      <c r="C237" s="36" t="n">
        <f aca="false">(YEAR($A237)-YEAR(Premissas!$C$16))*12+MONTH($A237)-MONTH(Premissas!$C$16)</f>
        <v>232</v>
      </c>
      <c r="D237" s="33" t="n">
        <f aca="false">IF($A237&gt;=Premissas!$C$20,Premissas!$C$31*IF(((YEAR($A237)-YEAR(Premissas!$C$20))*12+MONTH($A237)-MONTH(Premissas!$C$20))&lt;Premissas!$C$33,Premissas!$C$34,1),0)</f>
        <v>0.62</v>
      </c>
      <c r="E237" s="22" t="n">
        <f aca="false">D237*Premissas!$C$30*Premissas!$C$32*(1+Premissas!$C$58)^$C237</f>
        <v>9925.76935616295</v>
      </c>
      <c r="F237" s="22" t="n">
        <f aca="false">E237*Premissas!$C$35</f>
        <v>1588.12309698607</v>
      </c>
      <c r="G237" s="22" t="n">
        <f aca="false">E237*Premissas!$C$36</f>
        <v>1985.15387123259</v>
      </c>
      <c r="H237" s="22" t="n">
        <f aca="false">IF($A237&gt;=Premissas!$C$18,Premissas!$C$37*(1+Premissas!$C$58)^$C237,0)</f>
        <v>1280.74443305328</v>
      </c>
      <c r="I237" s="22" t="n">
        <f aca="false">IF($A237&gt;=Premissas!$C$20,Premissas!$C$38*(1+Premissas!$C$58)^$C237,0)</f>
        <v>597.680735424866</v>
      </c>
      <c r="J237" s="22" t="n">
        <f aca="false">IF($A237&gt;=Premissas!$C$20,Premissas!$C$39*(1+Premissas!$C$58)^$C237,0)</f>
        <v>320.186108263321</v>
      </c>
      <c r="K237" s="22" t="n">
        <f aca="false">IF($A237&gt;=Premissas!$C$20,MAX(0,E237-F237-G237-H237)*Premissas!$C$41,0)</f>
        <v>1394.73068759503</v>
      </c>
      <c r="L237" s="22" t="n">
        <f aca="false">E237-F237-G237-H237-I237-J237-K237</f>
        <v>2759.15042360779</v>
      </c>
      <c r="M237" s="22" t="n">
        <f aca="false">($A237=Premissas!$C$18)*Premissas!$C$26*Premissas!$C$60</f>
        <v>0</v>
      </c>
      <c r="N237" s="22" t="n">
        <f aca="false">IF(AND($A237&gt;=Premissas!$C$18,$A237&lt;Premissas!$C$20),Premissas!$C$27/MAX(1,Premissas!$C$19),0)</f>
        <v>0</v>
      </c>
      <c r="O237" s="22" t="n">
        <f aca="false">IF($A237&gt;=Premissas!$C$18,Premissas!$C$60*(1+Premissas!$C$59)^((YEAR($A237)-YEAR(Premissas!$C$18))*12+MONTH($A237)-MONTH(Premissas!$C$18)),"")</f>
        <v>884123.340442355</v>
      </c>
      <c r="P237" s="31" t="n">
        <f aca="false">(1+IF(YEAR($A237)&lt;=2026,Premissas!$C$49,IF(YEAR($A237)=2027,Premissas!$C$50,IF(YEAR($A237)=2028,Premissas!$C$51,Premissas!$C$52)))*(1-Premissas!$C$53))^(1/12)-1</f>
        <v>0.00682149336596227</v>
      </c>
      <c r="Q237" s="22" t="n">
        <f aca="false">($A237=Premissas!$C$16)*Premissas!$C$13</f>
        <v>0</v>
      </c>
      <c r="R237" s="22" t="n">
        <f aca="false">L237-M237-N237-Q237</f>
        <v>2759.15042360779</v>
      </c>
      <c r="S237" s="22" t="n">
        <f aca="false">S236+R237</f>
        <v>76092.7910862673</v>
      </c>
      <c r="T237" s="22" t="n">
        <f aca="false">IF($A237&gt;=Premissas!$C$18,O237*(1-Premissas!$C$45)-Premissas!$C$46*MAX(0,O237*(1-Premissas!$C$45)-(SUM($Q$5:$Q$355)+Premissas!$C$26*Premissas!$C$60)),"")</f>
        <v>746384.557360188</v>
      </c>
      <c r="U237" s="22" t="n">
        <f aca="false">IF($A237&gt;=Premissas!$C$18,S237+T237,"")</f>
        <v>822477.348446455</v>
      </c>
      <c r="V237" s="22" t="n">
        <f aca="false">V236*(1+$P237)-R237</f>
        <v>736767.088176572</v>
      </c>
      <c r="W237" s="22" t="n">
        <f aca="false">($A237=Premissas!$C$16)*Premissas!$C$9</f>
        <v>0</v>
      </c>
      <c r="X237" s="22" t="n">
        <f aca="false">L237-M237-N237-W237</f>
        <v>2759.15042360779</v>
      </c>
      <c r="Y237" s="22" t="n">
        <f aca="false">Y236+X237</f>
        <v>45164.7910862675</v>
      </c>
      <c r="Z237" s="22" t="n">
        <f aca="false">IF($A237&gt;=Premissas!$C$18,O237*(1-Premissas!$C$45)-Premissas!$C$46*MAX(0,O237*(1-Premissas!$C$45)-(SUM($W$5:$W$355)+Premissas!$C$26*Premissas!$C$60)),"")</f>
        <v>751023.757360188</v>
      </c>
      <c r="AA237" s="22" t="n">
        <f aca="false">IF($A237&gt;=Premissas!$C$18,Y237+Z237,"")</f>
        <v>796188.548446456</v>
      </c>
      <c r="AB237" s="22" t="n">
        <f aca="false">AB236*(1+$P237)-X237</f>
        <v>891425.220413366</v>
      </c>
      <c r="AC237" s="22" t="n">
        <f aca="false">AND($A237&gt;=Premissas!$C$16,$A237&lt;EDATE(Premissas!$C$16,3))*Premissas!$C$10/3*(1+Premissas!$C$56)^$C237</f>
        <v>0</v>
      </c>
      <c r="AD237" s="22" t="n">
        <f aca="false">L237-M237-N237-AC237</f>
        <v>2759.15042360779</v>
      </c>
      <c r="AE237" s="22" t="n">
        <f aca="false">AE236+AD237</f>
        <v>37544.3272062426</v>
      </c>
      <c r="AF237" s="22" t="n">
        <f aca="false">IF($A237&gt;=Premissas!$C$18,O237*(1-Premissas!$C$45)-Premissas!$C$46*MAX(0,O237*(1-Premissas!$C$45)-(SUM($AC$5:$AC$355)+Premissas!$C$26*Premissas!$C$60)),"")</f>
        <v>752166.826942192</v>
      </c>
      <c r="AG237" s="22" t="n">
        <f aca="false">IF($A237&gt;=Premissas!$C$18,AE237+AF237,"")</f>
        <v>789711.154148434</v>
      </c>
      <c r="AH237" s="22" t="n">
        <f aca="false">AH236*(1+$P237)-AD237</f>
        <v>916077.607371018</v>
      </c>
      <c r="AI237" s="22" t="n">
        <f aca="false">($A237=Premissas!$C$16)*0.2*Premissas!$C$11+AND($A237&gt;Premissas!$C$16,$A237&lt;=EDATE(Premissas!$C$16,43))*0.8*Premissas!$C$11/43*(1+Premissas!$C$56)^$C237</f>
        <v>0</v>
      </c>
      <c r="AJ237" s="22" t="n">
        <f aca="false">L237-M237-N237-AI237</f>
        <v>2759.15042360779</v>
      </c>
      <c r="AK237" s="22" t="n">
        <f aca="false">AK236+AJ237</f>
        <v>-8320.15821181929</v>
      </c>
      <c r="AL237" s="22" t="n">
        <f aca="false">IF($A237&gt;=Premissas!$C$18,O237*(1-Premissas!$C$45)-Premissas!$C$46*MAX(0,O237*(1-Premissas!$C$45)-(SUM($AI$5:$AI$355)+Premissas!$C$26*Premissas!$C$60)),"")</f>
        <v>759046.499754901</v>
      </c>
      <c r="AM237" s="22" t="n">
        <f aca="false">IF($A237&gt;=Premissas!$C$18,AK237+AL237,"")</f>
        <v>750726.341543082</v>
      </c>
      <c r="AN237" s="22" t="n">
        <f aca="false">AN236*(1+$P237)-AJ237</f>
        <v>939079.695787659</v>
      </c>
      <c r="AO237" s="22" t="n">
        <f aca="false">V237+S237</f>
        <v>812859.879262839</v>
      </c>
    </row>
    <row r="238" customFormat="false" ht="15" hidden="false" customHeight="false" outlineLevel="0" collapsed="false">
      <c r="A238" s="26" t="n">
        <f aca="false">DATE(YEAR(A237),MONTH(A237)+1,1)</f>
        <v>53387</v>
      </c>
      <c r="B238" s="22" t="str">
        <f aca="false">IF($A238&lt;Premissas!$C$18,"Obra",IF($A238&lt;Premissas!$C$20,"Entrega/mobília","Airbnb"))</f>
        <v>Airbnb</v>
      </c>
      <c r="C238" s="36" t="n">
        <f aca="false">(YEAR($A238)-YEAR(Premissas!$C$16))*12+MONTH($A238)-MONTH(Premissas!$C$16)</f>
        <v>233</v>
      </c>
      <c r="D238" s="33" t="n">
        <f aca="false">IF($A238&gt;=Premissas!$C$20,Premissas!$C$31*IF(((YEAR($A238)-YEAR(Premissas!$C$20))*12+MONTH($A238)-MONTH(Premissas!$C$20))&lt;Premissas!$C$33,Premissas!$C$34,1),0)</f>
        <v>0.62</v>
      </c>
      <c r="E238" s="22" t="n">
        <f aca="false">D238*Premissas!$C$30*Premissas!$C$32*(1+Premissas!$C$58)^$C238</f>
        <v>9958.26374217315</v>
      </c>
      <c r="F238" s="22" t="n">
        <f aca="false">E238*Premissas!$C$35</f>
        <v>1593.3221987477</v>
      </c>
      <c r="G238" s="22" t="n">
        <f aca="false">E238*Premissas!$C$36</f>
        <v>1991.65274843463</v>
      </c>
      <c r="H238" s="22" t="n">
        <f aca="false">IF($A238&gt;=Premissas!$C$18,Premissas!$C$37*(1+Premissas!$C$58)^$C238,0)</f>
        <v>1284.9372570546</v>
      </c>
      <c r="I238" s="22" t="n">
        <f aca="false">IF($A238&gt;=Premissas!$C$20,Premissas!$C$38*(1+Premissas!$C$58)^$C238,0)</f>
        <v>599.63738662548</v>
      </c>
      <c r="J238" s="22" t="n">
        <f aca="false">IF($A238&gt;=Premissas!$C$20,Premissas!$C$39*(1+Premissas!$C$58)^$C238,0)</f>
        <v>321.23431426365</v>
      </c>
      <c r="K238" s="22" t="n">
        <f aca="false">IF($A238&gt;=Premissas!$C$20,MAX(0,E238-F238-G238-H238)*Premissas!$C$41,0)</f>
        <v>1399.29667293246</v>
      </c>
      <c r="L238" s="22" t="n">
        <f aca="false">E238-F238-G238-H238-I238-J238-K238</f>
        <v>2768.18316411463</v>
      </c>
      <c r="M238" s="22" t="n">
        <f aca="false">($A238=Premissas!$C$18)*Premissas!$C$26*Premissas!$C$60</f>
        <v>0</v>
      </c>
      <c r="N238" s="22" t="n">
        <f aca="false">IF(AND($A238&gt;=Premissas!$C$18,$A238&lt;Premissas!$C$20),Premissas!$C$27/MAX(1,Premissas!$C$19),0)</f>
        <v>0</v>
      </c>
      <c r="O238" s="22" t="n">
        <f aca="false">IF($A238&gt;=Premissas!$C$18,Premissas!$C$60*(1+Premissas!$C$59)^((YEAR($A238)-YEAR(Premissas!$C$18))*12+MONTH($A238)-MONTH(Premissas!$C$18)),"")</f>
        <v>887725.36837133</v>
      </c>
      <c r="P238" s="31" t="n">
        <f aca="false">(1+IF(YEAR($A238)&lt;=2026,Premissas!$C$49,IF(YEAR($A238)=2027,Premissas!$C$50,IF(YEAR($A238)=2028,Premissas!$C$51,Premissas!$C$52)))*(1-Premissas!$C$53))^(1/12)-1</f>
        <v>0.00682149336596227</v>
      </c>
      <c r="Q238" s="22" t="n">
        <f aca="false">($A238=Premissas!$C$16)*Premissas!$C$13</f>
        <v>0</v>
      </c>
      <c r="R238" s="22" t="n">
        <f aca="false">L238-M238-N238-Q238</f>
        <v>2768.18316411463</v>
      </c>
      <c r="S238" s="22" t="n">
        <f aca="false">S237+R238</f>
        <v>78860.9742503819</v>
      </c>
      <c r="T238" s="22" t="n">
        <f aca="false">IF($A238&gt;=Premissas!$C$18,O238*(1-Premissas!$C$45)-Premissas!$C$46*MAX(0,O238*(1-Premissas!$C$45)-(SUM($Q$5:$Q$355)+Premissas!$C$26*Premissas!$C$60)),"")</f>
        <v>749262.577675439</v>
      </c>
      <c r="U238" s="22" t="n">
        <f aca="false">IF($A238&gt;=Premissas!$C$18,S238+T238,"")</f>
        <v>828123.551925821</v>
      </c>
      <c r="V238" s="22" t="n">
        <f aca="false">V237*(1+$P238)-R238</f>
        <v>739024.756816713</v>
      </c>
      <c r="W238" s="22" t="n">
        <f aca="false">($A238=Premissas!$C$16)*Premissas!$C$9</f>
        <v>0</v>
      </c>
      <c r="X238" s="22" t="n">
        <f aca="false">L238-M238-N238-W238</f>
        <v>2768.18316411463</v>
      </c>
      <c r="Y238" s="22" t="n">
        <f aca="false">Y237+X238</f>
        <v>47932.9742503821</v>
      </c>
      <c r="Z238" s="22" t="n">
        <f aca="false">IF($A238&gt;=Premissas!$C$18,O238*(1-Premissas!$C$45)-Premissas!$C$46*MAX(0,O238*(1-Premissas!$C$45)-(SUM($W$5:$W$355)+Premissas!$C$26*Premissas!$C$60)),"")</f>
        <v>753901.777675439</v>
      </c>
      <c r="AA238" s="22" t="n">
        <f aca="false">IF($A238&gt;=Premissas!$C$18,Y238+Z238,"")</f>
        <v>801834.751925821</v>
      </c>
      <c r="AB238" s="22" t="n">
        <f aca="false">AB237*(1+$P238)-X238</f>
        <v>894737.888476552</v>
      </c>
      <c r="AC238" s="22" t="n">
        <f aca="false">AND($A238&gt;=Premissas!$C$16,$A238&lt;EDATE(Premissas!$C$16,3))*Premissas!$C$10/3*(1+Premissas!$C$56)^$C238</f>
        <v>0</v>
      </c>
      <c r="AD238" s="22" t="n">
        <f aca="false">L238-M238-N238-AC238</f>
        <v>2768.18316411463</v>
      </c>
      <c r="AE238" s="22" t="n">
        <f aca="false">AE237+AD238</f>
        <v>40312.5103703573</v>
      </c>
      <c r="AF238" s="22" t="n">
        <f aca="false">IF($A238&gt;=Premissas!$C$18,O238*(1-Premissas!$C$45)-Premissas!$C$46*MAX(0,O238*(1-Premissas!$C$45)-(SUM($AC$5:$AC$355)+Premissas!$C$26*Premissas!$C$60)),"")</f>
        <v>755044.847257443</v>
      </c>
      <c r="AG238" s="22" t="n">
        <f aca="false">IF($A238&gt;=Premissas!$C$18,AE238+AF238,"")</f>
        <v>795357.3576278</v>
      </c>
      <c r="AH238" s="22" t="n">
        <f aca="false">AH237*(1+$P238)-AD238</f>
        <v>919558.441528291</v>
      </c>
      <c r="AI238" s="22" t="n">
        <f aca="false">($A238=Premissas!$C$16)*0.2*Premissas!$C$11+AND($A238&gt;Premissas!$C$16,$A238&lt;=EDATE(Premissas!$C$16,43))*0.8*Premissas!$C$11/43*(1+Premissas!$C$56)^$C238</f>
        <v>0</v>
      </c>
      <c r="AJ238" s="22" t="n">
        <f aca="false">L238-M238-N238-AI238</f>
        <v>2768.18316411463</v>
      </c>
      <c r="AK238" s="22" t="n">
        <f aca="false">AK237+AJ238</f>
        <v>-5551.97504770467</v>
      </c>
      <c r="AL238" s="22" t="n">
        <f aca="false">IF($A238&gt;=Premissas!$C$18,O238*(1-Premissas!$C$45)-Premissas!$C$46*MAX(0,O238*(1-Premissas!$C$45)-(SUM($AI$5:$AI$355)+Premissas!$C$26*Premissas!$C$60)),"")</f>
        <v>761924.520070152</v>
      </c>
      <c r="AM238" s="22" t="n">
        <f aca="false">IF($A238&gt;=Premissas!$C$18,AK238+AL238,"")</f>
        <v>756372.545022447</v>
      </c>
      <c r="AN238" s="22" t="n">
        <f aca="false">AN237*(1+$P238)-AJ238</f>
        <v>942717.43853847</v>
      </c>
      <c r="AO238" s="22" t="n">
        <f aca="false">V238+S238</f>
        <v>817885.731067095</v>
      </c>
    </row>
    <row r="239" customFormat="false" ht="15" hidden="false" customHeight="false" outlineLevel="0" collapsed="false">
      <c r="A239" s="26" t="n">
        <f aca="false">DATE(YEAR(A238),MONTH(A238)+1,1)</f>
        <v>53418</v>
      </c>
      <c r="B239" s="22" t="str">
        <f aca="false">IF($A239&lt;Premissas!$C$18,"Obra",IF($A239&lt;Premissas!$C$20,"Entrega/mobília","Airbnb"))</f>
        <v>Airbnb</v>
      </c>
      <c r="C239" s="36" t="n">
        <f aca="false">(YEAR($A239)-YEAR(Premissas!$C$16))*12+MONTH($A239)-MONTH(Premissas!$C$16)</f>
        <v>234</v>
      </c>
      <c r="D239" s="33" t="n">
        <f aca="false">IF($A239&gt;=Premissas!$C$20,Premissas!$C$31*IF(((YEAR($A239)-YEAR(Premissas!$C$20))*12+MONTH($A239)-MONTH(Premissas!$C$20))&lt;Premissas!$C$33,Premissas!$C$34,1),0)</f>
        <v>0.62</v>
      </c>
      <c r="E239" s="22" t="n">
        <f aca="false">D239*Premissas!$C$30*Premissas!$C$32*(1+Premissas!$C$58)^$C239</f>
        <v>9990.86450634753</v>
      </c>
      <c r="F239" s="22" t="n">
        <f aca="false">E239*Premissas!$C$35</f>
        <v>1598.5383210156</v>
      </c>
      <c r="G239" s="22" t="n">
        <f aca="false">E239*Premissas!$C$36</f>
        <v>1998.17290126951</v>
      </c>
      <c r="H239" s="22" t="n">
        <f aca="false">IF($A239&gt;=Premissas!$C$18,Premissas!$C$37*(1+Premissas!$C$58)^$C239,0)</f>
        <v>1289.14380727065</v>
      </c>
      <c r="I239" s="22" t="n">
        <f aca="false">IF($A239&gt;=Premissas!$C$20,Premissas!$C$38*(1+Premissas!$C$58)^$C239,0)</f>
        <v>601.60044339297</v>
      </c>
      <c r="J239" s="22" t="n">
        <f aca="false">IF($A239&gt;=Premissas!$C$20,Premissas!$C$39*(1+Premissas!$C$58)^$C239,0)</f>
        <v>322.285951817662</v>
      </c>
      <c r="K239" s="22" t="n">
        <f aca="false">IF($A239&gt;=Premissas!$C$20,MAX(0,E239-F239-G239-H239)*Premissas!$C$41,0)</f>
        <v>1403.87760611774</v>
      </c>
      <c r="L239" s="22" t="n">
        <f aca="false">E239-F239-G239-H239-I239-J239-K239</f>
        <v>2777.2454754634</v>
      </c>
      <c r="M239" s="22" t="n">
        <f aca="false">($A239=Premissas!$C$18)*Premissas!$C$26*Premissas!$C$60</f>
        <v>0</v>
      </c>
      <c r="N239" s="22" t="n">
        <f aca="false">IF(AND($A239&gt;=Premissas!$C$18,$A239&lt;Premissas!$C$20),Premissas!$C$27/MAX(1,Premissas!$C$19),0)</f>
        <v>0</v>
      </c>
      <c r="O239" s="22" t="n">
        <f aca="false">IF($A239&gt;=Premissas!$C$18,Premissas!$C$60*(1+Premissas!$C$59)^((YEAR($A239)-YEAR(Premissas!$C$18))*12+MONTH($A239)-MONTH(Premissas!$C$18)),"")</f>
        <v>891342.07140796</v>
      </c>
      <c r="P239" s="31" t="n">
        <f aca="false">(1+IF(YEAR($A239)&lt;=2026,Premissas!$C$49,IF(YEAR($A239)=2027,Premissas!$C$50,IF(YEAR($A239)=2028,Premissas!$C$51,Premissas!$C$52)))*(1-Premissas!$C$53))^(1/12)-1</f>
        <v>0.00682149336596227</v>
      </c>
      <c r="Q239" s="22" t="n">
        <f aca="false">($A239=Premissas!$C$16)*Premissas!$C$13</f>
        <v>0</v>
      </c>
      <c r="R239" s="22" t="n">
        <f aca="false">L239-M239-N239-Q239</f>
        <v>2777.2454754634</v>
      </c>
      <c r="S239" s="22" t="n">
        <f aca="false">S238+R239</f>
        <v>81638.2197258454</v>
      </c>
      <c r="T239" s="22" t="n">
        <f aca="false">IF($A239&gt;=Premissas!$C$18,O239*(1-Premissas!$C$45)-Premissas!$C$46*MAX(0,O239*(1-Premissas!$C$45)-(SUM($Q$5:$Q$355)+Premissas!$C$26*Premissas!$C$60)),"")</f>
        <v>752152.323401706</v>
      </c>
      <c r="U239" s="22" t="n">
        <f aca="false">IF($A239&gt;=Premissas!$C$18,S239+T239,"")</f>
        <v>833790.543127551</v>
      </c>
      <c r="V239" s="22" t="n">
        <f aca="false">V238*(1+$P239)-R239</f>
        <v>741288.763817157</v>
      </c>
      <c r="W239" s="22" t="n">
        <f aca="false">($A239=Premissas!$C$16)*Premissas!$C$9</f>
        <v>0</v>
      </c>
      <c r="X239" s="22" t="n">
        <f aca="false">L239-M239-N239-W239</f>
        <v>2777.2454754634</v>
      </c>
      <c r="Y239" s="22" t="n">
        <f aca="false">Y238+X239</f>
        <v>50710.2197258455</v>
      </c>
      <c r="Z239" s="22" t="n">
        <f aca="false">IF($A239&gt;=Premissas!$C$18,O239*(1-Premissas!$C$45)-Premissas!$C$46*MAX(0,O239*(1-Premissas!$C$45)-(SUM($W$5:$W$355)+Premissas!$C$26*Premissas!$C$60)),"")</f>
        <v>756791.523401706</v>
      </c>
      <c r="AA239" s="22" t="n">
        <f aca="false">IF($A239&gt;=Premissas!$C$18,Y239+Z239,"")</f>
        <v>807501.743127552</v>
      </c>
      <c r="AB239" s="22" t="n">
        <f aca="false">AB238*(1+$P239)-X239</f>
        <v>898064.091571607</v>
      </c>
      <c r="AC239" s="22" t="n">
        <f aca="false">AND($A239&gt;=Premissas!$C$16,$A239&lt;EDATE(Premissas!$C$16,3))*Premissas!$C$10/3*(1+Premissas!$C$56)^$C239</f>
        <v>0</v>
      </c>
      <c r="AD239" s="22" t="n">
        <f aca="false">L239-M239-N239-AC239</f>
        <v>2777.2454754634</v>
      </c>
      <c r="AE239" s="22" t="n">
        <f aca="false">AE238+AD239</f>
        <v>43089.7558458207</v>
      </c>
      <c r="AF239" s="22" t="n">
        <f aca="false">IF($A239&gt;=Premissas!$C$18,O239*(1-Premissas!$C$45)-Premissas!$C$46*MAX(0,O239*(1-Premissas!$C$45)-(SUM($AC$5:$AC$355)+Premissas!$C$26*Premissas!$C$60)),"")</f>
        <v>757934.59298371</v>
      </c>
      <c r="AG239" s="22" t="n">
        <f aca="false">IF($A239&gt;=Premissas!$C$18,AE239+AF239,"")</f>
        <v>801024.34882953</v>
      </c>
      <c r="AH239" s="22" t="n">
        <f aca="false">AH238*(1+$P239)-AD239</f>
        <v>923053.957861328</v>
      </c>
      <c r="AI239" s="22" t="n">
        <f aca="false">($A239=Premissas!$C$16)*0.2*Premissas!$C$11+AND($A239&gt;Premissas!$C$16,$A239&lt;=EDATE(Premissas!$C$16,43))*0.8*Premissas!$C$11/43*(1+Premissas!$C$56)^$C239</f>
        <v>0</v>
      </c>
      <c r="AJ239" s="22" t="n">
        <f aca="false">L239-M239-N239-AI239</f>
        <v>2777.2454754634</v>
      </c>
      <c r="AK239" s="22" t="n">
        <f aca="false">AK238+AJ239</f>
        <v>-2774.72957224126</v>
      </c>
      <c r="AL239" s="22" t="n">
        <f aca="false">IF($A239&gt;=Premissas!$C$18,O239*(1-Premissas!$C$45)-Premissas!$C$46*MAX(0,O239*(1-Premissas!$C$45)-(SUM($AI$5:$AI$355)+Premissas!$C$26*Premissas!$C$60)),"")</f>
        <v>764814.265796419</v>
      </c>
      <c r="AM239" s="22" t="n">
        <f aca="false">IF($A239&gt;=Premissas!$C$18,AK239+AL239,"")</f>
        <v>762039.536224178</v>
      </c>
      <c r="AN239" s="22" t="n">
        <f aca="false">AN238*(1+$P239)-AJ239</f>
        <v>946370.933815974</v>
      </c>
      <c r="AO239" s="22" t="n">
        <f aca="false">V239+S239</f>
        <v>822926.983543002</v>
      </c>
    </row>
    <row r="240" customFormat="false" ht="15" hidden="false" customHeight="false" outlineLevel="0" collapsed="false">
      <c r="A240" s="26" t="n">
        <f aca="false">DATE(YEAR(A239),MONTH(A239)+1,1)</f>
        <v>53448</v>
      </c>
      <c r="B240" s="22" t="str">
        <f aca="false">IF($A240&lt;Premissas!$C$18,"Obra",IF($A240&lt;Premissas!$C$20,"Entrega/mobília","Airbnb"))</f>
        <v>Airbnb</v>
      </c>
      <c r="C240" s="36" t="n">
        <f aca="false">(YEAR($A240)-YEAR(Premissas!$C$16))*12+MONTH($A240)-MONTH(Premissas!$C$16)</f>
        <v>235</v>
      </c>
      <c r="D240" s="33" t="n">
        <f aca="false">IF($A240&gt;=Premissas!$C$20,Premissas!$C$31*IF(((YEAR($A240)-YEAR(Premissas!$C$20))*12+MONTH($A240)-MONTH(Premissas!$C$20))&lt;Premissas!$C$33,Premissas!$C$34,1),0)</f>
        <v>0.62</v>
      </c>
      <c r="E240" s="22" t="n">
        <f aca="false">D240*Premissas!$C$30*Premissas!$C$32*(1+Premissas!$C$58)^$C240</f>
        <v>10023.5719969405</v>
      </c>
      <c r="F240" s="22" t="n">
        <f aca="false">E240*Premissas!$C$35</f>
        <v>1603.77151951048</v>
      </c>
      <c r="G240" s="22" t="n">
        <f aca="false">E240*Premissas!$C$36</f>
        <v>2004.7143993881</v>
      </c>
      <c r="H240" s="22" t="n">
        <f aca="false">IF($A240&gt;=Premissas!$C$18,Premissas!$C$37*(1+Premissas!$C$58)^$C240,0)</f>
        <v>1293.36412863749</v>
      </c>
      <c r="I240" s="22" t="n">
        <f aca="false">IF($A240&gt;=Premissas!$C$20,Premissas!$C$38*(1+Premissas!$C$58)^$C240,0)</f>
        <v>603.569926697494</v>
      </c>
      <c r="J240" s="22" t="n">
        <f aca="false">IF($A240&gt;=Premissas!$C$20,Premissas!$C$39*(1+Premissas!$C$58)^$C240,0)</f>
        <v>323.341032159372</v>
      </c>
      <c r="K240" s="22" t="n">
        <f aca="false">IF($A240&gt;=Premissas!$C$20,MAX(0,E240-F240-G240-H240)*Premissas!$C$41,0)</f>
        <v>1408.47353608622</v>
      </c>
      <c r="L240" s="22" t="n">
        <f aca="false">E240-F240-G240-H240-I240-J240-K240</f>
        <v>2786.33745446136</v>
      </c>
      <c r="M240" s="22" t="n">
        <f aca="false">($A240=Premissas!$C$18)*Premissas!$C$26*Premissas!$C$60</f>
        <v>0</v>
      </c>
      <c r="N240" s="22" t="n">
        <f aca="false">IF(AND($A240&gt;=Premissas!$C$18,$A240&lt;Premissas!$C$20),Premissas!$C$27/MAX(1,Premissas!$C$19),0)</f>
        <v>0</v>
      </c>
      <c r="O240" s="22" t="n">
        <f aca="false">IF($A240&gt;=Premissas!$C$18,Premissas!$C$60*(1+Premissas!$C$59)^((YEAR($A240)-YEAR(Premissas!$C$18))*12+MONTH($A240)-MONTH(Premissas!$C$18)),"")</f>
        <v>894973.509340449</v>
      </c>
      <c r="P240" s="31" t="n">
        <f aca="false">(1+IF(YEAR($A240)&lt;=2026,Premissas!$C$49,IF(YEAR($A240)=2027,Premissas!$C$50,IF(YEAR($A240)=2028,Premissas!$C$51,Premissas!$C$52)))*(1-Premissas!$C$53))^(1/12)-1</f>
        <v>0.00682149336596227</v>
      </c>
      <c r="Q240" s="22" t="n">
        <f aca="false">($A240=Premissas!$C$16)*Premissas!$C$13</f>
        <v>0</v>
      </c>
      <c r="R240" s="22" t="n">
        <f aca="false">L240-M240-N240-Q240</f>
        <v>2786.33745446136</v>
      </c>
      <c r="S240" s="22" t="n">
        <f aca="false">S239+R240</f>
        <v>84424.5571803067</v>
      </c>
      <c r="T240" s="22" t="n">
        <f aca="false">IF($A240&gt;=Premissas!$C$18,O240*(1-Premissas!$C$45)-Premissas!$C$46*MAX(0,O240*(1-Premissas!$C$45)-(SUM($Q$5:$Q$355)+Premissas!$C$26*Premissas!$C$60)),"")</f>
        <v>755053.842309765</v>
      </c>
      <c r="U240" s="22" t="n">
        <f aca="false">IF($A240&gt;=Premissas!$C$18,S240+T240,"")</f>
        <v>839478.399490072</v>
      </c>
      <c r="V240" s="22" t="n">
        <f aca="false">V239*(1+$P240)-R240</f>
        <v>743559.122747337</v>
      </c>
      <c r="W240" s="22" t="n">
        <f aca="false">($A240=Premissas!$C$16)*Premissas!$C$9</f>
        <v>0</v>
      </c>
      <c r="X240" s="22" t="n">
        <f aca="false">L240-M240-N240-W240</f>
        <v>2786.33745446136</v>
      </c>
      <c r="Y240" s="22" t="n">
        <f aca="false">Y239+X240</f>
        <v>53496.5571803068</v>
      </c>
      <c r="Z240" s="22" t="n">
        <f aca="false">IF($A240&gt;=Premissas!$C$18,O240*(1-Premissas!$C$45)-Premissas!$C$46*MAX(0,O240*(1-Premissas!$C$45)-(SUM($W$5:$W$355)+Premissas!$C$26*Premissas!$C$60)),"")</f>
        <v>759693.042309765</v>
      </c>
      <c r="AA240" s="22" t="n">
        <f aca="false">IF($A240&gt;=Premissas!$C$18,Y240+Z240,"")</f>
        <v>813189.599490072</v>
      </c>
      <c r="AB240" s="22" t="n">
        <f aca="false">AB239*(1+$P240)-X240</f>
        <v>901403.89236001</v>
      </c>
      <c r="AC240" s="22" t="n">
        <f aca="false">AND($A240&gt;=Premissas!$C$16,$A240&lt;EDATE(Premissas!$C$16,3))*Premissas!$C$10/3*(1+Premissas!$C$56)^$C240</f>
        <v>0</v>
      </c>
      <c r="AD240" s="22" t="n">
        <f aca="false">L240-M240-N240-AC240</f>
        <v>2786.33745446136</v>
      </c>
      <c r="AE240" s="22" t="n">
        <f aca="false">AE239+AD240</f>
        <v>45876.093300282</v>
      </c>
      <c r="AF240" s="22" t="n">
        <f aca="false">IF($A240&gt;=Premissas!$C$18,O240*(1-Premissas!$C$45)-Premissas!$C$46*MAX(0,O240*(1-Premissas!$C$45)-(SUM($AC$5:$AC$355)+Premissas!$C$26*Premissas!$C$60)),"")</f>
        <v>760836.111891769</v>
      </c>
      <c r="AG240" s="22" t="n">
        <f aca="false">IF($A240&gt;=Premissas!$C$18,AE240+AF240,"")</f>
        <v>806712.205192051</v>
      </c>
      <c r="AH240" s="22" t="n">
        <f aca="false">AH239*(1+$P240)-AD240</f>
        <v>926564.226856843</v>
      </c>
      <c r="AI240" s="22" t="n">
        <f aca="false">($A240=Premissas!$C$16)*0.2*Premissas!$C$11+AND($A240&gt;Premissas!$C$16,$A240&lt;=EDATE(Premissas!$C$16,43))*0.8*Premissas!$C$11/43*(1+Premissas!$C$56)^$C240</f>
        <v>0</v>
      </c>
      <c r="AJ240" s="22" t="n">
        <f aca="false">L240-M240-N240-AI240</f>
        <v>2786.33745446136</v>
      </c>
      <c r="AK240" s="22" t="n">
        <f aca="false">AK239+AJ240</f>
        <v>11.6078822200961</v>
      </c>
      <c r="AL240" s="22" t="n">
        <f aca="false">IF($A240&gt;=Premissas!$C$18,O240*(1-Premissas!$C$45)-Premissas!$C$46*MAX(0,O240*(1-Premissas!$C$45)-(SUM($AI$5:$AI$355)+Premissas!$C$26*Premissas!$C$60)),"")</f>
        <v>767715.784704478</v>
      </c>
      <c r="AM240" s="22" t="n">
        <f aca="false">IF($A240&gt;=Premissas!$C$18,AK240+AL240,"")</f>
        <v>767727.392586698</v>
      </c>
      <c r="AN240" s="22" t="n">
        <f aca="false">AN239*(1+$P240)-AJ240</f>
        <v>950040.259408277</v>
      </c>
      <c r="AO240" s="22" t="n">
        <f aca="false">V240+S240</f>
        <v>827983.679927644</v>
      </c>
    </row>
    <row r="241" customFormat="false" ht="15" hidden="false" customHeight="false" outlineLevel="0" collapsed="false">
      <c r="A241" s="26" t="n">
        <f aca="false">DATE(YEAR(A240),MONTH(A240)+1,1)</f>
        <v>53479</v>
      </c>
      <c r="B241" s="22" t="str">
        <f aca="false">IF($A241&lt;Premissas!$C$18,"Obra",IF($A241&lt;Premissas!$C$20,"Entrega/mobília","Airbnb"))</f>
        <v>Airbnb</v>
      </c>
      <c r="C241" s="36" t="n">
        <f aca="false">(YEAR($A241)-YEAR(Premissas!$C$16))*12+MONTH($A241)-MONTH(Premissas!$C$16)</f>
        <v>236</v>
      </c>
      <c r="D241" s="33" t="n">
        <f aca="false">IF($A241&gt;=Premissas!$C$20,Premissas!$C$31*IF(((YEAR($A241)-YEAR(Premissas!$C$20))*12+MONTH($A241)-MONTH(Premissas!$C$20))&lt;Premissas!$C$33,Premissas!$C$34,1),0)</f>
        <v>0.62</v>
      </c>
      <c r="E241" s="22" t="n">
        <f aca="false">D241*Premissas!$C$30*Premissas!$C$32*(1+Premissas!$C$58)^$C241</f>
        <v>10056.3865633466</v>
      </c>
      <c r="F241" s="22" t="n">
        <f aca="false">E241*Premissas!$C$35</f>
        <v>1609.02185013546</v>
      </c>
      <c r="G241" s="22" t="n">
        <f aca="false">E241*Premissas!$C$36</f>
        <v>2011.27731266933</v>
      </c>
      <c r="H241" s="22" t="n">
        <f aca="false">IF($A241&gt;=Premissas!$C$18,Premissas!$C$37*(1+Premissas!$C$58)^$C241,0)</f>
        <v>1297.59826623828</v>
      </c>
      <c r="I241" s="22" t="n">
        <f aca="false">IF($A241&gt;=Premissas!$C$20,Premissas!$C$38*(1+Premissas!$C$58)^$C241,0)</f>
        <v>605.545857577862</v>
      </c>
      <c r="J241" s="22" t="n">
        <f aca="false">IF($A241&gt;=Premissas!$C$20,Premissas!$C$39*(1+Premissas!$C$58)^$C241,0)</f>
        <v>324.399566559569</v>
      </c>
      <c r="K241" s="22" t="n">
        <f aca="false">IF($A241&gt;=Premissas!$C$20,MAX(0,E241-F241-G241-H241)*Premissas!$C$41,0)</f>
        <v>1413.08451193348</v>
      </c>
      <c r="L241" s="22" t="n">
        <f aca="false">E241-F241-G241-H241-I241-J241-K241</f>
        <v>2795.45919823266</v>
      </c>
      <c r="M241" s="22" t="n">
        <f aca="false">($A241=Premissas!$C$18)*Premissas!$C$26*Premissas!$C$60</f>
        <v>0</v>
      </c>
      <c r="N241" s="22" t="n">
        <f aca="false">IF(AND($A241&gt;=Premissas!$C$18,$A241&lt;Premissas!$C$20),Premissas!$C$27/MAX(1,Premissas!$C$19),0)</f>
        <v>0</v>
      </c>
      <c r="O241" s="22" t="n">
        <f aca="false">IF($A241&gt;=Premissas!$C$18,Premissas!$C$60*(1+Premissas!$C$59)^((YEAR($A241)-YEAR(Premissas!$C$18))*12+MONTH($A241)-MONTH(Premissas!$C$18)),"")</f>
        <v>898619.742200589</v>
      </c>
      <c r="P241" s="31" t="n">
        <f aca="false">(1+IF(YEAR($A241)&lt;=2026,Premissas!$C$49,IF(YEAR($A241)=2027,Premissas!$C$50,IF(YEAR($A241)=2028,Premissas!$C$51,Premissas!$C$52)))*(1-Premissas!$C$53))^(1/12)-1</f>
        <v>0.00682149336596227</v>
      </c>
      <c r="Q241" s="22" t="n">
        <f aca="false">($A241=Premissas!$C$16)*Premissas!$C$13</f>
        <v>0</v>
      </c>
      <c r="R241" s="22" t="n">
        <f aca="false">L241-M241-N241-Q241</f>
        <v>2795.45919823266</v>
      </c>
      <c r="S241" s="22" t="n">
        <f aca="false">S240+R241</f>
        <v>87220.0163785394</v>
      </c>
      <c r="T241" s="22" t="n">
        <f aca="false">IF($A241&gt;=Premissas!$C$18,O241*(1-Premissas!$C$45)-Premissas!$C$46*MAX(0,O241*(1-Premissas!$C$45)-(SUM($Q$5:$Q$355)+Premissas!$C$26*Premissas!$C$60)),"")</f>
        <v>757967.182365016</v>
      </c>
      <c r="U241" s="22" t="n">
        <f aca="false">IF($A241&gt;=Premissas!$C$18,S241+T241,"")</f>
        <v>845187.198743556</v>
      </c>
      <c r="V241" s="22" t="n">
        <f aca="false">V240*(1+$P241)-R241</f>
        <v>745835.847172126</v>
      </c>
      <c r="W241" s="22" t="n">
        <f aca="false">($A241=Premissas!$C$16)*Premissas!$C$9</f>
        <v>0</v>
      </c>
      <c r="X241" s="22" t="n">
        <f aca="false">L241-M241-N241-W241</f>
        <v>2795.45919823266</v>
      </c>
      <c r="Y241" s="22" t="n">
        <f aca="false">Y240+X241</f>
        <v>56292.0163785395</v>
      </c>
      <c r="Z241" s="22" t="n">
        <f aca="false">IF($A241&gt;=Premissas!$C$18,O241*(1-Premissas!$C$45)-Premissas!$C$46*MAX(0,O241*(1-Premissas!$C$45)-(SUM($W$5:$W$355)+Premissas!$C$26*Premissas!$C$60)),"")</f>
        <v>762606.382365016</v>
      </c>
      <c r="AA241" s="22" t="n">
        <f aca="false">IF($A241&gt;=Premissas!$C$18,Y241+Z241,"")</f>
        <v>818898.398743556</v>
      </c>
      <c r="AB241" s="22" t="n">
        <f aca="false">AB240*(1+$P241)-X241</f>
        <v>904757.353833564</v>
      </c>
      <c r="AC241" s="22" t="n">
        <f aca="false">AND($A241&gt;=Premissas!$C$16,$A241&lt;EDATE(Premissas!$C$16,3))*Premissas!$C$10/3*(1+Premissas!$C$56)^$C241</f>
        <v>0</v>
      </c>
      <c r="AD241" s="22" t="n">
        <f aca="false">L241-M241-N241-AC241</f>
        <v>2795.45919823266</v>
      </c>
      <c r="AE241" s="22" t="n">
        <f aca="false">AE240+AD241</f>
        <v>48671.5524985147</v>
      </c>
      <c r="AF241" s="22" t="n">
        <f aca="false">IF($A241&gt;=Premissas!$C$18,O241*(1-Premissas!$C$45)-Premissas!$C$46*MAX(0,O241*(1-Premissas!$C$45)-(SUM($AC$5:$AC$355)+Premissas!$C$26*Premissas!$C$60)),"")</f>
        <v>763749.45194702</v>
      </c>
      <c r="AG241" s="22" t="n">
        <f aca="false">IF($A241&gt;=Premissas!$C$18,AE241+AF241,"")</f>
        <v>812421.004445535</v>
      </c>
      <c r="AH241" s="22" t="n">
        <f aca="false">AH240*(1+$P241)-AD241</f>
        <v>930089.319385252</v>
      </c>
      <c r="AI241" s="22" t="n">
        <f aca="false">($A241=Premissas!$C$16)*0.2*Premissas!$C$11+AND($A241&gt;Premissas!$C$16,$A241&lt;=EDATE(Premissas!$C$16,43))*0.8*Premissas!$C$11/43*(1+Premissas!$C$56)^$C241</f>
        <v>0</v>
      </c>
      <c r="AJ241" s="22" t="n">
        <f aca="false">L241-M241-N241-AI241</f>
        <v>2795.45919823266</v>
      </c>
      <c r="AK241" s="22" t="n">
        <f aca="false">AK240+AJ241</f>
        <v>2807.06708045276</v>
      </c>
      <c r="AL241" s="22" t="n">
        <f aca="false">IF($A241&gt;=Premissas!$C$18,O241*(1-Premissas!$C$45)-Premissas!$C$46*MAX(0,O241*(1-Premissas!$C$45)-(SUM($AI$5:$AI$355)+Premissas!$C$26*Premissas!$C$60)),"")</f>
        <v>770629.124759729</v>
      </c>
      <c r="AM241" s="22" t="n">
        <f aca="false">IF($A241&gt;=Premissas!$C$18,AK241+AL241,"")</f>
        <v>773436.191840182</v>
      </c>
      <c r="AN241" s="22" t="n">
        <f aca="false">AN240*(1+$P241)-AJ241</f>
        <v>953725.493536995</v>
      </c>
      <c r="AO241" s="22" t="n">
        <f aca="false">V241+S241</f>
        <v>833055.863550665</v>
      </c>
    </row>
    <row r="242" customFormat="false" ht="15" hidden="false" customHeight="false" outlineLevel="0" collapsed="false">
      <c r="A242" s="26" t="n">
        <f aca="false">DATE(YEAR(A241),MONTH(A241)+1,1)</f>
        <v>53509</v>
      </c>
      <c r="B242" s="22" t="str">
        <f aca="false">IF($A242&lt;Premissas!$C$18,"Obra",IF($A242&lt;Premissas!$C$20,"Entrega/mobília","Airbnb"))</f>
        <v>Airbnb</v>
      </c>
      <c r="C242" s="36" t="n">
        <f aca="false">(YEAR($A242)-YEAR(Premissas!$C$16))*12+MONTH($A242)-MONTH(Premissas!$C$16)</f>
        <v>237</v>
      </c>
      <c r="D242" s="33" t="n">
        <f aca="false">IF($A242&gt;=Premissas!$C$20,Premissas!$C$31*IF(((YEAR($A242)-YEAR(Premissas!$C$20))*12+MONTH($A242)-MONTH(Premissas!$C$20))&lt;Premissas!$C$33,Premissas!$C$34,1),0)</f>
        <v>0.62</v>
      </c>
      <c r="E242" s="22" t="n">
        <f aca="false">D242*Premissas!$C$30*Premissas!$C$32*(1+Premissas!$C$58)^$C242</f>
        <v>10089.3085561042</v>
      </c>
      <c r="F242" s="22" t="n">
        <f aca="false">E242*Premissas!$C$35</f>
        <v>1614.28936897668</v>
      </c>
      <c r="G242" s="22" t="n">
        <f aca="false">E242*Premissas!$C$36</f>
        <v>2017.86171122085</v>
      </c>
      <c r="H242" s="22" t="n">
        <f aca="false">IF($A242&gt;=Premissas!$C$18,Premissas!$C$37*(1+Premissas!$C$58)^$C242,0)</f>
        <v>1301.84626530377</v>
      </c>
      <c r="I242" s="22" t="n">
        <f aca="false">IF($A242&gt;=Premissas!$C$20,Premissas!$C$38*(1+Premissas!$C$58)^$C242,0)</f>
        <v>607.528257141761</v>
      </c>
      <c r="J242" s="22" t="n">
        <f aca="false">IF($A242&gt;=Premissas!$C$20,Premissas!$C$39*(1+Premissas!$C$58)^$C242,0)</f>
        <v>325.461566325943</v>
      </c>
      <c r="K242" s="22" t="n">
        <f aca="false">IF($A242&gt;=Premissas!$C$20,MAX(0,E242-F242-G242-H242)*Premissas!$C$41,0)</f>
        <v>1417.71058291581</v>
      </c>
      <c r="L242" s="22" t="n">
        <f aca="false">E242-F242-G242-H242-I242-J242-K242</f>
        <v>2804.61080421943</v>
      </c>
      <c r="M242" s="22" t="n">
        <f aca="false">($A242=Premissas!$C$18)*Premissas!$C$26*Premissas!$C$60</f>
        <v>0</v>
      </c>
      <c r="N242" s="22" t="n">
        <f aca="false">IF(AND($A242&gt;=Premissas!$C$18,$A242&lt;Premissas!$C$20),Premissas!$C$27/MAX(1,Premissas!$C$19),0)</f>
        <v>0</v>
      </c>
      <c r="O242" s="22" t="n">
        <f aca="false">IF($A242&gt;=Premissas!$C$18,Premissas!$C$60*(1+Premissas!$C$59)^((YEAR($A242)-YEAR(Premissas!$C$18))*12+MONTH($A242)-MONTH(Premissas!$C$18)),"")</f>
        <v>902280.830264744</v>
      </c>
      <c r="P242" s="31" t="n">
        <f aca="false">(1+IF(YEAR($A242)&lt;=2026,Premissas!$C$49,IF(YEAR($A242)=2027,Premissas!$C$50,IF(YEAR($A242)=2028,Premissas!$C$51,Premissas!$C$52)))*(1-Premissas!$C$53))^(1/12)-1</f>
        <v>0.00682149336596227</v>
      </c>
      <c r="Q242" s="22" t="n">
        <f aca="false">($A242=Premissas!$C$16)*Premissas!$C$13</f>
        <v>0</v>
      </c>
      <c r="R242" s="22" t="n">
        <f aca="false">L242-M242-N242-Q242</f>
        <v>2804.61080421943</v>
      </c>
      <c r="S242" s="22" t="n">
        <f aca="false">S241+R242</f>
        <v>90024.6271827588</v>
      </c>
      <c r="T242" s="22" t="n">
        <f aca="false">IF($A242&gt;=Premissas!$C$18,O242*(1-Premissas!$C$45)-Premissas!$C$46*MAX(0,O242*(1-Premissas!$C$45)-(SUM($Q$5:$Q$355)+Premissas!$C$26*Premissas!$C$60)),"")</f>
        <v>760892.391728276</v>
      </c>
      <c r="U242" s="22" t="n">
        <f aca="false">IF($A242&gt;=Premissas!$C$18,S242+T242,"")</f>
        <v>850917.018911035</v>
      </c>
      <c r="V242" s="22" t="n">
        <f aca="false">V241*(1+$P242)-R242</f>
        <v>748118.950651488</v>
      </c>
      <c r="W242" s="22" t="n">
        <f aca="false">($A242=Premissas!$C$16)*Premissas!$C$9</f>
        <v>0</v>
      </c>
      <c r="X242" s="22" t="n">
        <f aca="false">L242-M242-N242-W242</f>
        <v>2804.61080421943</v>
      </c>
      <c r="Y242" s="22" t="n">
        <f aca="false">Y241+X242</f>
        <v>59096.6271827589</v>
      </c>
      <c r="Z242" s="22" t="n">
        <f aca="false">IF($A242&gt;=Premissas!$C$18,O242*(1-Premissas!$C$45)-Premissas!$C$46*MAX(0,O242*(1-Premissas!$C$45)-(SUM($W$5:$W$355)+Premissas!$C$26*Premissas!$C$60)),"")</f>
        <v>765531.591728276</v>
      </c>
      <c r="AA242" s="22" t="n">
        <f aca="false">IF($A242&gt;=Premissas!$C$18,Y242+Z242,"")</f>
        <v>824628.218911035</v>
      </c>
      <c r="AB242" s="22" t="n">
        <f aca="false">AB241*(1+$P242)-X242</f>
        <v>908124.539316326</v>
      </c>
      <c r="AC242" s="22" t="n">
        <f aca="false">AND($A242&gt;=Premissas!$C$16,$A242&lt;EDATE(Premissas!$C$16,3))*Premissas!$C$10/3*(1+Premissas!$C$56)^$C242</f>
        <v>0</v>
      </c>
      <c r="AD242" s="22" t="n">
        <f aca="false">L242-M242-N242-AC242</f>
        <v>2804.61080421943</v>
      </c>
      <c r="AE242" s="22" t="n">
        <f aca="false">AE241+AD242</f>
        <v>51476.1633027341</v>
      </c>
      <c r="AF242" s="22" t="n">
        <f aca="false">IF($A242&gt;=Premissas!$C$18,O242*(1-Premissas!$C$45)-Premissas!$C$46*MAX(0,O242*(1-Premissas!$C$45)-(SUM($AC$5:$AC$355)+Premissas!$C$26*Premissas!$C$60)),"")</f>
        <v>766674.66131028</v>
      </c>
      <c r="AG242" s="22" t="n">
        <f aca="false">IF($A242&gt;=Premissas!$C$18,AE242+AF242,"")</f>
        <v>818150.824613014</v>
      </c>
      <c r="AH242" s="22" t="n">
        <f aca="false">AH241*(1+$P242)-AD242</f>
        <v>933629.306702971</v>
      </c>
      <c r="AI242" s="22" t="n">
        <f aca="false">($A242=Premissas!$C$16)*0.2*Premissas!$C$11+AND($A242&gt;Premissas!$C$16,$A242&lt;=EDATE(Premissas!$C$16,43))*0.8*Premissas!$C$11/43*(1+Premissas!$C$56)^$C242</f>
        <v>0</v>
      </c>
      <c r="AJ242" s="22" t="n">
        <f aca="false">L242-M242-N242-AI242</f>
        <v>2804.61080421943</v>
      </c>
      <c r="AK242" s="22" t="n">
        <f aca="false">AK241+AJ242</f>
        <v>5611.67788467218</v>
      </c>
      <c r="AL242" s="22" t="n">
        <f aca="false">IF($A242&gt;=Premissas!$C$18,O242*(1-Premissas!$C$45)-Premissas!$C$46*MAX(0,O242*(1-Premissas!$C$45)-(SUM($AI$5:$AI$355)+Premissas!$C$26*Premissas!$C$60)),"")</f>
        <v>773554.334122989</v>
      </c>
      <c r="AM242" s="22" t="n">
        <f aca="false">IF($A242&gt;=Premissas!$C$18,AK242+AL242,"")</f>
        <v>779166.012007662</v>
      </c>
      <c r="AN242" s="22" t="n">
        <f aca="false">AN241*(1+$P242)-AJ242</f>
        <v>957426.714859888</v>
      </c>
      <c r="AO242" s="22" t="n">
        <f aca="false">V242+S242</f>
        <v>838143.577834247</v>
      </c>
    </row>
    <row r="243" customFormat="false" ht="15" hidden="false" customHeight="false" outlineLevel="0" collapsed="false">
      <c r="A243" s="26" t="n">
        <f aca="false">DATE(YEAR(A242),MONTH(A242)+1,1)</f>
        <v>53540</v>
      </c>
      <c r="B243" s="22" t="str">
        <f aca="false">IF($A243&lt;Premissas!$C$18,"Obra",IF($A243&lt;Premissas!$C$20,"Entrega/mobília","Airbnb"))</f>
        <v>Airbnb</v>
      </c>
      <c r="C243" s="36" t="n">
        <f aca="false">(YEAR($A243)-YEAR(Premissas!$C$16))*12+MONTH($A243)-MONTH(Premissas!$C$16)</f>
        <v>238</v>
      </c>
      <c r="D243" s="33" t="n">
        <f aca="false">IF($A243&gt;=Premissas!$C$20,Premissas!$C$31*IF(((YEAR($A243)-YEAR(Premissas!$C$20))*12+MONTH($A243)-MONTH(Premissas!$C$20))&lt;Premissas!$C$33,Premissas!$C$34,1),0)</f>
        <v>0.62</v>
      </c>
      <c r="E243" s="22" t="n">
        <f aca="false">D243*Premissas!$C$30*Premissas!$C$32*(1+Premissas!$C$58)^$C243</f>
        <v>10122.3383268992</v>
      </c>
      <c r="F243" s="22" t="n">
        <f aca="false">E243*Premissas!$C$35</f>
        <v>1619.57413230388</v>
      </c>
      <c r="G243" s="22" t="n">
        <f aca="false">E243*Premissas!$C$36</f>
        <v>2024.46766537985</v>
      </c>
      <c r="H243" s="22" t="n">
        <f aca="false">IF($A243&gt;=Premissas!$C$18,Premissas!$C$37*(1+Premissas!$C$58)^$C243,0)</f>
        <v>1306.1081712128</v>
      </c>
      <c r="I243" s="22" t="n">
        <f aca="false">IF($A243&gt;=Premissas!$C$20,Premissas!$C$38*(1+Premissas!$C$58)^$C243,0)</f>
        <v>609.517146565975</v>
      </c>
      <c r="J243" s="22" t="n">
        <f aca="false">IF($A243&gt;=Premissas!$C$20,Premissas!$C$39*(1+Premissas!$C$58)^$C243,0)</f>
        <v>326.527042803201</v>
      </c>
      <c r="K243" s="22" t="n">
        <f aca="false">IF($A243&gt;=Premissas!$C$20,MAX(0,E243-F243-G243-H243)*Premissas!$C$41,0)</f>
        <v>1422.35179845074</v>
      </c>
      <c r="L243" s="22" t="n">
        <f aca="false">E243-F243-G243-H243-I243-J243-K243</f>
        <v>2813.79237018279</v>
      </c>
      <c r="M243" s="22" t="n">
        <f aca="false">($A243=Premissas!$C$18)*Premissas!$C$26*Premissas!$C$60</f>
        <v>0</v>
      </c>
      <c r="N243" s="22" t="n">
        <f aca="false">IF(AND($A243&gt;=Premissas!$C$18,$A243&lt;Premissas!$C$20),Premissas!$C$27/MAX(1,Premissas!$C$19),0)</f>
        <v>0</v>
      </c>
      <c r="O243" s="22" t="n">
        <f aca="false">IF($A243&gt;=Premissas!$C$18,Premissas!$C$60*(1+Premissas!$C$59)^((YEAR($A243)-YEAR(Premissas!$C$18))*12+MONTH($A243)-MONTH(Premissas!$C$18)),"")</f>
        <v>905956.834054855</v>
      </c>
      <c r="P243" s="31" t="n">
        <f aca="false">(1+IF(YEAR($A243)&lt;=2026,Premissas!$C$49,IF(YEAR($A243)=2027,Premissas!$C$50,IF(YEAR($A243)=2028,Premissas!$C$51,Premissas!$C$52)))*(1-Premissas!$C$53))^(1/12)-1</f>
        <v>0.00682149336596227</v>
      </c>
      <c r="Q243" s="22" t="n">
        <f aca="false">($A243=Premissas!$C$16)*Premissas!$C$13</f>
        <v>0</v>
      </c>
      <c r="R243" s="22" t="n">
        <f aca="false">L243-M243-N243-Q243</f>
        <v>2813.79237018279</v>
      </c>
      <c r="S243" s="22" t="n">
        <f aca="false">S242+R243</f>
        <v>92838.4195529416</v>
      </c>
      <c r="T243" s="22" t="n">
        <f aca="false">IF($A243&gt;=Premissas!$C$18,O243*(1-Premissas!$C$45)-Premissas!$C$46*MAX(0,O243*(1-Premissas!$C$45)-(SUM($Q$5:$Q$355)+Premissas!$C$26*Premissas!$C$60)),"")</f>
        <v>763829.518756575</v>
      </c>
      <c r="U243" s="22" t="n">
        <f aca="false">IF($A243&gt;=Premissas!$C$18,S243+T243,"")</f>
        <v>856667.938309517</v>
      </c>
      <c r="V243" s="22" t="n">
        <f aca="false">V242*(1+$P243)-R243</f>
        <v>750408.446740125</v>
      </c>
      <c r="W243" s="22" t="n">
        <f aca="false">($A243=Premissas!$C$16)*Premissas!$C$9</f>
        <v>0</v>
      </c>
      <c r="X243" s="22" t="n">
        <f aca="false">L243-M243-N243-W243</f>
        <v>2813.79237018279</v>
      </c>
      <c r="Y243" s="22" t="n">
        <f aca="false">Y242+X243</f>
        <v>61910.4195529417</v>
      </c>
      <c r="Z243" s="22" t="n">
        <f aca="false">IF($A243&gt;=Premissas!$C$18,O243*(1-Premissas!$C$45)-Premissas!$C$46*MAX(0,O243*(1-Premissas!$C$45)-(SUM($W$5:$W$355)+Premissas!$C$26*Premissas!$C$60)),"")</f>
        <v>768468.718756576</v>
      </c>
      <c r="AA243" s="22" t="n">
        <f aca="false">IF($A243&gt;=Premissas!$C$18,Y243+Z243,"")</f>
        <v>830379.138309517</v>
      </c>
      <c r="AB243" s="22" t="n">
        <f aca="false">AB242*(1+$P243)-X243</f>
        <v>911505.512466557</v>
      </c>
      <c r="AC243" s="22" t="n">
        <f aca="false">AND($A243&gt;=Premissas!$C$16,$A243&lt;EDATE(Premissas!$C$16,3))*Premissas!$C$10/3*(1+Premissas!$C$56)^$C243</f>
        <v>0</v>
      </c>
      <c r="AD243" s="22" t="n">
        <f aca="false">L243-M243-N243-AC243</f>
        <v>2813.79237018279</v>
      </c>
      <c r="AE243" s="22" t="n">
        <f aca="false">AE242+AD243</f>
        <v>54289.9556729169</v>
      </c>
      <c r="AF243" s="22" t="n">
        <f aca="false">IF($A243&gt;=Premissas!$C$18,O243*(1-Premissas!$C$45)-Premissas!$C$46*MAX(0,O243*(1-Premissas!$C$45)-(SUM($AC$5:$AC$355)+Premissas!$C$26*Premissas!$C$60)),"")</f>
        <v>769611.788338579</v>
      </c>
      <c r="AG243" s="22" t="n">
        <f aca="false">IF($A243&gt;=Premissas!$C$18,AE243+AF243,"")</f>
        <v>823901.744011496</v>
      </c>
      <c r="AH243" s="22" t="n">
        <f aca="false">AH242*(1+$P243)-AD243</f>
        <v>937184.260454731</v>
      </c>
      <c r="AI243" s="22" t="n">
        <f aca="false">($A243=Premissas!$C$16)*0.2*Premissas!$C$11+AND($A243&gt;Premissas!$C$16,$A243&lt;=EDATE(Premissas!$C$16,43))*0.8*Premissas!$C$11/43*(1+Premissas!$C$56)^$C243</f>
        <v>0</v>
      </c>
      <c r="AJ243" s="22" t="n">
        <f aca="false">L243-M243-N243-AI243</f>
        <v>2813.79237018279</v>
      </c>
      <c r="AK243" s="22" t="n">
        <f aca="false">AK242+AJ243</f>
        <v>8425.47025485497</v>
      </c>
      <c r="AL243" s="22" t="n">
        <f aca="false">IF($A243&gt;=Premissas!$C$18,O243*(1-Premissas!$C$45)-Premissas!$C$46*MAX(0,O243*(1-Premissas!$C$45)-(SUM($AI$5:$AI$355)+Premissas!$C$26*Premissas!$C$60)),"")</f>
        <v>776491.461151289</v>
      </c>
      <c r="AM243" s="22" t="n">
        <f aca="false">IF($A243&gt;=Premissas!$C$18,AK243+AL243,"")</f>
        <v>784916.931406144</v>
      </c>
      <c r="AN243" s="22" t="n">
        <f aca="false">AN242*(1+$P243)-AJ243</f>
        <v>961144.002473517</v>
      </c>
      <c r="AO243" s="22" t="n">
        <f aca="false">V243+S243</f>
        <v>843246.866293066</v>
      </c>
    </row>
    <row r="244" customFormat="false" ht="15" hidden="false" customHeight="false" outlineLevel="0" collapsed="false">
      <c r="A244" s="26" t="n">
        <f aca="false">DATE(YEAR(A243),MONTH(A243)+1,1)</f>
        <v>53571</v>
      </c>
      <c r="B244" s="22" t="str">
        <f aca="false">IF($A244&lt;Premissas!$C$18,"Obra",IF($A244&lt;Premissas!$C$20,"Entrega/mobília","Airbnb"))</f>
        <v>Airbnb</v>
      </c>
      <c r="C244" s="36" t="n">
        <f aca="false">(YEAR($A244)-YEAR(Premissas!$C$16))*12+MONTH($A244)-MONTH(Premissas!$C$16)</f>
        <v>239</v>
      </c>
      <c r="D244" s="33" t="n">
        <f aca="false">IF($A244&gt;=Premissas!$C$20,Premissas!$C$31*IF(((YEAR($A244)-YEAR(Premissas!$C$20))*12+MONTH($A244)-MONTH(Premissas!$C$20))&lt;Premissas!$C$33,Premissas!$C$34,1),0)</f>
        <v>0.62</v>
      </c>
      <c r="E244" s="22" t="n">
        <f aca="false">D244*Premissas!$C$30*Premissas!$C$32*(1+Premissas!$C$58)^$C244</f>
        <v>10155.4762285689</v>
      </c>
      <c r="F244" s="22" t="n">
        <f aca="false">E244*Premissas!$C$35</f>
        <v>1624.87619657102</v>
      </c>
      <c r="G244" s="22" t="n">
        <f aca="false">E244*Premissas!$C$36</f>
        <v>2031.09524571378</v>
      </c>
      <c r="H244" s="22" t="n">
        <f aca="false">IF($A244&gt;=Premissas!$C$18,Premissas!$C$37*(1+Premissas!$C$58)^$C244,0)</f>
        <v>1310.38402949276</v>
      </c>
      <c r="I244" s="22" t="n">
        <f aca="false">IF($A244&gt;=Premissas!$C$20,Premissas!$C$38*(1+Premissas!$C$58)^$C244,0)</f>
        <v>611.512547096621</v>
      </c>
      <c r="J244" s="22" t="n">
        <f aca="false">IF($A244&gt;=Premissas!$C$20,Premissas!$C$39*(1+Premissas!$C$58)^$C244,0)</f>
        <v>327.59600737319</v>
      </c>
      <c r="K244" s="22" t="n">
        <f aca="false">IF($A244&gt;=Premissas!$C$20,MAX(0,E244-F244-G244-H244)*Premissas!$C$41,0)</f>
        <v>1427.00820811761</v>
      </c>
      <c r="L244" s="22" t="n">
        <f aca="false">E244-F244-G244-H244-I244-J244-K244</f>
        <v>2823.0039942039</v>
      </c>
      <c r="M244" s="22" t="n">
        <f aca="false">($A244=Premissas!$C$18)*Premissas!$C$26*Premissas!$C$60</f>
        <v>0</v>
      </c>
      <c r="N244" s="22" t="n">
        <f aca="false">IF(AND($A244&gt;=Premissas!$C$18,$A244&lt;Premissas!$C$20),Premissas!$C$27/MAX(1,Premissas!$C$19),0)</f>
        <v>0</v>
      </c>
      <c r="O244" s="22" t="n">
        <f aca="false">IF($A244&gt;=Premissas!$C$18,Premissas!$C$60*(1+Premissas!$C$59)^((YEAR($A244)-YEAR(Premissas!$C$18))*12+MONTH($A244)-MONTH(Premissas!$C$18)),"")</f>
        <v>909647.814339437</v>
      </c>
      <c r="P244" s="31" t="n">
        <f aca="false">(1+IF(YEAR($A244)&lt;=2026,Premissas!$C$49,IF(YEAR($A244)=2027,Premissas!$C$50,IF(YEAR($A244)=2028,Premissas!$C$51,Premissas!$C$52)))*(1-Premissas!$C$53))^(1/12)-1</f>
        <v>0.00682149336596227</v>
      </c>
      <c r="Q244" s="22" t="n">
        <f aca="false">($A244=Premissas!$C$16)*Premissas!$C$13</f>
        <v>0</v>
      </c>
      <c r="R244" s="22" t="n">
        <f aca="false">L244-M244-N244-Q244</f>
        <v>2823.0039942039</v>
      </c>
      <c r="S244" s="22" t="n">
        <f aca="false">S243+R244</f>
        <v>95661.4235471455</v>
      </c>
      <c r="T244" s="22" t="n">
        <f aca="false">IF($A244&gt;=Premissas!$C$18,O244*(1-Premissas!$C$45)-Premissas!$C$46*MAX(0,O244*(1-Premissas!$C$45)-(SUM($Q$5:$Q$355)+Premissas!$C$26*Premissas!$C$60)),"")</f>
        <v>766778.612003956</v>
      </c>
      <c r="U244" s="22" t="n">
        <f aca="false">IF($A244&gt;=Premissas!$C$18,S244+T244,"")</f>
        <v>862440.035551102</v>
      </c>
      <c r="V244" s="22" t="n">
        <f aca="false">V243*(1+$P244)-R244</f>
        <v>752704.348987121</v>
      </c>
      <c r="W244" s="22" t="n">
        <f aca="false">($A244=Premissas!$C$16)*Premissas!$C$9</f>
        <v>0</v>
      </c>
      <c r="X244" s="22" t="n">
        <f aca="false">L244-M244-N244-W244</f>
        <v>2823.0039942039</v>
      </c>
      <c r="Y244" s="22" t="n">
        <f aca="false">Y243+X244</f>
        <v>64733.4235471456</v>
      </c>
      <c r="Z244" s="22" t="n">
        <f aca="false">IF($A244&gt;=Premissas!$C$18,O244*(1-Premissas!$C$45)-Premissas!$C$46*MAX(0,O244*(1-Premissas!$C$45)-(SUM($W$5:$W$355)+Premissas!$C$26*Premissas!$C$60)),"")</f>
        <v>771417.812003956</v>
      </c>
      <c r="AA244" s="22" t="n">
        <f aca="false">IF($A244&gt;=Premissas!$C$18,Y244+Z244,"")</f>
        <v>836151.235551102</v>
      </c>
      <c r="AB244" s="22" t="n">
        <f aca="false">AB243*(1+$P244)-X244</f>
        <v>914900.337278682</v>
      </c>
      <c r="AC244" s="22" t="n">
        <f aca="false">AND($A244&gt;=Premissas!$C$16,$A244&lt;EDATE(Premissas!$C$16,3))*Premissas!$C$10/3*(1+Premissas!$C$56)^$C244</f>
        <v>0</v>
      </c>
      <c r="AD244" s="22" t="n">
        <f aca="false">L244-M244-N244-AC244</f>
        <v>2823.0039942039</v>
      </c>
      <c r="AE244" s="22" t="n">
        <f aca="false">AE243+AD244</f>
        <v>57112.9596671208</v>
      </c>
      <c r="AF244" s="22" t="n">
        <f aca="false">IF($A244&gt;=Premissas!$C$18,O244*(1-Premissas!$C$45)-Premissas!$C$46*MAX(0,O244*(1-Premissas!$C$45)-(SUM($AC$5:$AC$355)+Premissas!$C$26*Premissas!$C$60)),"")</f>
        <v>772560.88158596</v>
      </c>
      <c r="AG244" s="22" t="n">
        <f aca="false">IF($A244&gt;=Premissas!$C$18,AE244+AF244,"")</f>
        <v>829673.841253081</v>
      </c>
      <c r="AH244" s="22" t="n">
        <f aca="false">AH243*(1+$P244)-AD244</f>
        <v>940754.252675903</v>
      </c>
      <c r="AI244" s="22" t="n">
        <f aca="false">($A244=Premissas!$C$16)*0.2*Premissas!$C$11+AND($A244&gt;Premissas!$C$16,$A244&lt;=EDATE(Premissas!$C$16,43))*0.8*Premissas!$C$11/43*(1+Premissas!$C$56)^$C244</f>
        <v>0</v>
      </c>
      <c r="AJ244" s="22" t="n">
        <f aca="false">L244-M244-N244-AI244</f>
        <v>2823.0039942039</v>
      </c>
      <c r="AK244" s="22" t="n">
        <f aca="false">AK243+AJ244</f>
        <v>11248.4742490589</v>
      </c>
      <c r="AL244" s="22" t="n">
        <f aca="false">IF($A244&gt;=Premissas!$C$18,O244*(1-Premissas!$C$45)-Premissas!$C$46*MAX(0,O244*(1-Premissas!$C$45)-(SUM($AI$5:$AI$355)+Premissas!$C$26*Premissas!$C$60)),"")</f>
        <v>779440.554398669</v>
      </c>
      <c r="AM244" s="22" t="n">
        <f aca="false">IF($A244&gt;=Premissas!$C$18,AK244+AL244,"")</f>
        <v>790689.028647728</v>
      </c>
      <c r="AN244" s="22" t="n">
        <f aca="false">AN243*(1+$P244)-AJ244</f>
        <v>964877.43591592</v>
      </c>
      <c r="AO244" s="22" t="n">
        <f aca="false">V244+S244</f>
        <v>848365.772534266</v>
      </c>
    </row>
    <row r="245" customFormat="false" ht="15" hidden="false" customHeight="false" outlineLevel="0" collapsed="false">
      <c r="A245" s="26" t="n">
        <f aca="false">DATE(YEAR(A244),MONTH(A244)+1,1)</f>
        <v>53601</v>
      </c>
      <c r="B245" s="22" t="str">
        <f aca="false">IF($A245&lt;Premissas!$C$18,"Obra",IF($A245&lt;Premissas!$C$20,"Entrega/mobília","Airbnb"))</f>
        <v>Airbnb</v>
      </c>
      <c r="C245" s="36" t="n">
        <f aca="false">(YEAR($A245)-YEAR(Premissas!$C$16))*12+MONTH($A245)-MONTH(Premissas!$C$16)</f>
        <v>240</v>
      </c>
      <c r="D245" s="33" t="n">
        <f aca="false">IF($A245&gt;=Premissas!$C$20,Premissas!$C$31*IF(((YEAR($A245)-YEAR(Premissas!$C$20))*12+MONTH($A245)-MONTH(Premissas!$C$20))&lt;Premissas!$C$33,Premissas!$C$34,1),0)</f>
        <v>0.62</v>
      </c>
      <c r="E245" s="22" t="n">
        <f aca="false">D245*Premissas!$C$30*Premissas!$C$32*(1+Premissas!$C$58)^$C245</f>
        <v>10188.7226151055</v>
      </c>
      <c r="F245" s="22" t="n">
        <f aca="false">E245*Premissas!$C$35</f>
        <v>1630.19561841688</v>
      </c>
      <c r="G245" s="22" t="n">
        <f aca="false">E245*Premissas!$C$36</f>
        <v>2037.7445230211</v>
      </c>
      <c r="H245" s="22" t="n">
        <f aca="false">IF($A245&gt;=Premissas!$C$18,Premissas!$C$37*(1+Premissas!$C$58)^$C245,0)</f>
        <v>1314.67388582007</v>
      </c>
      <c r="I245" s="22" t="n">
        <f aca="false">IF($A245&gt;=Premissas!$C$20,Premissas!$C$38*(1+Premissas!$C$58)^$C245,0)</f>
        <v>613.514480049365</v>
      </c>
      <c r="J245" s="22" t="n">
        <f aca="false">IF($A245&gt;=Premissas!$C$20,Premissas!$C$39*(1+Premissas!$C$58)^$C245,0)</f>
        <v>328.668471455017</v>
      </c>
      <c r="K245" s="22" t="n">
        <f aca="false">IF($A245&gt;=Premissas!$C$20,MAX(0,E245-F245-G245-H245)*Premissas!$C$41,0)</f>
        <v>1431.67986165805</v>
      </c>
      <c r="L245" s="22" t="n">
        <f aca="false">E245-F245-G245-H245-I245-J245-K245</f>
        <v>2832.24577468503</v>
      </c>
      <c r="M245" s="22" t="n">
        <f aca="false">($A245=Premissas!$C$18)*Premissas!$C$26*Premissas!$C$60</f>
        <v>0</v>
      </c>
      <c r="N245" s="22" t="n">
        <f aca="false">IF(AND($A245&gt;=Premissas!$C$18,$A245&lt;Premissas!$C$20),Premissas!$C$27/MAX(1,Premissas!$C$19),0)</f>
        <v>0</v>
      </c>
      <c r="O245" s="22" t="n">
        <f aca="false">IF($A245&gt;=Premissas!$C$18,Premissas!$C$60*(1+Premissas!$C$59)^((YEAR($A245)-YEAR(Premissas!$C$18))*12+MONTH($A245)-MONTH(Premissas!$C$18)),"")</f>
        <v>913353.832134581</v>
      </c>
      <c r="P245" s="31" t="n">
        <f aca="false">(1+IF(YEAR($A245)&lt;=2026,Premissas!$C$49,IF(YEAR($A245)=2027,Premissas!$C$50,IF(YEAR($A245)=2028,Premissas!$C$51,Premissas!$C$52)))*(1-Premissas!$C$53))^(1/12)-1</f>
        <v>0.00682149336596227</v>
      </c>
      <c r="Q245" s="22" t="n">
        <f aca="false">($A245=Premissas!$C$16)*Premissas!$C$13</f>
        <v>0</v>
      </c>
      <c r="R245" s="22" t="n">
        <f aca="false">L245-M245-N245-Q245</f>
        <v>2832.24577468503</v>
      </c>
      <c r="S245" s="22" t="n">
        <f aca="false">S244+R245</f>
        <v>98493.6693218305</v>
      </c>
      <c r="T245" s="22" t="n">
        <f aca="false">IF($A245&gt;=Premissas!$C$18,O245*(1-Premissas!$C$45)-Premissas!$C$46*MAX(0,O245*(1-Premissas!$C$45)-(SUM($Q$5:$Q$355)+Premissas!$C$26*Premissas!$C$60)),"")</f>
        <v>769739.720222276</v>
      </c>
      <c r="U245" s="22" t="n">
        <f aca="false">IF($A245&gt;=Premissas!$C$18,S245+T245,"")</f>
        <v>868233.389544107</v>
      </c>
      <c r="V245" s="22" t="n">
        <f aca="false">V244*(1+$P245)-R245</f>
        <v>755006.670935582</v>
      </c>
      <c r="W245" s="22" t="n">
        <f aca="false">($A245=Premissas!$C$16)*Premissas!$C$9</f>
        <v>0</v>
      </c>
      <c r="X245" s="22" t="n">
        <f aca="false">L245-M245-N245-W245</f>
        <v>2832.24577468503</v>
      </c>
      <c r="Y245" s="22" t="n">
        <f aca="false">Y244+X245</f>
        <v>67565.6693218307</v>
      </c>
      <c r="Z245" s="22" t="n">
        <f aca="false">IF($A245&gt;=Premissas!$C$18,O245*(1-Premissas!$C$45)-Premissas!$C$46*MAX(0,O245*(1-Premissas!$C$45)-(SUM($W$5:$W$355)+Premissas!$C$26*Premissas!$C$60)),"")</f>
        <v>774378.920222276</v>
      </c>
      <c r="AA245" s="22" t="n">
        <f aca="false">IF($A245&gt;=Premissas!$C$18,Y245+Z245,"")</f>
        <v>841944.589544107</v>
      </c>
      <c r="AB245" s="22" t="n">
        <f aca="false">AB244*(1+$P245)-X245</f>
        <v>918309.07808526</v>
      </c>
      <c r="AC245" s="22" t="n">
        <f aca="false">AND($A245&gt;=Premissas!$C$16,$A245&lt;EDATE(Premissas!$C$16,3))*Premissas!$C$10/3*(1+Premissas!$C$56)^$C245</f>
        <v>0</v>
      </c>
      <c r="AD245" s="22" t="n">
        <f aca="false">L245-M245-N245-AC245</f>
        <v>2832.24577468503</v>
      </c>
      <c r="AE245" s="22" t="n">
        <f aca="false">AE244+AD245</f>
        <v>59945.2054418058</v>
      </c>
      <c r="AF245" s="22" t="n">
        <f aca="false">IF($A245&gt;=Premissas!$C$18,O245*(1-Premissas!$C$45)-Premissas!$C$46*MAX(0,O245*(1-Premissas!$C$45)-(SUM($AC$5:$AC$355)+Premissas!$C$26*Premissas!$C$60)),"")</f>
        <v>775521.98980428</v>
      </c>
      <c r="AG245" s="22" t="n">
        <f aca="false">IF($A245&gt;=Premissas!$C$18,AE245+AF245,"")</f>
        <v>835467.195246086</v>
      </c>
      <c r="AH245" s="22" t="n">
        <f aca="false">AH244*(1+$P245)-AD245</f>
        <v>944339.355794848</v>
      </c>
      <c r="AI245" s="22" t="n">
        <f aca="false">($A245=Premissas!$C$16)*0.2*Premissas!$C$11+AND($A245&gt;Premissas!$C$16,$A245&lt;=EDATE(Premissas!$C$16,43))*0.8*Premissas!$C$11/43*(1+Premissas!$C$56)^$C245</f>
        <v>0</v>
      </c>
      <c r="AJ245" s="22" t="n">
        <f aca="false">L245-M245-N245-AI245</f>
        <v>2832.24577468503</v>
      </c>
      <c r="AK245" s="22" t="n">
        <f aca="false">AK244+AJ245</f>
        <v>14080.7200237439</v>
      </c>
      <c r="AL245" s="22" t="n">
        <f aca="false">IF($A245&gt;=Premissas!$C$18,O245*(1-Premissas!$C$45)-Premissas!$C$46*MAX(0,O245*(1-Premissas!$C$45)-(SUM($AI$5:$AI$355)+Premissas!$C$26*Premissas!$C$60)),"")</f>
        <v>782401.662616989</v>
      </c>
      <c r="AM245" s="22" t="n">
        <f aca="false">IF($A245&gt;=Premissas!$C$18,AK245+AL245,"")</f>
        <v>796482.382640733</v>
      </c>
      <c r="AN245" s="22" t="n">
        <f aca="false">AN244*(1+$P245)-AJ245</f>
        <v>968627.095169302</v>
      </c>
      <c r="AO245" s="22" t="n">
        <f aca="false">V245+S245</f>
        <v>853500.340257413</v>
      </c>
    </row>
    <row r="246" customFormat="false" ht="15" hidden="false" customHeight="false" outlineLevel="0" collapsed="false">
      <c r="A246" s="26" t="n">
        <f aca="false">DATE(YEAR(A245),MONTH(A245)+1,1)</f>
        <v>53632</v>
      </c>
      <c r="B246" s="22" t="str">
        <f aca="false">IF($A246&lt;Premissas!$C$18,"Obra",IF($A246&lt;Premissas!$C$20,"Entrega/mobília","Airbnb"))</f>
        <v>Airbnb</v>
      </c>
      <c r="C246" s="36" t="n">
        <f aca="false">(YEAR($A246)-YEAR(Premissas!$C$16))*12+MONTH($A246)-MONTH(Premissas!$C$16)</f>
        <v>241</v>
      </c>
      <c r="D246" s="33" t="n">
        <f aca="false">IF($A246&gt;=Premissas!$C$20,Premissas!$C$31*IF(((YEAR($A246)-YEAR(Premissas!$C$20))*12+MONTH($A246)-MONTH(Premissas!$C$20))&lt;Premissas!$C$33,Premissas!$C$34,1),0)</f>
        <v>0.62</v>
      </c>
      <c r="E246" s="22" t="n">
        <f aca="false">D246*Premissas!$C$30*Premissas!$C$32*(1+Premissas!$C$58)^$C246</f>
        <v>10222.0778416604</v>
      </c>
      <c r="F246" s="22" t="n">
        <f aca="false">E246*Premissas!$C$35</f>
        <v>1635.53245466566</v>
      </c>
      <c r="G246" s="22" t="n">
        <f aca="false">E246*Premissas!$C$36</f>
        <v>2044.41556833208</v>
      </c>
      <c r="H246" s="22" t="n">
        <f aca="false">IF($A246&gt;=Premissas!$C$18,Premissas!$C$37*(1+Premissas!$C$58)^$C246,0)</f>
        <v>1318.97778602069</v>
      </c>
      <c r="I246" s="22" t="n">
        <f aca="false">IF($A246&gt;=Premissas!$C$20,Premissas!$C$38*(1+Premissas!$C$58)^$C246,0)</f>
        <v>615.522966809658</v>
      </c>
      <c r="J246" s="22" t="n">
        <f aca="false">IF($A246&gt;=Premissas!$C$20,Premissas!$C$39*(1+Premissas!$C$58)^$C246,0)</f>
        <v>329.744446505174</v>
      </c>
      <c r="K246" s="22" t="n">
        <f aca="false">IF($A246&gt;=Premissas!$C$20,MAX(0,E246-F246-G246-H246)*Premissas!$C$41,0)</f>
        <v>1436.36680897654</v>
      </c>
      <c r="L246" s="22" t="n">
        <f aca="false">E246-F246-G246-H246-I246-J246-K246</f>
        <v>2841.51781035058</v>
      </c>
      <c r="M246" s="22" t="n">
        <f aca="false">($A246=Premissas!$C$18)*Premissas!$C$26*Premissas!$C$60</f>
        <v>0</v>
      </c>
      <c r="N246" s="22" t="n">
        <f aca="false">IF(AND($A246&gt;=Premissas!$C$18,$A246&lt;Premissas!$C$20),Premissas!$C$27/MAX(1,Premissas!$C$19),0)</f>
        <v>0</v>
      </c>
      <c r="O246" s="22" t="n">
        <f aca="false">IF($A246&gt;=Premissas!$C$18,Premissas!$C$60*(1+Premissas!$C$59)^((YEAR($A246)-YEAR(Premissas!$C$18))*12+MONTH($A246)-MONTH(Premissas!$C$18)),"")</f>
        <v>917074.948704967</v>
      </c>
      <c r="P246" s="31" t="n">
        <f aca="false">(1+IF(YEAR($A246)&lt;=2026,Premissas!$C$49,IF(YEAR($A246)=2027,Premissas!$C$50,IF(YEAR($A246)=2028,Premissas!$C$51,Premissas!$C$52)))*(1-Premissas!$C$53))^(1/12)-1</f>
        <v>0.00682149336596227</v>
      </c>
      <c r="Q246" s="22" t="n">
        <f aca="false">($A246=Premissas!$C$16)*Premissas!$C$13</f>
        <v>0</v>
      </c>
      <c r="R246" s="22" t="n">
        <f aca="false">L246-M246-N246-Q246</f>
        <v>2841.51781035058</v>
      </c>
      <c r="S246" s="22" t="n">
        <f aca="false">S245+R246</f>
        <v>101335.187132181</v>
      </c>
      <c r="T246" s="22" t="n">
        <f aca="false">IF($A246&gt;=Premissas!$C$18,O246*(1-Premissas!$C$45)-Premissas!$C$46*MAX(0,O246*(1-Premissas!$C$45)-(SUM($Q$5:$Q$355)+Premissas!$C$26*Premissas!$C$60)),"")</f>
        <v>772712.892362015</v>
      </c>
      <c r="U246" s="22" t="n">
        <f aca="false">IF($A246&gt;=Premissas!$C$18,S246+T246,"")</f>
        <v>874048.079494196</v>
      </c>
      <c r="V246" s="22" t="n">
        <f aca="false">V245*(1+$P246)-R246</f>
        <v>757315.426122276</v>
      </c>
      <c r="W246" s="22" t="n">
        <f aca="false">($A246=Premissas!$C$16)*Premissas!$C$9</f>
        <v>0</v>
      </c>
      <c r="X246" s="22" t="n">
        <f aca="false">L246-M246-N246-W246</f>
        <v>2841.51781035058</v>
      </c>
      <c r="Y246" s="22" t="n">
        <f aca="false">Y245+X246</f>
        <v>70407.1871321812</v>
      </c>
      <c r="Z246" s="22" t="n">
        <f aca="false">IF($A246&gt;=Premissas!$C$18,O246*(1-Premissas!$C$45)-Premissas!$C$46*MAX(0,O246*(1-Premissas!$C$45)-(SUM($W$5:$W$355)+Premissas!$C$26*Premissas!$C$60)),"")</f>
        <v>777352.092362015</v>
      </c>
      <c r="AA246" s="22" t="n">
        <f aca="false">IF($A246&gt;=Premissas!$C$18,Y246+Z246,"")</f>
        <v>847759.279494196</v>
      </c>
      <c r="AB246" s="22" t="n">
        <f aca="false">AB245*(1+$P246)-X246</f>
        <v>921731.79955897</v>
      </c>
      <c r="AC246" s="22" t="n">
        <f aca="false">AND($A246&gt;=Premissas!$C$16,$A246&lt;EDATE(Premissas!$C$16,3))*Premissas!$C$10/3*(1+Premissas!$C$56)^$C246</f>
        <v>0</v>
      </c>
      <c r="AD246" s="22" t="n">
        <f aca="false">L246-M246-N246-AC246</f>
        <v>2841.51781035058</v>
      </c>
      <c r="AE246" s="22" t="n">
        <f aca="false">AE245+AD246</f>
        <v>62786.7232521564</v>
      </c>
      <c r="AF246" s="22" t="n">
        <f aca="false">IF($A246&gt;=Premissas!$C$18,O246*(1-Premissas!$C$45)-Premissas!$C$46*MAX(0,O246*(1-Premissas!$C$45)-(SUM($AC$5:$AC$355)+Premissas!$C$26*Premissas!$C$60)),"")</f>
        <v>778495.161944018</v>
      </c>
      <c r="AG246" s="22" t="n">
        <f aca="false">IF($A246&gt;=Premissas!$C$18,AE246+AF246,"")</f>
        <v>841281.885196175</v>
      </c>
      <c r="AH246" s="22" t="n">
        <f aca="false">AH245*(1+$P246)-AD246</f>
        <v>947939.642635269</v>
      </c>
      <c r="AI246" s="22" t="n">
        <f aca="false">($A246=Premissas!$C$16)*0.2*Premissas!$C$11+AND($A246&gt;Premissas!$C$16,$A246&lt;=EDATE(Premissas!$C$16,43))*0.8*Premissas!$C$11/43*(1+Premissas!$C$56)^$C246</f>
        <v>0</v>
      </c>
      <c r="AJ246" s="22" t="n">
        <f aca="false">L246-M246-N246-AI246</f>
        <v>2841.51781035058</v>
      </c>
      <c r="AK246" s="22" t="n">
        <f aca="false">AK245+AJ246</f>
        <v>16922.2378340945</v>
      </c>
      <c r="AL246" s="22" t="n">
        <f aca="false">IF($A246&gt;=Premissas!$C$18,O246*(1-Premissas!$C$45)-Premissas!$C$46*MAX(0,O246*(1-Premissas!$C$45)-(SUM($AI$5:$AI$355)+Premissas!$C$26*Premissas!$C$60)),"")</f>
        <v>785374.834756728</v>
      </c>
      <c r="AM246" s="22" t="n">
        <f aca="false">IF($A246&gt;=Premissas!$C$18,AK246+AL246,"")</f>
        <v>802297.072590822</v>
      </c>
      <c r="AN246" s="22" t="n">
        <f aca="false">AN245*(1+$P246)-AJ246</f>
        <v>972393.060662741</v>
      </c>
      <c r="AO246" s="22" t="n">
        <f aca="false">V246+S246</f>
        <v>858650.613254457</v>
      </c>
    </row>
    <row r="247" customFormat="false" ht="15" hidden="false" customHeight="false" outlineLevel="0" collapsed="false">
      <c r="A247" s="26" t="n">
        <f aca="false">DATE(YEAR(A246),MONTH(A246)+1,1)</f>
        <v>53662</v>
      </c>
      <c r="B247" s="22" t="str">
        <f aca="false">IF($A247&lt;Premissas!$C$18,"Obra",IF($A247&lt;Premissas!$C$20,"Entrega/mobília","Airbnb"))</f>
        <v>Airbnb</v>
      </c>
      <c r="C247" s="36" t="n">
        <f aca="false">(YEAR($A247)-YEAR(Premissas!$C$16))*12+MONTH($A247)-MONTH(Premissas!$C$16)</f>
        <v>242</v>
      </c>
      <c r="D247" s="33" t="n">
        <f aca="false">IF($A247&gt;=Premissas!$C$20,Premissas!$C$31*IF(((YEAR($A247)-YEAR(Premissas!$C$20))*12+MONTH($A247)-MONTH(Premissas!$C$20))&lt;Premissas!$C$33,Premissas!$C$34,1),0)</f>
        <v>0.62</v>
      </c>
      <c r="E247" s="22" t="n">
        <f aca="false">D247*Premissas!$C$30*Premissas!$C$32*(1+Premissas!$C$58)^$C247</f>
        <v>10255.5422645474</v>
      </c>
      <c r="F247" s="22" t="n">
        <f aca="false">E247*Premissas!$C$35</f>
        <v>1640.88676232758</v>
      </c>
      <c r="G247" s="22" t="n">
        <f aca="false">E247*Premissas!$C$36</f>
        <v>2051.10845290947</v>
      </c>
      <c r="H247" s="22" t="n">
        <f aca="false">IF($A247&gt;=Premissas!$C$18,Premissas!$C$37*(1+Premissas!$C$58)^$C247,0)</f>
        <v>1323.29577607063</v>
      </c>
      <c r="I247" s="22" t="n">
        <f aca="false">IF($A247&gt;=Premissas!$C$20,Premissas!$C$38*(1+Premissas!$C$58)^$C247,0)</f>
        <v>617.538028832959</v>
      </c>
      <c r="J247" s="22" t="n">
        <f aca="false">IF($A247&gt;=Premissas!$C$20,Premissas!$C$39*(1+Premissas!$C$58)^$C247,0)</f>
        <v>330.823944017657</v>
      </c>
      <c r="K247" s="22" t="n">
        <f aca="false">IF($A247&gt;=Premissas!$C$20,MAX(0,E247-F247-G247-H247)*Premissas!$C$41,0)</f>
        <v>1441.06910014091</v>
      </c>
      <c r="L247" s="22" t="n">
        <f aca="false">E247-F247-G247-H247-I247-J247-K247</f>
        <v>2850.82020024815</v>
      </c>
      <c r="M247" s="22" t="n">
        <f aca="false">($A247=Premissas!$C$18)*Premissas!$C$26*Premissas!$C$60</f>
        <v>0</v>
      </c>
      <c r="N247" s="22" t="n">
        <f aca="false">IF(AND($A247&gt;=Premissas!$C$18,$A247&lt;Premissas!$C$20),Premissas!$C$27/MAX(1,Premissas!$C$19),0)</f>
        <v>0</v>
      </c>
      <c r="O247" s="22" t="n">
        <f aca="false">IF($A247&gt;=Premissas!$C$18,Premissas!$C$60*(1+Premissas!$C$59)^((YEAR($A247)-YEAR(Premissas!$C$18))*12+MONTH($A247)-MONTH(Premissas!$C$18)),"")</f>
        <v>920811.225564874</v>
      </c>
      <c r="P247" s="31" t="n">
        <f aca="false">(1+IF(YEAR($A247)&lt;=2026,Premissas!$C$49,IF(YEAR($A247)=2027,Premissas!$C$50,IF(YEAR($A247)=2028,Premissas!$C$51,Premissas!$C$52)))*(1-Premissas!$C$53))^(1/12)-1</f>
        <v>0.00682149336596227</v>
      </c>
      <c r="Q247" s="22" t="n">
        <f aca="false">($A247=Premissas!$C$16)*Premissas!$C$13</f>
        <v>0</v>
      </c>
      <c r="R247" s="22" t="n">
        <f aca="false">L247-M247-N247-Q247</f>
        <v>2850.82020024815</v>
      </c>
      <c r="S247" s="22" t="n">
        <f aca="false">S246+R247</f>
        <v>104186.007332429</v>
      </c>
      <c r="T247" s="22" t="n">
        <f aca="false">IF($A247&gt;=Premissas!$C$18,O247*(1-Premissas!$C$45)-Premissas!$C$46*MAX(0,O247*(1-Premissas!$C$45)-(SUM($Q$5:$Q$355)+Premissas!$C$26*Premissas!$C$60)),"")</f>
        <v>775698.17757308</v>
      </c>
      <c r="U247" s="22" t="n">
        <f aca="false">IF($A247&gt;=Premissas!$C$18,S247+T247,"")</f>
        <v>879884.18490551</v>
      </c>
      <c r="V247" s="22" t="n">
        <f aca="false">V246*(1+$P247)-R247</f>
        <v>759630.628077262</v>
      </c>
      <c r="W247" s="22" t="n">
        <f aca="false">($A247=Premissas!$C$16)*Premissas!$C$9</f>
        <v>0</v>
      </c>
      <c r="X247" s="22" t="n">
        <f aca="false">L247-M247-N247-W247</f>
        <v>2850.82020024815</v>
      </c>
      <c r="Y247" s="22" t="n">
        <f aca="false">Y246+X247</f>
        <v>73258.0073324294</v>
      </c>
      <c r="Z247" s="22" t="n">
        <f aca="false">IF($A247&gt;=Premissas!$C$18,O247*(1-Premissas!$C$45)-Premissas!$C$46*MAX(0,O247*(1-Premissas!$C$45)-(SUM($W$5:$W$355)+Premissas!$C$26*Premissas!$C$60)),"")</f>
        <v>780337.37757308</v>
      </c>
      <c r="AA247" s="22" t="n">
        <f aca="false">IF($A247&gt;=Premissas!$C$18,Y247+Z247,"")</f>
        <v>853595.38490551</v>
      </c>
      <c r="AB247" s="22" t="n">
        <f aca="false">AB246*(1+$P247)-X247</f>
        <v>925168.56671461</v>
      </c>
      <c r="AC247" s="22" t="n">
        <f aca="false">AND($A247&gt;=Premissas!$C$16,$A247&lt;EDATE(Premissas!$C$16,3))*Premissas!$C$10/3*(1+Premissas!$C$56)^$C247</f>
        <v>0</v>
      </c>
      <c r="AD247" s="22" t="n">
        <f aca="false">L247-M247-N247-AC247</f>
        <v>2850.82020024815</v>
      </c>
      <c r="AE247" s="22" t="n">
        <f aca="false">AE246+AD247</f>
        <v>65637.5434524046</v>
      </c>
      <c r="AF247" s="22" t="n">
        <f aca="false">IF($A247&gt;=Premissas!$C$18,O247*(1-Premissas!$C$45)-Premissas!$C$46*MAX(0,O247*(1-Premissas!$C$45)-(SUM($AC$5:$AC$355)+Premissas!$C$26*Premissas!$C$60)),"")</f>
        <v>781480.447155084</v>
      </c>
      <c r="AG247" s="22" t="n">
        <f aca="false">IF($A247&gt;=Premissas!$C$18,AE247+AF247,"")</f>
        <v>847117.990607489</v>
      </c>
      <c r="AH247" s="22" t="n">
        <f aca="false">AH246*(1+$P247)-AD247</f>
        <v>951555.18641859</v>
      </c>
      <c r="AI247" s="22" t="n">
        <f aca="false">($A247=Premissas!$C$16)*0.2*Premissas!$C$11+AND($A247&gt;Premissas!$C$16,$A247&lt;=EDATE(Premissas!$C$16,43))*0.8*Premissas!$C$11/43*(1+Premissas!$C$56)^$C247</f>
        <v>0</v>
      </c>
      <c r="AJ247" s="22" t="n">
        <f aca="false">L247-M247-N247-AI247</f>
        <v>2850.82020024815</v>
      </c>
      <c r="AK247" s="22" t="n">
        <f aca="false">AK246+AJ247</f>
        <v>19773.0580343426</v>
      </c>
      <c r="AL247" s="22" t="n">
        <f aca="false">IF($A247&gt;=Premissas!$C$18,O247*(1-Premissas!$C$45)-Premissas!$C$46*MAX(0,O247*(1-Premissas!$C$45)-(SUM($AI$5:$AI$355)+Premissas!$C$26*Premissas!$C$60)),"")</f>
        <v>788360.119967793</v>
      </c>
      <c r="AM247" s="22" t="n">
        <f aca="false">IF($A247&gt;=Premissas!$C$18,AK247+AL247,"")</f>
        <v>808133.178002136</v>
      </c>
      <c r="AN247" s="22" t="n">
        <f aca="false">AN246*(1+$P247)-AJ247</f>
        <v>976175.413274911</v>
      </c>
      <c r="AO247" s="22" t="n">
        <f aca="false">V247+S247</f>
        <v>863816.635409691</v>
      </c>
    </row>
    <row r="248" customFormat="false" ht="15" hidden="false" customHeight="false" outlineLevel="0" collapsed="false">
      <c r="A248" s="26" t="n">
        <f aca="false">DATE(YEAR(A247),MONTH(A247)+1,1)</f>
        <v>53693</v>
      </c>
      <c r="B248" s="22" t="str">
        <f aca="false">IF($A248&lt;Premissas!$C$18,"Obra",IF($A248&lt;Premissas!$C$20,"Entrega/mobília","Airbnb"))</f>
        <v>Airbnb</v>
      </c>
      <c r="C248" s="36" t="n">
        <f aca="false">(YEAR($A248)-YEAR(Premissas!$C$16))*12+MONTH($A248)-MONTH(Premissas!$C$16)</f>
        <v>243</v>
      </c>
      <c r="D248" s="33" t="n">
        <f aca="false">IF($A248&gt;=Premissas!$C$20,Premissas!$C$31*IF(((YEAR($A248)-YEAR(Premissas!$C$20))*12+MONTH($A248)-MONTH(Premissas!$C$20))&lt;Premissas!$C$33,Premissas!$C$34,1),0)</f>
        <v>0.62</v>
      </c>
      <c r="E248" s="22" t="n">
        <f aca="false">D248*Premissas!$C$30*Premissas!$C$32*(1+Premissas!$C$58)^$C248</f>
        <v>10289.1162412468</v>
      </c>
      <c r="F248" s="22" t="n">
        <f aca="false">E248*Premissas!$C$35</f>
        <v>1646.25859859949</v>
      </c>
      <c r="G248" s="22" t="n">
        <f aca="false">E248*Premissas!$C$36</f>
        <v>2057.82324824937</v>
      </c>
      <c r="H248" s="22" t="n">
        <f aca="false">IF($A248&gt;=Premissas!$C$18,Premissas!$C$37*(1+Premissas!$C$58)^$C248,0)</f>
        <v>1327.62790209637</v>
      </c>
      <c r="I248" s="22" t="n">
        <f aca="false">IF($A248&gt;=Premissas!$C$20,Premissas!$C$38*(1+Premissas!$C$58)^$C248,0)</f>
        <v>619.559687644971</v>
      </c>
      <c r="J248" s="22" t="n">
        <f aca="false">IF($A248&gt;=Premissas!$C$20,Premissas!$C$39*(1+Premissas!$C$58)^$C248,0)</f>
        <v>331.906975524091</v>
      </c>
      <c r="K248" s="22" t="n">
        <f aca="false">IF($A248&gt;=Premissas!$C$20,MAX(0,E248-F248-G248-H248)*Premissas!$C$41,0)</f>
        <v>1445.78678538294</v>
      </c>
      <c r="L248" s="22" t="n">
        <f aca="false">E248-F248-G248-H248-I248-J248-K248</f>
        <v>2860.1530437496</v>
      </c>
      <c r="M248" s="22" t="n">
        <f aca="false">($A248=Premissas!$C$18)*Premissas!$C$26*Premissas!$C$60</f>
        <v>0</v>
      </c>
      <c r="N248" s="22" t="n">
        <f aca="false">IF(AND($A248&gt;=Premissas!$C$18,$A248&lt;Premissas!$C$20),Premissas!$C$27/MAX(1,Premissas!$C$19),0)</f>
        <v>0</v>
      </c>
      <c r="O248" s="22" t="n">
        <f aca="false">IF($A248&gt;=Premissas!$C$18,Premissas!$C$60*(1+Premissas!$C$59)^((YEAR($A248)-YEAR(Premissas!$C$18))*12+MONTH($A248)-MONTH(Premissas!$C$18)),"")</f>
        <v>924562.724479198</v>
      </c>
      <c r="P248" s="31" t="n">
        <f aca="false">(1+IF(YEAR($A248)&lt;=2026,Premissas!$C$49,IF(YEAR($A248)=2027,Premissas!$C$50,IF(YEAR($A248)=2028,Premissas!$C$51,Premissas!$C$52)))*(1-Premissas!$C$53))^(1/12)-1</f>
        <v>0.00682149336596227</v>
      </c>
      <c r="Q248" s="22" t="n">
        <f aca="false">($A248=Premissas!$C$16)*Premissas!$C$13</f>
        <v>0</v>
      </c>
      <c r="R248" s="22" t="n">
        <f aca="false">L248-M248-N248-Q248</f>
        <v>2860.1530437496</v>
      </c>
      <c r="S248" s="22" t="n">
        <f aca="false">S247+R248</f>
        <v>107046.160376179</v>
      </c>
      <c r="T248" s="22" t="n">
        <f aca="false">IF($A248&gt;=Premissas!$C$18,O248*(1-Premissas!$C$45)-Premissas!$C$46*MAX(0,O248*(1-Premissas!$C$45)-(SUM($Q$5:$Q$355)+Premissas!$C$26*Premissas!$C$60)),"")</f>
        <v>778695.625205625</v>
      </c>
      <c r="U248" s="22" t="n">
        <f aca="false">IF($A248&gt;=Premissas!$C$18,S248+T248,"")</f>
        <v>885741.785581804</v>
      </c>
      <c r="V248" s="22" t="n">
        <f aca="false">V247*(1+$P248)-R248</f>
        <v>761952.290323523</v>
      </c>
      <c r="W248" s="22" t="n">
        <f aca="false">($A248=Premissas!$C$16)*Premissas!$C$9</f>
        <v>0</v>
      </c>
      <c r="X248" s="22" t="n">
        <f aca="false">L248-M248-N248-W248</f>
        <v>2860.1530437496</v>
      </c>
      <c r="Y248" s="22" t="n">
        <f aca="false">Y247+X248</f>
        <v>76118.160376179</v>
      </c>
      <c r="Z248" s="22" t="n">
        <f aca="false">IF($A248&gt;=Premissas!$C$18,O248*(1-Premissas!$C$45)-Premissas!$C$46*MAX(0,O248*(1-Premissas!$C$45)-(SUM($W$5:$W$355)+Premissas!$C$26*Premissas!$C$60)),"")</f>
        <v>783334.825205625</v>
      </c>
      <c r="AA248" s="22" t="n">
        <f aca="false">IF($A248&gt;=Premissas!$C$18,Y248+Z248,"")</f>
        <v>859452.985581804</v>
      </c>
      <c r="AB248" s="22" t="n">
        <f aca="false">AB247*(1+$P248)-X248</f>
        <v>928619.444911101</v>
      </c>
      <c r="AC248" s="22" t="n">
        <f aca="false">AND($A248&gt;=Premissas!$C$16,$A248&lt;EDATE(Premissas!$C$16,3))*Premissas!$C$10/3*(1+Premissas!$C$56)^$C248</f>
        <v>0</v>
      </c>
      <c r="AD248" s="22" t="n">
        <f aca="false">L248-M248-N248-AC248</f>
        <v>2860.1530437496</v>
      </c>
      <c r="AE248" s="22" t="n">
        <f aca="false">AE247+AD248</f>
        <v>68497.6964961542</v>
      </c>
      <c r="AF248" s="22" t="n">
        <f aca="false">IF($A248&gt;=Premissas!$C$18,O248*(1-Premissas!$C$45)-Premissas!$C$46*MAX(0,O248*(1-Premissas!$C$45)-(SUM($AC$5:$AC$355)+Premissas!$C$26*Premissas!$C$60)),"")</f>
        <v>784477.894787629</v>
      </c>
      <c r="AG248" s="22" t="n">
        <f aca="false">IF($A248&gt;=Premissas!$C$18,AE248+AF248,"")</f>
        <v>852975.591283783</v>
      </c>
      <c r="AH248" s="22" t="n">
        <f aca="false">AH247*(1+$P248)-AD248</f>
        <v>955186.060766341</v>
      </c>
      <c r="AI248" s="22" t="n">
        <f aca="false">($A248=Premissas!$C$16)*0.2*Premissas!$C$11+AND($A248&gt;Premissas!$C$16,$A248&lt;=EDATE(Premissas!$C$16,43))*0.8*Premissas!$C$11/43*(1+Premissas!$C$56)^$C248</f>
        <v>0</v>
      </c>
      <c r="AJ248" s="22" t="n">
        <f aca="false">L248-M248-N248-AI248</f>
        <v>2860.1530437496</v>
      </c>
      <c r="AK248" s="22" t="n">
        <f aca="false">AK247+AJ248</f>
        <v>22633.2110780922</v>
      </c>
      <c r="AL248" s="22" t="n">
        <f aca="false">IF($A248&gt;=Premissas!$C$18,O248*(1-Premissas!$C$45)-Premissas!$C$46*MAX(0,O248*(1-Premissas!$C$45)-(SUM($AI$5:$AI$355)+Premissas!$C$26*Premissas!$C$60)),"")</f>
        <v>791357.567600339</v>
      </c>
      <c r="AM248" s="22" t="n">
        <f aca="false">IF($A248&gt;=Premissas!$C$18,AK248+AL248,"")</f>
        <v>813990.778678431</v>
      </c>
      <c r="AN248" s="22" t="n">
        <f aca="false">AN247*(1+$P248)-AJ248</f>
        <v>979974.234336832</v>
      </c>
      <c r="AO248" s="22" t="n">
        <f aca="false">V248+S248</f>
        <v>868998.450699702</v>
      </c>
    </row>
    <row r="249" customFormat="false" ht="15" hidden="false" customHeight="false" outlineLevel="0" collapsed="false">
      <c r="A249" s="26" t="n">
        <f aca="false">DATE(YEAR(A248),MONTH(A248)+1,1)</f>
        <v>53724</v>
      </c>
      <c r="B249" s="22" t="str">
        <f aca="false">IF($A249&lt;Premissas!$C$18,"Obra",IF($A249&lt;Premissas!$C$20,"Entrega/mobília","Airbnb"))</f>
        <v>Airbnb</v>
      </c>
      <c r="C249" s="36" t="n">
        <f aca="false">(YEAR($A249)-YEAR(Premissas!$C$16))*12+MONTH($A249)-MONTH(Premissas!$C$16)</f>
        <v>244</v>
      </c>
      <c r="D249" s="33" t="n">
        <f aca="false">IF($A249&gt;=Premissas!$C$20,Premissas!$C$31*IF(((YEAR($A249)-YEAR(Premissas!$C$20))*12+MONTH($A249)-MONTH(Premissas!$C$20))&lt;Premissas!$C$33,Premissas!$C$34,1),0)</f>
        <v>0.62</v>
      </c>
      <c r="E249" s="22" t="n">
        <f aca="false">D249*Premissas!$C$30*Premissas!$C$32*(1+Premissas!$C$58)^$C249</f>
        <v>10322.8001304095</v>
      </c>
      <c r="F249" s="22" t="n">
        <f aca="false">E249*Premissas!$C$35</f>
        <v>1651.64802086552</v>
      </c>
      <c r="G249" s="22" t="n">
        <f aca="false">E249*Premissas!$C$36</f>
        <v>2064.56002608189</v>
      </c>
      <c r="H249" s="22" t="n">
        <f aca="false">IF($A249&gt;=Premissas!$C$18,Premissas!$C$37*(1+Premissas!$C$58)^$C249,0)</f>
        <v>1331.97421037542</v>
      </c>
      <c r="I249" s="22" t="n">
        <f aca="false">IF($A249&gt;=Premissas!$C$20,Premissas!$C$38*(1+Premissas!$C$58)^$C249,0)</f>
        <v>621.587964841861</v>
      </c>
      <c r="J249" s="22" t="n">
        <f aca="false">IF($A249&gt;=Premissas!$C$20,Premissas!$C$39*(1+Premissas!$C$58)^$C249,0)</f>
        <v>332.993552593854</v>
      </c>
      <c r="K249" s="22" t="n">
        <f aca="false">IF($A249&gt;=Premissas!$C$20,MAX(0,E249-F249-G249-H249)*Premissas!$C$41,0)</f>
        <v>1450.51991509883</v>
      </c>
      <c r="L249" s="22" t="n">
        <f aca="false">E249-F249-G249-H249-I249-J249-K249</f>
        <v>2869.5164405521</v>
      </c>
      <c r="M249" s="22" t="n">
        <f aca="false">($A249=Premissas!$C$18)*Premissas!$C$26*Premissas!$C$60</f>
        <v>0</v>
      </c>
      <c r="N249" s="22" t="n">
        <f aca="false">IF(AND($A249&gt;=Premissas!$C$18,$A249&lt;Premissas!$C$20),Premissas!$C$27/MAX(1,Premissas!$C$19),0)</f>
        <v>0</v>
      </c>
      <c r="O249" s="22" t="n">
        <f aca="false">IF($A249&gt;=Premissas!$C$18,Premissas!$C$60*(1+Premissas!$C$59)^((YEAR($A249)-YEAR(Premissas!$C$18))*12+MONTH($A249)-MONTH(Premissas!$C$18)),"")</f>
        <v>928329.507464474</v>
      </c>
      <c r="P249" s="31" t="n">
        <f aca="false">(1+IF(YEAR($A249)&lt;=2026,Premissas!$C$49,IF(YEAR($A249)=2027,Premissas!$C$50,IF(YEAR($A249)=2028,Premissas!$C$51,Premissas!$C$52)))*(1-Premissas!$C$53))^(1/12)-1</f>
        <v>0.00682149336596227</v>
      </c>
      <c r="Q249" s="22" t="n">
        <f aca="false">($A249=Premissas!$C$16)*Premissas!$C$13</f>
        <v>0</v>
      </c>
      <c r="R249" s="22" t="n">
        <f aca="false">L249-M249-N249-Q249</f>
        <v>2869.5164405521</v>
      </c>
      <c r="S249" s="22" t="n">
        <f aca="false">S248+R249</f>
        <v>109915.676816731</v>
      </c>
      <c r="T249" s="22" t="n">
        <f aca="false">IF($A249&gt;=Premissas!$C$18,O249*(1-Premissas!$C$45)-Premissas!$C$46*MAX(0,O249*(1-Premissas!$C$45)-(SUM($Q$5:$Q$355)+Premissas!$C$26*Premissas!$C$60)),"")</f>
        <v>781705.28481086</v>
      </c>
      <c r="U249" s="22" t="n">
        <f aca="false">IF($A249&gt;=Premissas!$C$18,S249+T249,"")</f>
        <v>891620.961627591</v>
      </c>
      <c r="V249" s="22" t="n">
        <f aca="false">V248*(1+$P249)-R249</f>
        <v>764280.426376593</v>
      </c>
      <c r="W249" s="22" t="n">
        <f aca="false">($A249=Premissas!$C$16)*Premissas!$C$9</f>
        <v>0</v>
      </c>
      <c r="X249" s="22" t="n">
        <f aca="false">L249-M249-N249-W249</f>
        <v>2869.5164405521</v>
      </c>
      <c r="Y249" s="22" t="n">
        <f aca="false">Y248+X249</f>
        <v>78987.6768167311</v>
      </c>
      <c r="Z249" s="22" t="n">
        <f aca="false">IF($A249&gt;=Premissas!$C$18,O249*(1-Premissas!$C$45)-Premissas!$C$46*MAX(0,O249*(1-Premissas!$C$45)-(SUM($W$5:$W$355)+Premissas!$C$26*Premissas!$C$60)),"")</f>
        <v>786344.48481086</v>
      </c>
      <c r="AA249" s="22" t="n">
        <f aca="false">IF($A249&gt;=Premissas!$C$18,Y249+Z249,"")</f>
        <v>865332.161627592</v>
      </c>
      <c r="AB249" s="22" t="n">
        <f aca="false">AB248*(1+$P249)-X249</f>
        <v>932084.499853514</v>
      </c>
      <c r="AC249" s="22" t="n">
        <f aca="false">AND($A249&gt;=Premissas!$C$16,$A249&lt;EDATE(Premissas!$C$16,3))*Premissas!$C$10/3*(1+Premissas!$C$56)^$C249</f>
        <v>0</v>
      </c>
      <c r="AD249" s="22" t="n">
        <f aca="false">L249-M249-N249-AC249</f>
        <v>2869.5164405521</v>
      </c>
      <c r="AE249" s="22" t="n">
        <f aca="false">AE248+AD249</f>
        <v>71367.2129367063</v>
      </c>
      <c r="AF249" s="22" t="n">
        <f aca="false">IF($A249&gt;=Premissas!$C$18,O249*(1-Premissas!$C$45)-Premissas!$C$46*MAX(0,O249*(1-Premissas!$C$45)-(SUM($AC$5:$AC$355)+Premissas!$C$26*Premissas!$C$60)),"")</f>
        <v>787487.554392864</v>
      </c>
      <c r="AG249" s="22" t="n">
        <f aca="false">IF($A249&gt;=Premissas!$C$18,AE249+AF249,"")</f>
        <v>858854.76732957</v>
      </c>
      <c r="AH249" s="22" t="n">
        <f aca="false">AH248*(1+$P249)-AD249</f>
        <v>958832.339702566</v>
      </c>
      <c r="AI249" s="22" t="n">
        <f aca="false">($A249=Premissas!$C$16)*0.2*Premissas!$C$11+AND($A249&gt;Premissas!$C$16,$A249&lt;=EDATE(Premissas!$C$16,43))*0.8*Premissas!$C$11/43*(1+Premissas!$C$56)^$C249</f>
        <v>0</v>
      </c>
      <c r="AJ249" s="22" t="n">
        <f aca="false">L249-M249-N249-AI249</f>
        <v>2869.5164405521</v>
      </c>
      <c r="AK249" s="22" t="n">
        <f aca="false">AK248+AJ249</f>
        <v>25502.7275186443</v>
      </c>
      <c r="AL249" s="22" t="n">
        <f aca="false">IF($A249&gt;=Premissas!$C$18,O249*(1-Premissas!$C$45)-Premissas!$C$46*MAX(0,O249*(1-Premissas!$C$45)-(SUM($AI$5:$AI$355)+Premissas!$C$26*Premissas!$C$60)),"")</f>
        <v>794367.227205573</v>
      </c>
      <c r="AM249" s="22" t="n">
        <f aca="false">IF($A249&gt;=Premissas!$C$18,AK249+AL249,"")</f>
        <v>819869.954724218</v>
      </c>
      <c r="AN249" s="22" t="n">
        <f aca="false">AN248*(1+$P249)-AJ249</f>
        <v>983789.605634622</v>
      </c>
      <c r="AO249" s="22" t="n">
        <f aca="false">V249+S249</f>
        <v>874196.103193324</v>
      </c>
    </row>
    <row r="250" customFormat="false" ht="15" hidden="false" customHeight="false" outlineLevel="0" collapsed="false">
      <c r="A250" s="26" t="n">
        <f aca="false">DATE(YEAR(A249),MONTH(A249)+1,1)</f>
        <v>53752</v>
      </c>
      <c r="B250" s="22" t="str">
        <f aca="false">IF($A250&lt;Premissas!$C$18,"Obra",IF($A250&lt;Premissas!$C$20,"Entrega/mobília","Airbnb"))</f>
        <v>Airbnb</v>
      </c>
      <c r="C250" s="36" t="n">
        <f aca="false">(YEAR($A250)-YEAR(Premissas!$C$16))*12+MONTH($A250)-MONTH(Premissas!$C$16)</f>
        <v>245</v>
      </c>
      <c r="D250" s="33" t="n">
        <f aca="false">IF($A250&gt;=Premissas!$C$20,Premissas!$C$31*IF(((YEAR($A250)-YEAR(Premissas!$C$20))*12+MONTH($A250)-MONTH(Premissas!$C$20))&lt;Premissas!$C$33,Premissas!$C$34,1),0)</f>
        <v>0.62</v>
      </c>
      <c r="E250" s="22" t="n">
        <f aca="false">D250*Premissas!$C$30*Premissas!$C$32*(1+Premissas!$C$58)^$C250</f>
        <v>10356.5942918601</v>
      </c>
      <c r="F250" s="22" t="n">
        <f aca="false">E250*Premissas!$C$35</f>
        <v>1657.05508669761</v>
      </c>
      <c r="G250" s="22" t="n">
        <f aca="false">E250*Premissas!$C$36</f>
        <v>2071.31885837202</v>
      </c>
      <c r="H250" s="22" t="n">
        <f aca="false">IF($A250&gt;=Premissas!$C$18,Premissas!$C$37*(1+Premissas!$C$58)^$C250,0)</f>
        <v>1336.33474733678</v>
      </c>
      <c r="I250" s="22" t="n">
        <f aca="false">IF($A250&gt;=Premissas!$C$20,Premissas!$C$38*(1+Premissas!$C$58)^$C250,0)</f>
        <v>623.6228820905</v>
      </c>
      <c r="J250" s="22" t="n">
        <f aca="false">IF($A250&gt;=Premissas!$C$20,Premissas!$C$39*(1+Premissas!$C$58)^$C250,0)</f>
        <v>334.083686834196</v>
      </c>
      <c r="K250" s="22" t="n">
        <f aca="false">IF($A250&gt;=Premissas!$C$20,MAX(0,E250-F250-G250-H250)*Premissas!$C$41,0)</f>
        <v>1455.26853984976</v>
      </c>
      <c r="L250" s="22" t="n">
        <f aca="false">E250-F250-G250-H250-I250-J250-K250</f>
        <v>2878.91049067921</v>
      </c>
      <c r="M250" s="22" t="n">
        <f aca="false">($A250=Premissas!$C$18)*Premissas!$C$26*Premissas!$C$60</f>
        <v>0</v>
      </c>
      <c r="N250" s="22" t="n">
        <f aca="false">IF(AND($A250&gt;=Premissas!$C$18,$A250&lt;Premissas!$C$20),Premissas!$C$27/MAX(1,Premissas!$C$19),0)</f>
        <v>0</v>
      </c>
      <c r="O250" s="22" t="n">
        <f aca="false">IF($A250&gt;=Premissas!$C$18,Premissas!$C$60*(1+Premissas!$C$59)^((YEAR($A250)-YEAR(Premissas!$C$18))*12+MONTH($A250)-MONTH(Premissas!$C$18)),"")</f>
        <v>932111.636789897</v>
      </c>
      <c r="P250" s="31" t="n">
        <f aca="false">(1+IF(YEAR($A250)&lt;=2026,Premissas!$C$49,IF(YEAR($A250)=2027,Premissas!$C$50,IF(YEAR($A250)=2028,Premissas!$C$51,Premissas!$C$52)))*(1-Premissas!$C$53))^(1/12)-1</f>
        <v>0.00682149336596227</v>
      </c>
      <c r="Q250" s="22" t="n">
        <f aca="false">($A250=Premissas!$C$16)*Premissas!$C$13</f>
        <v>0</v>
      </c>
      <c r="R250" s="22" t="n">
        <f aca="false">L250-M250-N250-Q250</f>
        <v>2878.91049067921</v>
      </c>
      <c r="S250" s="22" t="n">
        <f aca="false">S249+R250</f>
        <v>112794.58730741</v>
      </c>
      <c r="T250" s="22" t="n">
        <f aca="false">IF($A250&gt;=Premissas!$C$18,O250*(1-Premissas!$C$45)-Premissas!$C$46*MAX(0,O250*(1-Premissas!$C$45)-(SUM($Q$5:$Q$355)+Premissas!$C$26*Premissas!$C$60)),"")</f>
        <v>784727.206141874</v>
      </c>
      <c r="U250" s="22" t="n">
        <f aca="false">IF($A250&gt;=Premissas!$C$18,S250+T250,"")</f>
        <v>897521.793449284</v>
      </c>
      <c r="V250" s="22" t="n">
        <f aca="false">V249*(1+$P250)-R250</f>
        <v>766615.049744176</v>
      </c>
      <c r="W250" s="22" t="n">
        <f aca="false">($A250=Premissas!$C$16)*Premissas!$C$9</f>
        <v>0</v>
      </c>
      <c r="X250" s="22" t="n">
        <f aca="false">L250-M250-N250-W250</f>
        <v>2878.91049067921</v>
      </c>
      <c r="Y250" s="22" t="n">
        <f aca="false">Y249+X250</f>
        <v>81866.5873074103</v>
      </c>
      <c r="Z250" s="22" t="n">
        <f aca="false">IF($A250&gt;=Premissas!$C$18,O250*(1-Premissas!$C$45)-Premissas!$C$46*MAX(0,O250*(1-Premissas!$C$45)-(SUM($W$5:$W$355)+Premissas!$C$26*Premissas!$C$60)),"")</f>
        <v>789366.406141874</v>
      </c>
      <c r="AA250" s="22" t="n">
        <f aca="false">IF($A250&gt;=Premissas!$C$18,Y250+Z250,"")</f>
        <v>871232.993449284</v>
      </c>
      <c r="AB250" s="22" t="n">
        <f aca="false">AB249*(1+$P250)-X250</f>
        <v>935563.797595102</v>
      </c>
      <c r="AC250" s="22" t="n">
        <f aca="false">AND($A250&gt;=Premissas!$C$16,$A250&lt;EDATE(Premissas!$C$16,3))*Premissas!$C$10/3*(1+Premissas!$C$56)^$C250</f>
        <v>0</v>
      </c>
      <c r="AD250" s="22" t="n">
        <f aca="false">L250-M250-N250-AC250</f>
        <v>2878.91049067921</v>
      </c>
      <c r="AE250" s="22" t="n">
        <f aca="false">AE249+AD250</f>
        <v>74246.1234273855</v>
      </c>
      <c r="AF250" s="22" t="n">
        <f aca="false">IF($A250&gt;=Premissas!$C$18,O250*(1-Premissas!$C$45)-Premissas!$C$46*MAX(0,O250*(1-Premissas!$C$45)-(SUM($AC$5:$AC$355)+Premissas!$C$26*Premissas!$C$60)),"")</f>
        <v>790509.475723878</v>
      </c>
      <c r="AG250" s="22" t="n">
        <f aca="false">IF($A250&gt;=Premissas!$C$18,AE250+AF250,"")</f>
        <v>864755.599151263</v>
      </c>
      <c r="AH250" s="22" t="n">
        <f aca="false">AH249*(1+$P250)-AD250</f>
        <v>962494.097656238</v>
      </c>
      <c r="AI250" s="22" t="n">
        <f aca="false">($A250=Premissas!$C$16)*0.2*Premissas!$C$11+AND($A250&gt;Premissas!$C$16,$A250&lt;=EDATE(Premissas!$C$16,43))*0.8*Premissas!$C$11/43*(1+Premissas!$C$56)^$C250</f>
        <v>0</v>
      </c>
      <c r="AJ250" s="22" t="n">
        <f aca="false">L250-M250-N250-AI250</f>
        <v>2878.91049067921</v>
      </c>
      <c r="AK250" s="22" t="n">
        <f aca="false">AK249+AJ250</f>
        <v>28381.6380093236</v>
      </c>
      <c r="AL250" s="22" t="n">
        <f aca="false">IF($A250&gt;=Premissas!$C$18,O250*(1-Premissas!$C$45)-Premissas!$C$46*MAX(0,O250*(1-Premissas!$C$45)-(SUM($AI$5:$AI$355)+Premissas!$C$26*Premissas!$C$60)),"")</f>
        <v>797389.148536587</v>
      </c>
      <c r="AM250" s="22" t="n">
        <f aca="false">IF($A250&gt;=Premissas!$C$18,AK250+AL250,"")</f>
        <v>825770.78654591</v>
      </c>
      <c r="AN250" s="22" t="n">
        <f aca="false">AN249*(1+$P250)-AJ250</f>
        <v>987621.609412282</v>
      </c>
      <c r="AO250" s="22" t="n">
        <f aca="false">V250+S250</f>
        <v>879409.637051586</v>
      </c>
    </row>
    <row r="251" customFormat="false" ht="15" hidden="false" customHeight="false" outlineLevel="0" collapsed="false">
      <c r="A251" s="26" t="n">
        <f aca="false">DATE(YEAR(A250),MONTH(A250)+1,1)</f>
        <v>53783</v>
      </c>
      <c r="B251" s="22" t="str">
        <f aca="false">IF($A251&lt;Premissas!$C$18,"Obra",IF($A251&lt;Premissas!$C$20,"Entrega/mobília","Airbnb"))</f>
        <v>Airbnb</v>
      </c>
      <c r="C251" s="36" t="n">
        <f aca="false">(YEAR($A251)-YEAR(Premissas!$C$16))*12+MONTH($A251)-MONTH(Premissas!$C$16)</f>
        <v>246</v>
      </c>
      <c r="D251" s="33" t="n">
        <f aca="false">IF($A251&gt;=Premissas!$C$20,Premissas!$C$31*IF(((YEAR($A251)-YEAR(Premissas!$C$20))*12+MONTH($A251)-MONTH(Premissas!$C$20))&lt;Premissas!$C$33,Premissas!$C$34,1),0)</f>
        <v>0.62</v>
      </c>
      <c r="E251" s="22" t="n">
        <f aca="false">D251*Premissas!$C$30*Premissas!$C$32*(1+Premissas!$C$58)^$C251</f>
        <v>10390.4990866014</v>
      </c>
      <c r="F251" s="22" t="n">
        <f aca="false">E251*Premissas!$C$35</f>
        <v>1662.47985385623</v>
      </c>
      <c r="G251" s="22" t="n">
        <f aca="false">E251*Premissas!$C$36</f>
        <v>2078.09981732029</v>
      </c>
      <c r="H251" s="22" t="n">
        <f aca="false">IF($A251&gt;=Premissas!$C$18,Premissas!$C$37*(1+Premissas!$C$58)^$C251,0)</f>
        <v>1340.70955956148</v>
      </c>
      <c r="I251" s="22" t="n">
        <f aca="false">IF($A251&gt;=Premissas!$C$20,Premissas!$C$38*(1+Premissas!$C$58)^$C251,0)</f>
        <v>625.664461128689</v>
      </c>
      <c r="J251" s="22" t="n">
        <f aca="false">IF($A251&gt;=Premissas!$C$20,Premissas!$C$39*(1+Premissas!$C$58)^$C251,0)</f>
        <v>335.177389890369</v>
      </c>
      <c r="K251" s="22" t="n">
        <f aca="false">IF($A251&gt;=Premissas!$C$20,MAX(0,E251-F251-G251-H251)*Premissas!$C$41,0)</f>
        <v>1460.03271036245</v>
      </c>
      <c r="L251" s="22" t="n">
        <f aca="false">E251-F251-G251-H251-I251-J251-K251</f>
        <v>2888.33529448194</v>
      </c>
      <c r="M251" s="22" t="n">
        <f aca="false">($A251=Premissas!$C$18)*Premissas!$C$26*Premissas!$C$60</f>
        <v>0</v>
      </c>
      <c r="N251" s="22" t="n">
        <f aca="false">IF(AND($A251&gt;=Premissas!$C$18,$A251&lt;Premissas!$C$20),Premissas!$C$27/MAX(1,Premissas!$C$19),0)</f>
        <v>0</v>
      </c>
      <c r="O251" s="22" t="n">
        <f aca="false">IF($A251&gt;=Premissas!$C$18,Premissas!$C$60*(1+Premissas!$C$59)^((YEAR($A251)-YEAR(Premissas!$C$18))*12+MONTH($A251)-MONTH(Premissas!$C$18)),"")</f>
        <v>935909.174978358</v>
      </c>
      <c r="P251" s="31" t="n">
        <f aca="false">(1+IF(YEAR($A251)&lt;=2026,Premissas!$C$49,IF(YEAR($A251)=2027,Premissas!$C$50,IF(YEAR($A251)=2028,Premissas!$C$51,Premissas!$C$52)))*(1-Premissas!$C$53))^(1/12)-1</f>
        <v>0.00682149336596227</v>
      </c>
      <c r="Q251" s="22" t="n">
        <f aca="false">($A251=Premissas!$C$16)*Premissas!$C$13</f>
        <v>0</v>
      </c>
      <c r="R251" s="22" t="n">
        <f aca="false">L251-M251-N251-Q251</f>
        <v>2888.33529448194</v>
      </c>
      <c r="S251" s="22" t="n">
        <f aca="false">S250+R251</f>
        <v>115682.922601892</v>
      </c>
      <c r="T251" s="22" t="n">
        <f aca="false">IF($A251&gt;=Premissas!$C$18,O251*(1-Premissas!$C$45)-Premissas!$C$46*MAX(0,O251*(1-Premissas!$C$45)-(SUM($Q$5:$Q$355)+Premissas!$C$26*Premissas!$C$60)),"")</f>
        <v>787761.439154455</v>
      </c>
      <c r="U251" s="22" t="n">
        <f aca="false">IF($A251&gt;=Premissas!$C$18,S251+T251,"")</f>
        <v>903444.361756347</v>
      </c>
      <c r="V251" s="22" t="n">
        <f aca="false">V250*(1+$P251)-R251</f>
        <v>768956.173925771</v>
      </c>
      <c r="W251" s="22" t="n">
        <f aca="false">($A251=Premissas!$C$16)*Premissas!$C$9</f>
        <v>0</v>
      </c>
      <c r="X251" s="22" t="n">
        <f aca="false">L251-M251-N251-W251</f>
        <v>2888.33529448194</v>
      </c>
      <c r="Y251" s="22" t="n">
        <f aca="false">Y250+X251</f>
        <v>84754.9226018922</v>
      </c>
      <c r="Z251" s="22" t="n">
        <f aca="false">IF($A251&gt;=Premissas!$C$18,O251*(1-Premissas!$C$45)-Premissas!$C$46*MAX(0,O251*(1-Premissas!$C$45)-(SUM($W$5:$W$355)+Premissas!$C$26*Premissas!$C$60)),"")</f>
        <v>792400.639154455</v>
      </c>
      <c r="AA251" s="22" t="n">
        <f aca="false">IF($A251&gt;=Premissas!$C$18,Y251+Z251,"")</f>
        <v>877155.561756347</v>
      </c>
      <c r="AB251" s="22" t="n">
        <f aca="false">AB250*(1+$P251)-X251</f>
        <v>939057.404539349</v>
      </c>
      <c r="AC251" s="22" t="n">
        <f aca="false">AND($A251&gt;=Premissas!$C$16,$A251&lt;EDATE(Premissas!$C$16,3))*Premissas!$C$10/3*(1+Premissas!$C$56)^$C251</f>
        <v>0</v>
      </c>
      <c r="AD251" s="22" t="n">
        <f aca="false">L251-M251-N251-AC251</f>
        <v>2888.33529448194</v>
      </c>
      <c r="AE251" s="22" t="n">
        <f aca="false">AE250+AD251</f>
        <v>77134.4587218674</v>
      </c>
      <c r="AF251" s="22" t="n">
        <f aca="false">IF($A251&gt;=Premissas!$C$18,O251*(1-Premissas!$C$45)-Premissas!$C$46*MAX(0,O251*(1-Premissas!$C$45)-(SUM($AC$5:$AC$355)+Premissas!$C$26*Premissas!$C$60)),"")</f>
        <v>793543.708736458</v>
      </c>
      <c r="AG251" s="22" t="n">
        <f aca="false">IF($A251&gt;=Premissas!$C$18,AE251+AF251,"")</f>
        <v>870678.167458326</v>
      </c>
      <c r="AH251" s="22" t="n">
        <f aca="false">AH250*(1+$P251)-AD251</f>
        <v>966171.409463696</v>
      </c>
      <c r="AI251" s="22" t="n">
        <f aca="false">($A251=Premissas!$C$16)*0.2*Premissas!$C$11+AND($A251&gt;Premissas!$C$16,$A251&lt;=EDATE(Premissas!$C$16,43))*0.8*Premissas!$C$11/43*(1+Premissas!$C$56)^$C251</f>
        <v>0</v>
      </c>
      <c r="AJ251" s="22" t="n">
        <f aca="false">L251-M251-N251-AI251</f>
        <v>2888.33529448194</v>
      </c>
      <c r="AK251" s="22" t="n">
        <f aca="false">AK250+AJ251</f>
        <v>31269.9733038055</v>
      </c>
      <c r="AL251" s="22" t="n">
        <f aca="false">IF($A251&gt;=Premissas!$C$18,O251*(1-Premissas!$C$45)-Premissas!$C$46*MAX(0,O251*(1-Premissas!$C$45)-(SUM($AI$5:$AI$355)+Premissas!$C$26*Premissas!$C$60)),"")</f>
        <v>800423.381549167</v>
      </c>
      <c r="AM251" s="22" t="n">
        <f aca="false">IF($A251&gt;=Premissas!$C$18,AK251+AL251,"")</f>
        <v>831693.354852973</v>
      </c>
      <c r="AN251" s="22" t="n">
        <f aca="false">AN250*(1+$P251)-AJ251</f>
        <v>991470.328374487</v>
      </c>
      <c r="AO251" s="22" t="n">
        <f aca="false">V251+S251</f>
        <v>884639.096527663</v>
      </c>
    </row>
    <row r="252" customFormat="false" ht="15" hidden="false" customHeight="false" outlineLevel="0" collapsed="false">
      <c r="A252" s="26" t="n">
        <f aca="false">DATE(YEAR(A251),MONTH(A251)+1,1)</f>
        <v>53813</v>
      </c>
      <c r="B252" s="22" t="str">
        <f aca="false">IF($A252&lt;Premissas!$C$18,"Obra",IF($A252&lt;Premissas!$C$20,"Entrega/mobília","Airbnb"))</f>
        <v>Airbnb</v>
      </c>
      <c r="C252" s="36" t="n">
        <f aca="false">(YEAR($A252)-YEAR(Premissas!$C$16))*12+MONTH($A252)-MONTH(Premissas!$C$16)</f>
        <v>247</v>
      </c>
      <c r="D252" s="33" t="n">
        <f aca="false">IF($A252&gt;=Premissas!$C$20,Premissas!$C$31*IF(((YEAR($A252)-YEAR(Premissas!$C$20))*12+MONTH($A252)-MONTH(Premissas!$C$20))&lt;Premissas!$C$33,Premissas!$C$34,1),0)</f>
        <v>0.62</v>
      </c>
      <c r="E252" s="22" t="n">
        <f aca="false">D252*Premissas!$C$30*Premissas!$C$32*(1+Premissas!$C$58)^$C252</f>
        <v>10424.5148768181</v>
      </c>
      <c r="F252" s="22" t="n">
        <f aca="false">E252*Premissas!$C$35</f>
        <v>1667.9223802909</v>
      </c>
      <c r="G252" s="22" t="n">
        <f aca="false">E252*Premissas!$C$36</f>
        <v>2084.90297536363</v>
      </c>
      <c r="H252" s="22" t="n">
        <f aca="false">IF($A252&gt;=Premissas!$C$18,Premissas!$C$37*(1+Premissas!$C$58)^$C252,0)</f>
        <v>1345.09869378299</v>
      </c>
      <c r="I252" s="22" t="n">
        <f aca="false">IF($A252&gt;=Premissas!$C$20,Premissas!$C$38*(1+Premissas!$C$58)^$C252,0)</f>
        <v>627.712723765394</v>
      </c>
      <c r="J252" s="22" t="n">
        <f aca="false">IF($A252&gt;=Premissas!$C$20,Premissas!$C$39*(1+Premissas!$C$58)^$C252,0)</f>
        <v>336.274673445747</v>
      </c>
      <c r="K252" s="22" t="n">
        <f aca="false">IF($A252&gt;=Premissas!$C$20,MAX(0,E252-F252-G252-H252)*Premissas!$C$41,0)</f>
        <v>1464.81247752967</v>
      </c>
      <c r="L252" s="22" t="n">
        <f aca="false">E252-F252-G252-H252-I252-J252-K252</f>
        <v>2897.79095263981</v>
      </c>
      <c r="M252" s="22" t="n">
        <f aca="false">($A252=Premissas!$C$18)*Premissas!$C$26*Premissas!$C$60</f>
        <v>0</v>
      </c>
      <c r="N252" s="22" t="n">
        <f aca="false">IF(AND($A252&gt;=Premissas!$C$18,$A252&lt;Premissas!$C$20),Premissas!$C$27/MAX(1,Premissas!$C$19),0)</f>
        <v>0</v>
      </c>
      <c r="O252" s="22" t="n">
        <f aca="false">IF($A252&gt;=Premissas!$C$18,Premissas!$C$60*(1+Premissas!$C$59)^((YEAR($A252)-YEAR(Premissas!$C$18))*12+MONTH($A252)-MONTH(Premissas!$C$18)),"")</f>
        <v>939722.184807472</v>
      </c>
      <c r="P252" s="31" t="n">
        <f aca="false">(1+IF(YEAR($A252)&lt;=2026,Premissas!$C$49,IF(YEAR($A252)=2027,Premissas!$C$50,IF(YEAR($A252)=2028,Premissas!$C$51,Premissas!$C$52)))*(1-Premissas!$C$53))^(1/12)-1</f>
        <v>0.00682149336596227</v>
      </c>
      <c r="Q252" s="22" t="n">
        <f aca="false">($A252=Premissas!$C$16)*Premissas!$C$13</f>
        <v>0</v>
      </c>
      <c r="R252" s="22" t="n">
        <f aca="false">L252-M252-N252-Q252</f>
        <v>2897.79095263981</v>
      </c>
      <c r="S252" s="22" t="n">
        <f aca="false">S251+R252</f>
        <v>118580.713554532</v>
      </c>
      <c r="T252" s="22" t="n">
        <f aca="false">IF($A252&gt;=Premissas!$C$18,O252*(1-Premissas!$C$45)-Premissas!$C$46*MAX(0,O252*(1-Premissas!$C$45)-(SUM($Q$5:$Q$355)+Premissas!$C$26*Premissas!$C$60)),"")</f>
        <v>790808.034007917</v>
      </c>
      <c r="U252" s="22" t="n">
        <f aca="false">IF($A252&gt;=Premissas!$C$18,S252+T252,"")</f>
        <v>909388.747562448</v>
      </c>
      <c r="V252" s="22" t="n">
        <f aca="false">V251*(1+$P252)-R252</f>
        <v>771303.812412282</v>
      </c>
      <c r="W252" s="22" t="n">
        <f aca="false">($A252=Premissas!$C$16)*Premissas!$C$9</f>
        <v>0</v>
      </c>
      <c r="X252" s="22" t="n">
        <f aca="false">L252-M252-N252-W252</f>
        <v>2897.79095263981</v>
      </c>
      <c r="Y252" s="22" t="n">
        <f aca="false">Y251+X252</f>
        <v>87652.7135545321</v>
      </c>
      <c r="Z252" s="22" t="n">
        <f aca="false">IF($A252&gt;=Premissas!$C$18,O252*(1-Premissas!$C$45)-Premissas!$C$46*MAX(0,O252*(1-Premissas!$C$45)-(SUM($W$5:$W$355)+Premissas!$C$26*Premissas!$C$60)),"")</f>
        <v>795447.234007916</v>
      </c>
      <c r="AA252" s="22" t="n">
        <f aca="false">IF($A252&gt;=Premissas!$C$18,Y252+Z252,"")</f>
        <v>883099.947562448</v>
      </c>
      <c r="AB252" s="22" t="n">
        <f aca="false">AB251*(1+$P252)-X252</f>
        <v>942565.387442032</v>
      </c>
      <c r="AC252" s="22" t="n">
        <f aca="false">AND($A252&gt;=Premissas!$C$16,$A252&lt;EDATE(Premissas!$C$16,3))*Premissas!$C$10/3*(1+Premissas!$C$56)^$C252</f>
        <v>0</v>
      </c>
      <c r="AD252" s="22" t="n">
        <f aca="false">L252-M252-N252-AC252</f>
        <v>2897.79095263981</v>
      </c>
      <c r="AE252" s="22" t="n">
        <f aca="false">AE251+AD252</f>
        <v>80032.2496745072</v>
      </c>
      <c r="AF252" s="22" t="n">
        <f aca="false">IF($A252&gt;=Premissas!$C$18,O252*(1-Premissas!$C$45)-Premissas!$C$46*MAX(0,O252*(1-Premissas!$C$45)-(SUM($AC$5:$AC$355)+Premissas!$C$26*Premissas!$C$60)),"")</f>
        <v>796590.30358992</v>
      </c>
      <c r="AG252" s="22" t="n">
        <f aca="false">IF($A252&gt;=Premissas!$C$18,AE252+AF252,"")</f>
        <v>876622.553264427</v>
      </c>
      <c r="AH252" s="22" t="n">
        <f aca="false">AH251*(1+$P252)-AD252</f>
        <v>969864.350371096</v>
      </c>
      <c r="AI252" s="22" t="n">
        <f aca="false">($A252=Premissas!$C$16)*0.2*Premissas!$C$11+AND($A252&gt;Premissas!$C$16,$A252&lt;=EDATE(Premissas!$C$16,43))*0.8*Premissas!$C$11/43*(1+Premissas!$C$56)^$C252</f>
        <v>0</v>
      </c>
      <c r="AJ252" s="22" t="n">
        <f aca="false">L252-M252-N252-AI252</f>
        <v>2897.79095263981</v>
      </c>
      <c r="AK252" s="22" t="n">
        <f aca="false">AK251+AJ252</f>
        <v>34167.7642564453</v>
      </c>
      <c r="AL252" s="22" t="n">
        <f aca="false">IF($A252&gt;=Premissas!$C$18,O252*(1-Premissas!$C$45)-Premissas!$C$46*MAX(0,O252*(1-Premissas!$C$45)-(SUM($AI$5:$AI$355)+Premissas!$C$26*Premissas!$C$60)),"")</f>
        <v>803469.976402629</v>
      </c>
      <c r="AM252" s="22" t="n">
        <f aca="false">IF($A252&gt;=Premissas!$C$18,AK252+AL252,"")</f>
        <v>837637.740659075</v>
      </c>
      <c r="AN252" s="22" t="n">
        <f aca="false">AN251*(1+$P252)-AJ252</f>
        <v>995335.845689402</v>
      </c>
      <c r="AO252" s="22" t="n">
        <f aca="false">V252+S252</f>
        <v>889884.525966814</v>
      </c>
    </row>
    <row r="253" customFormat="false" ht="15" hidden="false" customHeight="false" outlineLevel="0" collapsed="false">
      <c r="A253" s="26" t="n">
        <f aca="false">DATE(YEAR(A252),MONTH(A252)+1,1)</f>
        <v>53844</v>
      </c>
      <c r="B253" s="22" t="str">
        <f aca="false">IF($A253&lt;Premissas!$C$18,"Obra",IF($A253&lt;Premissas!$C$20,"Entrega/mobília","Airbnb"))</f>
        <v>Airbnb</v>
      </c>
      <c r="C253" s="36" t="n">
        <f aca="false">(YEAR($A253)-YEAR(Premissas!$C$16))*12+MONTH($A253)-MONTH(Premissas!$C$16)</f>
        <v>248</v>
      </c>
      <c r="D253" s="33" t="n">
        <f aca="false">IF($A253&gt;=Premissas!$C$20,Premissas!$C$31*IF(((YEAR($A253)-YEAR(Premissas!$C$20))*12+MONTH($A253)-MONTH(Premissas!$C$20))&lt;Premissas!$C$33,Premissas!$C$34,1),0)</f>
        <v>0.62</v>
      </c>
      <c r="E253" s="22" t="n">
        <f aca="false">D253*Premissas!$C$30*Premissas!$C$32*(1+Premissas!$C$58)^$C253</f>
        <v>10458.6420258805</v>
      </c>
      <c r="F253" s="22" t="n">
        <f aca="false">E253*Premissas!$C$35</f>
        <v>1673.38272414088</v>
      </c>
      <c r="G253" s="22" t="n">
        <f aca="false">E253*Premissas!$C$36</f>
        <v>2091.7284051761</v>
      </c>
      <c r="H253" s="22" t="n">
        <f aca="false">IF($A253&gt;=Premissas!$C$18,Premissas!$C$37*(1+Premissas!$C$58)^$C253,0)</f>
        <v>1349.50219688781</v>
      </c>
      <c r="I253" s="22" t="n">
        <f aca="false">IF($A253&gt;=Premissas!$C$20,Premissas!$C$38*(1+Premissas!$C$58)^$C253,0)</f>
        <v>629.767691880977</v>
      </c>
      <c r="J253" s="22" t="n">
        <f aca="false">IF($A253&gt;=Premissas!$C$20,Premissas!$C$39*(1+Premissas!$C$58)^$C253,0)</f>
        <v>337.375549221952</v>
      </c>
      <c r="K253" s="22" t="n">
        <f aca="false">IF($A253&gt;=Premissas!$C$20,MAX(0,E253-F253-G253-H253)*Premissas!$C$41,0)</f>
        <v>1469.60789241082</v>
      </c>
      <c r="L253" s="22" t="n">
        <f aca="false">E253-F253-G253-H253-I253-J253-K253</f>
        <v>2907.27756616197</v>
      </c>
      <c r="M253" s="22" t="n">
        <f aca="false">($A253=Premissas!$C$18)*Premissas!$C$26*Premissas!$C$60</f>
        <v>0</v>
      </c>
      <c r="N253" s="22" t="n">
        <f aca="false">IF(AND($A253&gt;=Premissas!$C$18,$A253&lt;Premissas!$C$20),Premissas!$C$27/MAX(1,Premissas!$C$19),0)</f>
        <v>0</v>
      </c>
      <c r="O253" s="22" t="n">
        <f aca="false">IF($A253&gt;=Premissas!$C$18,Premissas!$C$60*(1+Premissas!$C$59)^((YEAR($A253)-YEAR(Premissas!$C$18))*12+MONTH($A253)-MONTH(Premissas!$C$18)),"")</f>
        <v>943550.729310619</v>
      </c>
      <c r="P253" s="31" t="n">
        <f aca="false">(1+IF(YEAR($A253)&lt;=2026,Premissas!$C$49,IF(YEAR($A253)=2027,Premissas!$C$50,IF(YEAR($A253)=2028,Premissas!$C$51,Premissas!$C$52)))*(1-Premissas!$C$53))^(1/12)-1</f>
        <v>0.00682149336596227</v>
      </c>
      <c r="Q253" s="22" t="n">
        <f aca="false">($A253=Premissas!$C$16)*Premissas!$C$13</f>
        <v>0</v>
      </c>
      <c r="R253" s="22" t="n">
        <f aca="false">L253-M253-N253-Q253</f>
        <v>2907.27756616197</v>
      </c>
      <c r="S253" s="22" t="n">
        <f aca="false">S252+R253</f>
        <v>121487.991120694</v>
      </c>
      <c r="T253" s="22" t="n">
        <f aca="false">IF($A253&gt;=Premissas!$C$18,O253*(1-Premissas!$C$45)-Premissas!$C$46*MAX(0,O253*(1-Premissas!$C$45)-(SUM($Q$5:$Q$355)+Premissas!$C$26*Premissas!$C$60)),"")</f>
        <v>793867.04106593</v>
      </c>
      <c r="U253" s="22" t="n">
        <f aca="false">IF($A253&gt;=Premissas!$C$18,S253+T253,"")</f>
        <v>915355.032186624</v>
      </c>
      <c r="V253" s="22" t="n">
        <f aca="false">V252*(1+$P253)-R253</f>
        <v>773657.978685632</v>
      </c>
      <c r="W253" s="22" t="n">
        <f aca="false">($A253=Premissas!$C$16)*Premissas!$C$9</f>
        <v>0</v>
      </c>
      <c r="X253" s="22" t="n">
        <f aca="false">L253-M253-N253-W253</f>
        <v>2907.27756616197</v>
      </c>
      <c r="Y253" s="22" t="n">
        <f aca="false">Y252+X253</f>
        <v>90559.991120694</v>
      </c>
      <c r="Z253" s="22" t="n">
        <f aca="false">IF($A253&gt;=Premissas!$C$18,O253*(1-Premissas!$C$45)-Premissas!$C$46*MAX(0,O253*(1-Premissas!$C$45)-(SUM($W$5:$W$355)+Premissas!$C$26*Premissas!$C$60)),"")</f>
        <v>798506.24106593</v>
      </c>
      <c r="AA253" s="22" t="n">
        <f aca="false">IF($A253&gt;=Premissas!$C$18,Y253+Z253,"")</f>
        <v>889066.232186624</v>
      </c>
      <c r="AB253" s="22" t="n">
        <f aca="false">AB252*(1+$P253)-X253</f>
        <v>946087.813413292</v>
      </c>
      <c r="AC253" s="22" t="n">
        <f aca="false">AND($A253&gt;=Premissas!$C$16,$A253&lt;EDATE(Premissas!$C$16,3))*Premissas!$C$10/3*(1+Premissas!$C$56)^$C253</f>
        <v>0</v>
      </c>
      <c r="AD253" s="22" t="n">
        <f aca="false">L253-M253-N253-AC253</f>
        <v>2907.27756616197</v>
      </c>
      <c r="AE253" s="22" t="n">
        <f aca="false">AE252+AD253</f>
        <v>82939.5272406692</v>
      </c>
      <c r="AF253" s="22" t="n">
        <f aca="false">IF($A253&gt;=Premissas!$C$18,O253*(1-Premissas!$C$45)-Premissas!$C$46*MAX(0,O253*(1-Premissas!$C$45)-(SUM($AC$5:$AC$355)+Premissas!$C$26*Premissas!$C$60)),"")</f>
        <v>799649.310647934</v>
      </c>
      <c r="AG253" s="22" t="n">
        <f aca="false">IF($A253&gt;=Premissas!$C$18,AE253+AF253,"")</f>
        <v>882588.837888603</v>
      </c>
      <c r="AH253" s="22" t="n">
        <f aca="false">AH252*(1+$P253)-AD253</f>
        <v>973572.996036873</v>
      </c>
      <c r="AI253" s="22" t="n">
        <f aca="false">($A253=Premissas!$C$16)*0.2*Premissas!$C$11+AND($A253&gt;Premissas!$C$16,$A253&lt;=EDATE(Premissas!$C$16,43))*0.8*Premissas!$C$11/43*(1+Premissas!$C$56)^$C253</f>
        <v>0</v>
      </c>
      <c r="AJ253" s="22" t="n">
        <f aca="false">L253-M253-N253-AI253</f>
        <v>2907.27756616197</v>
      </c>
      <c r="AK253" s="22" t="n">
        <f aca="false">AK252+AJ253</f>
        <v>37075.0418226073</v>
      </c>
      <c r="AL253" s="22" t="n">
        <f aca="false">IF($A253&gt;=Premissas!$C$18,O253*(1-Premissas!$C$45)-Premissas!$C$46*MAX(0,O253*(1-Premissas!$C$45)-(SUM($AI$5:$AI$355)+Premissas!$C$26*Premissas!$C$60)),"")</f>
        <v>806528.983460643</v>
      </c>
      <c r="AM253" s="22" t="n">
        <f aca="false">IF($A253&gt;=Premissas!$C$18,AK253+AL253,"")</f>
        <v>843604.025283251</v>
      </c>
      <c r="AN253" s="22" t="n">
        <f aca="false">AN252*(1+$P253)-AJ253</f>
        <v>999218.244991515</v>
      </c>
      <c r="AO253" s="22" t="n">
        <f aca="false">V253+S253</f>
        <v>895145.969806325</v>
      </c>
    </row>
    <row r="254" customFormat="false" ht="15" hidden="false" customHeight="false" outlineLevel="0" collapsed="false">
      <c r="A254" s="26" t="n">
        <f aca="false">DATE(YEAR(A253),MONTH(A253)+1,1)</f>
        <v>53874</v>
      </c>
      <c r="B254" s="22" t="str">
        <f aca="false">IF($A254&lt;Premissas!$C$18,"Obra",IF($A254&lt;Premissas!$C$20,"Entrega/mobília","Airbnb"))</f>
        <v>Airbnb</v>
      </c>
      <c r="C254" s="36" t="n">
        <f aca="false">(YEAR($A254)-YEAR(Premissas!$C$16))*12+MONTH($A254)-MONTH(Premissas!$C$16)</f>
        <v>249</v>
      </c>
      <c r="D254" s="33" t="n">
        <f aca="false">IF($A254&gt;=Premissas!$C$20,Premissas!$C$31*IF(((YEAR($A254)-YEAR(Premissas!$C$20))*12+MONTH($A254)-MONTH(Premissas!$C$20))&lt;Premissas!$C$33,Premissas!$C$34,1),0)</f>
        <v>0.62</v>
      </c>
      <c r="E254" s="22" t="n">
        <f aca="false">D254*Premissas!$C$30*Premissas!$C$32*(1+Premissas!$C$58)^$C254</f>
        <v>10492.8808983484</v>
      </c>
      <c r="F254" s="22" t="n">
        <f aca="false">E254*Premissas!$C$35</f>
        <v>1678.86094373575</v>
      </c>
      <c r="G254" s="22" t="n">
        <f aca="false">E254*Premissas!$C$36</f>
        <v>2098.57617966968</v>
      </c>
      <c r="H254" s="22" t="n">
        <f aca="false">IF($A254&gt;=Premissas!$C$18,Premissas!$C$37*(1+Premissas!$C$58)^$C254,0)</f>
        <v>1353.92011591592</v>
      </c>
      <c r="I254" s="22" t="n">
        <f aca="false">IF($A254&gt;=Premissas!$C$20,Premissas!$C$38*(1+Premissas!$C$58)^$C254,0)</f>
        <v>631.829387427431</v>
      </c>
      <c r="J254" s="22" t="n">
        <f aca="false">IF($A254&gt;=Premissas!$C$20,Premissas!$C$39*(1+Premissas!$C$58)^$C254,0)</f>
        <v>338.480028978981</v>
      </c>
      <c r="K254" s="22" t="n">
        <f aca="false">IF($A254&gt;=Premissas!$C$20,MAX(0,E254-F254-G254-H254)*Premissas!$C$41,0)</f>
        <v>1474.41900623244</v>
      </c>
      <c r="L254" s="22" t="n">
        <f aca="false">E254-F254-G254-H254-I254-J254-K254</f>
        <v>2916.79523638821</v>
      </c>
      <c r="M254" s="22" t="n">
        <f aca="false">($A254=Premissas!$C$18)*Premissas!$C$26*Premissas!$C$60</f>
        <v>0</v>
      </c>
      <c r="N254" s="22" t="n">
        <f aca="false">IF(AND($A254&gt;=Premissas!$C$18,$A254&lt;Premissas!$C$20),Premissas!$C$27/MAX(1,Premissas!$C$19),0)</f>
        <v>0</v>
      </c>
      <c r="O254" s="22" t="n">
        <f aca="false">IF($A254&gt;=Premissas!$C$18,Premissas!$C$60*(1+Premissas!$C$59)^((YEAR($A254)-YEAR(Premissas!$C$18))*12+MONTH($A254)-MONTH(Premissas!$C$18)),"")</f>
        <v>947394.871777982</v>
      </c>
      <c r="P254" s="31" t="n">
        <f aca="false">(1+IF(YEAR($A254)&lt;=2026,Premissas!$C$49,IF(YEAR($A254)=2027,Premissas!$C$50,IF(YEAR($A254)=2028,Premissas!$C$51,Premissas!$C$52)))*(1-Premissas!$C$53))^(1/12)-1</f>
        <v>0.00682149336596227</v>
      </c>
      <c r="Q254" s="22" t="n">
        <f aca="false">($A254=Premissas!$C$16)*Premissas!$C$13</f>
        <v>0</v>
      </c>
      <c r="R254" s="22" t="n">
        <f aca="false">L254-M254-N254-Q254</f>
        <v>2916.79523638821</v>
      </c>
      <c r="S254" s="22" t="n">
        <f aca="false">S253+R254</f>
        <v>124404.786357082</v>
      </c>
      <c r="T254" s="22" t="n">
        <f aca="false">IF($A254&gt;=Premissas!$C$18,O254*(1-Premissas!$C$45)-Premissas!$C$46*MAX(0,O254*(1-Premissas!$C$45)-(SUM($Q$5:$Q$355)+Premissas!$C$26*Premissas!$C$60)),"")</f>
        <v>796938.510897353</v>
      </c>
      <c r="U254" s="22" t="n">
        <f aca="false">IF($A254&gt;=Premissas!$C$18,S254+T254,"")</f>
        <v>921343.297254436</v>
      </c>
      <c r="V254" s="22" t="n">
        <f aca="false">V253*(1+$P254)-R254</f>
        <v>776018.686218371</v>
      </c>
      <c r="W254" s="22" t="n">
        <f aca="false">($A254=Premissas!$C$16)*Premissas!$C$9</f>
        <v>0</v>
      </c>
      <c r="X254" s="22" t="n">
        <f aca="false">L254-M254-N254-W254</f>
        <v>2916.79523638821</v>
      </c>
      <c r="Y254" s="22" t="n">
        <f aca="false">Y253+X254</f>
        <v>93476.7863570822</v>
      </c>
      <c r="Z254" s="22" t="n">
        <f aca="false">IF($A254&gt;=Premissas!$C$18,O254*(1-Premissas!$C$45)-Premissas!$C$46*MAX(0,O254*(1-Premissas!$C$45)-(SUM($W$5:$W$355)+Premissas!$C$26*Premissas!$C$60)),"")</f>
        <v>801577.710897354</v>
      </c>
      <c r="AA254" s="22" t="n">
        <f aca="false">IF($A254&gt;=Premissas!$C$18,Y254+Z254,"")</f>
        <v>895054.497254436</v>
      </c>
      <c r="AB254" s="22" t="n">
        <f aca="false">AB253*(1+$P254)-X254</f>
        <v>949624.74991972</v>
      </c>
      <c r="AC254" s="22" t="n">
        <f aca="false">AND($A254&gt;=Premissas!$C$16,$A254&lt;EDATE(Premissas!$C$16,3))*Premissas!$C$10/3*(1+Premissas!$C$56)^$C254</f>
        <v>0</v>
      </c>
      <c r="AD254" s="22" t="n">
        <f aca="false">L254-M254-N254-AC254</f>
        <v>2916.79523638821</v>
      </c>
      <c r="AE254" s="22" t="n">
        <f aca="false">AE253+AD254</f>
        <v>85856.3224770574</v>
      </c>
      <c r="AF254" s="22" t="n">
        <f aca="false">IF($A254&gt;=Premissas!$C$18,O254*(1-Premissas!$C$45)-Premissas!$C$46*MAX(0,O254*(1-Premissas!$C$45)-(SUM($AC$5:$AC$355)+Premissas!$C$26*Premissas!$C$60)),"")</f>
        <v>802720.780479357</v>
      </c>
      <c r="AG254" s="22" t="n">
        <f aca="false">IF($A254&gt;=Premissas!$C$18,AE254+AF254,"")</f>
        <v>888577.102956415</v>
      </c>
      <c r="AH254" s="22" t="n">
        <f aca="false">AH253*(1+$P254)-AD254</f>
        <v>977297.422534231</v>
      </c>
      <c r="AI254" s="22" t="n">
        <f aca="false">($A254=Premissas!$C$16)*0.2*Premissas!$C$11+AND($A254&gt;Premissas!$C$16,$A254&lt;=EDATE(Premissas!$C$16,43))*0.8*Premissas!$C$11/43*(1+Premissas!$C$56)^$C254</f>
        <v>0</v>
      </c>
      <c r="AJ254" s="22" t="n">
        <f aca="false">L254-M254-N254-AI254</f>
        <v>2916.79523638821</v>
      </c>
      <c r="AK254" s="22" t="n">
        <f aca="false">AK253+AJ254</f>
        <v>39991.8370589955</v>
      </c>
      <c r="AL254" s="22" t="n">
        <f aca="false">IF($A254&gt;=Premissas!$C$18,O254*(1-Premissas!$C$45)-Premissas!$C$46*MAX(0,O254*(1-Premissas!$C$45)-(SUM($AI$5:$AI$355)+Premissas!$C$26*Premissas!$C$60)),"")</f>
        <v>809600.453292067</v>
      </c>
      <c r="AM254" s="22" t="n">
        <f aca="false">IF($A254&gt;=Premissas!$C$18,AK254+AL254,"")</f>
        <v>849592.290351062</v>
      </c>
      <c r="AN254" s="22" t="n">
        <f aca="false">AN253*(1+$P254)-AJ254</f>
        <v>1003117.61038448</v>
      </c>
      <c r="AO254" s="22" t="n">
        <f aca="false">V254+S254</f>
        <v>900423.472575453</v>
      </c>
    </row>
    <row r="255" customFormat="false" ht="15" hidden="false" customHeight="false" outlineLevel="0" collapsed="false">
      <c r="A255" s="26" t="n">
        <f aca="false">DATE(YEAR(A254),MONTH(A254)+1,1)</f>
        <v>53905</v>
      </c>
      <c r="B255" s="22" t="str">
        <f aca="false">IF($A255&lt;Premissas!$C$18,"Obra",IF($A255&lt;Premissas!$C$20,"Entrega/mobília","Airbnb"))</f>
        <v>Airbnb</v>
      </c>
      <c r="C255" s="36" t="n">
        <f aca="false">(YEAR($A255)-YEAR(Premissas!$C$16))*12+MONTH($A255)-MONTH(Premissas!$C$16)</f>
        <v>250</v>
      </c>
      <c r="D255" s="33" t="n">
        <f aca="false">IF($A255&gt;=Premissas!$C$20,Premissas!$C$31*IF(((YEAR($A255)-YEAR(Premissas!$C$20))*12+MONTH($A255)-MONTH(Premissas!$C$20))&lt;Premissas!$C$33,Premissas!$C$34,1),0)</f>
        <v>0.62</v>
      </c>
      <c r="E255" s="22" t="n">
        <f aca="false">D255*Premissas!$C$30*Premissas!$C$32*(1+Premissas!$C$58)^$C255</f>
        <v>10527.2318599752</v>
      </c>
      <c r="F255" s="22" t="n">
        <f aca="false">E255*Premissas!$C$35</f>
        <v>1684.35709759603</v>
      </c>
      <c r="G255" s="22" t="n">
        <f aca="false">E255*Premissas!$C$36</f>
        <v>2105.44637199504</v>
      </c>
      <c r="H255" s="22" t="n">
        <f aca="false">IF($A255&gt;=Premissas!$C$18,Premissas!$C$37*(1+Premissas!$C$58)^$C255,0)</f>
        <v>1358.35249806132</v>
      </c>
      <c r="I255" s="22" t="n">
        <f aca="false">IF($A255&gt;=Premissas!$C$20,Premissas!$C$38*(1+Premissas!$C$58)^$C255,0)</f>
        <v>633.897832428615</v>
      </c>
      <c r="J255" s="22" t="n">
        <f aca="false">IF($A255&gt;=Premissas!$C$20,Premissas!$C$39*(1+Premissas!$C$58)^$C255,0)</f>
        <v>339.588124515329</v>
      </c>
      <c r="K255" s="22" t="n">
        <f aca="false">IF($A255&gt;=Premissas!$C$20,MAX(0,E255-F255-G255-H255)*Premissas!$C$41,0)</f>
        <v>1479.24587038878</v>
      </c>
      <c r="L255" s="22" t="n">
        <f aca="false">E255-F255-G255-H255-I255-J255-K255</f>
        <v>2926.3440649901</v>
      </c>
      <c r="M255" s="22" t="n">
        <f aca="false">($A255=Premissas!$C$18)*Premissas!$C$26*Premissas!$C$60</f>
        <v>0</v>
      </c>
      <c r="N255" s="22" t="n">
        <f aca="false">IF(AND($A255&gt;=Premissas!$C$18,$A255&lt;Premissas!$C$20),Premissas!$C$27/MAX(1,Premissas!$C$19),0)</f>
        <v>0</v>
      </c>
      <c r="O255" s="22" t="n">
        <f aca="false">IF($A255&gt;=Premissas!$C$18,Premissas!$C$60*(1+Premissas!$C$59)^((YEAR($A255)-YEAR(Premissas!$C$18))*12+MONTH($A255)-MONTH(Premissas!$C$18)),"")</f>
        <v>951254.675757599</v>
      </c>
      <c r="P255" s="31" t="n">
        <f aca="false">(1+IF(YEAR($A255)&lt;=2026,Premissas!$C$49,IF(YEAR($A255)=2027,Premissas!$C$50,IF(YEAR($A255)=2028,Premissas!$C$51,Premissas!$C$52)))*(1-Premissas!$C$53))^(1/12)-1</f>
        <v>0.00682149336596227</v>
      </c>
      <c r="Q255" s="22" t="n">
        <f aca="false">($A255=Premissas!$C$16)*Premissas!$C$13</f>
        <v>0</v>
      </c>
      <c r="R255" s="22" t="n">
        <f aca="false">L255-M255-N255-Q255</f>
        <v>2926.3440649901</v>
      </c>
      <c r="S255" s="22" t="n">
        <f aca="false">S254+R255</f>
        <v>127331.130422072</v>
      </c>
      <c r="T255" s="22" t="n">
        <f aca="false">IF($A255&gt;=Premissas!$C$18,O255*(1-Premissas!$C$45)-Premissas!$C$46*MAX(0,O255*(1-Premissas!$C$45)-(SUM($Q$5:$Q$355)+Premissas!$C$26*Premissas!$C$60)),"")</f>
        <v>800022.494277067</v>
      </c>
      <c r="U255" s="22" t="n">
        <f aca="false">IF($A255&gt;=Premissas!$C$18,S255+T255,"")</f>
        <v>927353.62469914</v>
      </c>
      <c r="V255" s="22" t="n">
        <f aca="false">V254*(1+$P255)-R255</f>
        <v>778385.948473283</v>
      </c>
      <c r="W255" s="22" t="n">
        <f aca="false">($A255=Premissas!$C$16)*Premissas!$C$9</f>
        <v>0</v>
      </c>
      <c r="X255" s="22" t="n">
        <f aca="false">L255-M255-N255-W255</f>
        <v>2926.3440649901</v>
      </c>
      <c r="Y255" s="22" t="n">
        <f aca="false">Y254+X255</f>
        <v>96403.1304220723</v>
      </c>
      <c r="Z255" s="22" t="n">
        <f aca="false">IF($A255&gt;=Premissas!$C$18,O255*(1-Premissas!$C$45)-Premissas!$C$46*MAX(0,O255*(1-Premissas!$C$45)-(SUM($W$5:$W$355)+Premissas!$C$26*Premissas!$C$60)),"")</f>
        <v>804661.694277067</v>
      </c>
      <c r="AA255" s="22" t="n">
        <f aca="false">IF($A255&gt;=Premissas!$C$18,Y255+Z255,"")</f>
        <v>901064.82469914</v>
      </c>
      <c r="AB255" s="22" t="n">
        <f aca="false">AB254*(1+$P255)-X255</f>
        <v>953176.264786461</v>
      </c>
      <c r="AC255" s="22" t="n">
        <f aca="false">AND($A255&gt;=Premissas!$C$16,$A255&lt;EDATE(Premissas!$C$16,3))*Premissas!$C$10/3*(1+Premissas!$C$56)^$C255</f>
        <v>0</v>
      </c>
      <c r="AD255" s="22" t="n">
        <f aca="false">L255-M255-N255-AC255</f>
        <v>2926.3440649901</v>
      </c>
      <c r="AE255" s="22" t="n">
        <f aca="false">AE254+AD255</f>
        <v>88782.6665420475</v>
      </c>
      <c r="AF255" s="22" t="n">
        <f aca="false">IF($A255&gt;=Premissas!$C$18,O255*(1-Premissas!$C$45)-Premissas!$C$46*MAX(0,O255*(1-Premissas!$C$45)-(SUM($AC$5:$AC$355)+Premissas!$C$26*Premissas!$C$60)),"")</f>
        <v>805804.763859071</v>
      </c>
      <c r="AG255" s="22" t="n">
        <f aca="false">IF($A255&gt;=Premissas!$C$18,AE255+AF255,"")</f>
        <v>894587.430401119</v>
      </c>
      <c r="AH255" s="22" t="n">
        <f aca="false">AH254*(1+$P255)-AD255</f>
        <v>981037.70635363</v>
      </c>
      <c r="AI255" s="22" t="n">
        <f aca="false">($A255=Premissas!$C$16)*0.2*Premissas!$C$11+AND($A255&gt;Premissas!$C$16,$A255&lt;=EDATE(Premissas!$C$16,43))*0.8*Premissas!$C$11/43*(1+Premissas!$C$56)^$C255</f>
        <v>0</v>
      </c>
      <c r="AJ255" s="22" t="n">
        <f aca="false">L255-M255-N255-AI255</f>
        <v>2926.3440649901</v>
      </c>
      <c r="AK255" s="22" t="n">
        <f aca="false">AK254+AJ255</f>
        <v>42918.1811239856</v>
      </c>
      <c r="AL255" s="22" t="n">
        <f aca="false">IF($A255&gt;=Premissas!$C$18,O255*(1-Premissas!$C$45)-Premissas!$C$46*MAX(0,O255*(1-Premissas!$C$45)-(SUM($AI$5:$AI$355)+Premissas!$C$26*Premissas!$C$60)),"")</f>
        <v>812684.43667178</v>
      </c>
      <c r="AM255" s="22" t="n">
        <f aca="false">IF($A255&gt;=Premissas!$C$18,AK255+AL255,"")</f>
        <v>855602.617795766</v>
      </c>
      <c r="AN255" s="22" t="n">
        <f aca="false">AN254*(1+$P255)-AJ255</f>
        <v>1007034.02644401</v>
      </c>
      <c r="AO255" s="22" t="n">
        <f aca="false">V255+S255</f>
        <v>905717.078895355</v>
      </c>
    </row>
    <row r="256" customFormat="false" ht="15" hidden="false" customHeight="false" outlineLevel="0" collapsed="false">
      <c r="A256" s="26" t="n">
        <f aca="false">DATE(YEAR(A255),MONTH(A255)+1,1)</f>
        <v>53936</v>
      </c>
      <c r="B256" s="22" t="str">
        <f aca="false">IF($A256&lt;Premissas!$C$18,"Obra",IF($A256&lt;Premissas!$C$20,"Entrega/mobília","Airbnb"))</f>
        <v>Airbnb</v>
      </c>
      <c r="C256" s="36" t="n">
        <f aca="false">(YEAR($A256)-YEAR(Premissas!$C$16))*12+MONTH($A256)-MONTH(Premissas!$C$16)</f>
        <v>251</v>
      </c>
      <c r="D256" s="33" t="n">
        <f aca="false">IF($A256&gt;=Premissas!$C$20,Premissas!$C$31*IF(((YEAR($A256)-YEAR(Premissas!$C$20))*12+MONTH($A256)-MONTH(Premissas!$C$20))&lt;Premissas!$C$33,Premissas!$C$34,1),0)</f>
        <v>0.62</v>
      </c>
      <c r="E256" s="22" t="n">
        <f aca="false">D256*Premissas!$C$30*Premissas!$C$32*(1+Premissas!$C$58)^$C256</f>
        <v>10561.6952777116</v>
      </c>
      <c r="F256" s="22" t="n">
        <f aca="false">E256*Premissas!$C$35</f>
        <v>1689.87124443386</v>
      </c>
      <c r="G256" s="22" t="n">
        <f aca="false">E256*Premissas!$C$36</f>
        <v>2112.33905554233</v>
      </c>
      <c r="H256" s="22" t="n">
        <f aca="false">IF($A256&gt;=Premissas!$C$18,Premissas!$C$37*(1+Premissas!$C$58)^$C256,0)</f>
        <v>1362.79939067247</v>
      </c>
      <c r="I256" s="22" t="n">
        <f aca="false">IF($A256&gt;=Premissas!$C$20,Premissas!$C$38*(1+Premissas!$C$58)^$C256,0)</f>
        <v>635.973048980486</v>
      </c>
      <c r="J256" s="22" t="n">
        <f aca="false">IF($A256&gt;=Premissas!$C$20,Premissas!$C$39*(1+Premissas!$C$58)^$C256,0)</f>
        <v>340.699847668118</v>
      </c>
      <c r="K256" s="22" t="n">
        <f aca="false">IF($A256&gt;=Premissas!$C$20,MAX(0,E256-F256-G256-H256)*Premissas!$C$41,0)</f>
        <v>1484.08853644232</v>
      </c>
      <c r="L256" s="22" t="n">
        <f aca="false">E256-F256-G256-H256-I256-J256-K256</f>
        <v>2935.92415397206</v>
      </c>
      <c r="M256" s="22" t="n">
        <f aca="false">($A256=Premissas!$C$18)*Premissas!$C$26*Premissas!$C$60</f>
        <v>0</v>
      </c>
      <c r="N256" s="22" t="n">
        <f aca="false">IF(AND($A256&gt;=Premissas!$C$18,$A256&lt;Premissas!$C$20),Premissas!$C$27/MAX(1,Premissas!$C$19),0)</f>
        <v>0</v>
      </c>
      <c r="O256" s="22" t="n">
        <f aca="false">IF($A256&gt;=Premissas!$C$18,Premissas!$C$60*(1+Premissas!$C$59)^((YEAR($A256)-YEAR(Premissas!$C$18))*12+MONTH($A256)-MONTH(Premissas!$C$18)),"")</f>
        <v>955130.20505641</v>
      </c>
      <c r="P256" s="31" t="n">
        <f aca="false">(1+IF(YEAR($A256)&lt;=2026,Premissas!$C$49,IF(YEAR($A256)=2027,Premissas!$C$50,IF(YEAR($A256)=2028,Premissas!$C$51,Premissas!$C$52)))*(1-Premissas!$C$53))^(1/12)-1</f>
        <v>0.00682149336596227</v>
      </c>
      <c r="Q256" s="22" t="n">
        <f aca="false">($A256=Premissas!$C$16)*Premissas!$C$13</f>
        <v>0</v>
      </c>
      <c r="R256" s="22" t="n">
        <f aca="false">L256-M256-N256-Q256</f>
        <v>2935.92415397206</v>
      </c>
      <c r="S256" s="22" t="n">
        <f aca="false">S255+R256</f>
        <v>130267.054576044</v>
      </c>
      <c r="T256" s="22" t="n">
        <f aca="false">IF($A256&gt;=Premissas!$C$18,O256*(1-Premissas!$C$45)-Premissas!$C$46*MAX(0,O256*(1-Premissas!$C$45)-(SUM($Q$5:$Q$355)+Premissas!$C$26*Premissas!$C$60)),"")</f>
        <v>803119.042186817</v>
      </c>
      <c r="U256" s="22" t="n">
        <f aca="false">IF($A256&gt;=Premissas!$C$18,S256+T256,"")</f>
        <v>933386.096762862</v>
      </c>
      <c r="V256" s="22" t="n">
        <f aca="false">V255*(1+$P256)-R256</f>
        <v>780759.778902979</v>
      </c>
      <c r="W256" s="22" t="n">
        <f aca="false">($A256=Premissas!$C$16)*Premissas!$C$9</f>
        <v>0</v>
      </c>
      <c r="X256" s="22" t="n">
        <f aca="false">L256-M256-N256-W256</f>
        <v>2935.92415397206</v>
      </c>
      <c r="Y256" s="22" t="n">
        <f aca="false">Y255+X256</f>
        <v>99339.0545760444</v>
      </c>
      <c r="Z256" s="22" t="n">
        <f aca="false">IF($A256&gt;=Premissas!$C$18,O256*(1-Premissas!$C$45)-Premissas!$C$46*MAX(0,O256*(1-Premissas!$C$45)-(SUM($W$5:$W$355)+Premissas!$C$26*Premissas!$C$60)),"")</f>
        <v>807758.242186817</v>
      </c>
      <c r="AA256" s="22" t="n">
        <f aca="false">IF($A256&gt;=Premissas!$C$18,Y256+Z256,"")</f>
        <v>907097.296762862</v>
      </c>
      <c r="AB256" s="22" t="n">
        <f aca="false">AB255*(1+$P256)-X256</f>
        <v>956742.426199322</v>
      </c>
      <c r="AC256" s="22" t="n">
        <f aca="false">AND($A256&gt;=Premissas!$C$16,$A256&lt;EDATE(Premissas!$C$16,3))*Premissas!$C$10/3*(1+Premissas!$C$56)^$C256</f>
        <v>0</v>
      </c>
      <c r="AD256" s="22" t="n">
        <f aca="false">L256-M256-N256-AC256</f>
        <v>2935.92415397206</v>
      </c>
      <c r="AE256" s="22" t="n">
        <f aca="false">AE255+AD256</f>
        <v>91718.5906960196</v>
      </c>
      <c r="AF256" s="22" t="n">
        <f aca="false">IF($A256&gt;=Premissas!$C$18,O256*(1-Premissas!$C$45)-Premissas!$C$46*MAX(0,O256*(1-Premissas!$C$45)-(SUM($AC$5:$AC$355)+Premissas!$C$26*Premissas!$C$60)),"")</f>
        <v>808901.311768821</v>
      </c>
      <c r="AG256" s="22" t="n">
        <f aca="false">IF($A256&gt;=Premissas!$C$18,AE256+AF256,"")</f>
        <v>900619.902464841</v>
      </c>
      <c r="AH256" s="22" t="n">
        <f aca="false">AH255*(1+$P256)-AD256</f>
        <v>984793.924405308</v>
      </c>
      <c r="AI256" s="22" t="n">
        <f aca="false">($A256=Premissas!$C$16)*0.2*Premissas!$C$11+AND($A256&gt;Premissas!$C$16,$A256&lt;=EDATE(Premissas!$C$16,43))*0.8*Premissas!$C$11/43*(1+Premissas!$C$56)^$C256</f>
        <v>0</v>
      </c>
      <c r="AJ256" s="22" t="n">
        <f aca="false">L256-M256-N256-AI256</f>
        <v>2935.92415397206</v>
      </c>
      <c r="AK256" s="22" t="n">
        <f aca="false">AK255+AJ256</f>
        <v>45854.1052779576</v>
      </c>
      <c r="AL256" s="22" t="n">
        <f aca="false">IF($A256&gt;=Premissas!$C$18,O256*(1-Premissas!$C$45)-Premissas!$C$46*MAX(0,O256*(1-Premissas!$C$45)-(SUM($AI$5:$AI$355)+Premissas!$C$26*Premissas!$C$60)),"")</f>
        <v>815780.98458153</v>
      </c>
      <c r="AM256" s="22" t="n">
        <f aca="false">IF($A256&gt;=Premissas!$C$18,AK256+AL256,"")</f>
        <v>861635.089859488</v>
      </c>
      <c r="AN256" s="22" t="n">
        <f aca="false">AN255*(1+$P256)-AJ256</f>
        <v>1010967.57822073</v>
      </c>
      <c r="AO256" s="22" t="n">
        <f aca="false">V256+S256</f>
        <v>911026.833479023</v>
      </c>
    </row>
    <row r="257" customFormat="false" ht="15" hidden="false" customHeight="false" outlineLevel="0" collapsed="false">
      <c r="A257" s="26" t="n">
        <f aca="false">DATE(YEAR(A256),MONTH(A256)+1,1)</f>
        <v>53966</v>
      </c>
      <c r="B257" s="22" t="str">
        <f aca="false">IF($A257&lt;Premissas!$C$18,"Obra",IF($A257&lt;Premissas!$C$20,"Entrega/mobília","Airbnb"))</f>
        <v>Airbnb</v>
      </c>
      <c r="C257" s="36" t="n">
        <f aca="false">(YEAR($A257)-YEAR(Premissas!$C$16))*12+MONTH($A257)-MONTH(Premissas!$C$16)</f>
        <v>252</v>
      </c>
      <c r="D257" s="33" t="n">
        <f aca="false">IF($A257&gt;=Premissas!$C$20,Premissas!$C$31*IF(((YEAR($A257)-YEAR(Premissas!$C$20))*12+MONTH($A257)-MONTH(Premissas!$C$20))&lt;Premissas!$C$33,Premissas!$C$34,1),0)</f>
        <v>0.62</v>
      </c>
      <c r="E257" s="22" t="n">
        <f aca="false">D257*Premissas!$C$30*Premissas!$C$32*(1+Premissas!$C$58)^$C257</f>
        <v>10596.2715197098</v>
      </c>
      <c r="F257" s="22" t="n">
        <f aca="false">E257*Premissas!$C$35</f>
        <v>1695.40344315356</v>
      </c>
      <c r="G257" s="22" t="n">
        <f aca="false">E257*Premissas!$C$36</f>
        <v>2119.25430394195</v>
      </c>
      <c r="H257" s="22" t="n">
        <f aca="false">IF($A257&gt;=Premissas!$C$18,Premissas!$C$37*(1+Premissas!$C$58)^$C257,0)</f>
        <v>1367.26084125287</v>
      </c>
      <c r="I257" s="22" t="n">
        <f aca="false">IF($A257&gt;=Premissas!$C$20,Premissas!$C$38*(1+Premissas!$C$58)^$C257,0)</f>
        <v>638.05505925134</v>
      </c>
      <c r="J257" s="22" t="n">
        <f aca="false">IF($A257&gt;=Premissas!$C$20,Premissas!$C$39*(1+Premissas!$C$58)^$C257,0)</f>
        <v>341.815210313218</v>
      </c>
      <c r="K257" s="22" t="n">
        <f aca="false">IF($A257&gt;=Premissas!$C$20,MAX(0,E257-F257-G257-H257)*Premissas!$C$41,0)</f>
        <v>1488.94705612438</v>
      </c>
      <c r="L257" s="22" t="n">
        <f aca="false">E257-F257-G257-H257-I257-J257-K257</f>
        <v>2945.53560567243</v>
      </c>
      <c r="M257" s="22" t="n">
        <f aca="false">($A257=Premissas!$C$18)*Premissas!$C$26*Premissas!$C$60</f>
        <v>0</v>
      </c>
      <c r="N257" s="22" t="n">
        <f aca="false">IF(AND($A257&gt;=Premissas!$C$18,$A257&lt;Premissas!$C$20),Premissas!$C$27/MAX(1,Premissas!$C$19),0)</f>
        <v>0</v>
      </c>
      <c r="O257" s="22" t="n">
        <f aca="false">IF($A257&gt;=Premissas!$C$18,Premissas!$C$60*(1+Premissas!$C$59)^((YEAR($A257)-YEAR(Premissas!$C$18))*12+MONTH($A257)-MONTH(Premissas!$C$18)),"")</f>
        <v>959021.523741311</v>
      </c>
      <c r="P257" s="31" t="n">
        <f aca="false">(1+IF(YEAR($A257)&lt;=2026,Premissas!$C$49,IF(YEAR($A257)=2027,Premissas!$C$50,IF(YEAR($A257)=2028,Premissas!$C$51,Premissas!$C$52)))*(1-Premissas!$C$53))^(1/12)-1</f>
        <v>0.00682149336596227</v>
      </c>
      <c r="Q257" s="22" t="n">
        <f aca="false">($A257=Premissas!$C$16)*Premissas!$C$13</f>
        <v>0</v>
      </c>
      <c r="R257" s="22" t="n">
        <f aca="false">L257-M257-N257-Q257</f>
        <v>2945.53560567243</v>
      </c>
      <c r="S257" s="22" t="n">
        <f aca="false">S256+R257</f>
        <v>133212.590181717</v>
      </c>
      <c r="T257" s="22" t="n">
        <f aca="false">IF($A257&gt;=Premissas!$C$18,O257*(1-Premissas!$C$45)-Premissas!$C$46*MAX(0,O257*(1-Premissas!$C$45)-(SUM($Q$5:$Q$355)+Premissas!$C$26*Premissas!$C$60)),"")</f>
        <v>806228.205816053</v>
      </c>
      <c r="U257" s="22" t="n">
        <f aca="false">IF($A257&gt;=Premissas!$C$18,S257+T257,"")</f>
        <v>939440.79599777</v>
      </c>
      <c r="V257" s="22" t="n">
        <f aca="false">V256*(1+$P257)-R257</f>
        <v>783140.190949504</v>
      </c>
      <c r="W257" s="22" t="n">
        <f aca="false">($A257=Premissas!$C$16)*Premissas!$C$9</f>
        <v>0</v>
      </c>
      <c r="X257" s="22" t="n">
        <f aca="false">L257-M257-N257-W257</f>
        <v>2945.53560567243</v>
      </c>
      <c r="Y257" s="22" t="n">
        <f aca="false">Y256+X257</f>
        <v>102284.590181717</v>
      </c>
      <c r="Z257" s="22" t="n">
        <f aca="false">IF($A257&gt;=Premissas!$C$18,O257*(1-Premissas!$C$45)-Premissas!$C$46*MAX(0,O257*(1-Premissas!$C$45)-(SUM($W$5:$W$355)+Premissas!$C$26*Premissas!$C$60)),"")</f>
        <v>810867.405816053</v>
      </c>
      <c r="AA257" s="22" t="n">
        <f aca="false">IF($A257&gt;=Premissas!$C$18,Y257+Z257,"")</f>
        <v>913151.99599777</v>
      </c>
      <c r="AB257" s="22" t="n">
        <f aca="false">AB256*(1+$P257)-X257</f>
        <v>960323.302706903</v>
      </c>
      <c r="AC257" s="22" t="n">
        <f aca="false">AND($A257&gt;=Premissas!$C$16,$A257&lt;EDATE(Premissas!$C$16,3))*Premissas!$C$10/3*(1+Premissas!$C$56)^$C257</f>
        <v>0</v>
      </c>
      <c r="AD257" s="22" t="n">
        <f aca="false">L257-M257-N257-AC257</f>
        <v>2945.53560567243</v>
      </c>
      <c r="AE257" s="22" t="n">
        <f aca="false">AE256+AD257</f>
        <v>94664.126301692</v>
      </c>
      <c r="AF257" s="22" t="n">
        <f aca="false">IF($A257&gt;=Premissas!$C$18,O257*(1-Premissas!$C$45)-Premissas!$C$46*MAX(0,O257*(1-Premissas!$C$45)-(SUM($AC$5:$AC$355)+Premissas!$C$26*Premissas!$C$60)),"")</f>
        <v>812010.475398057</v>
      </c>
      <c r="AG257" s="22" t="n">
        <f aca="false">IF($A257&gt;=Premissas!$C$18,AE257+AF257,"")</f>
        <v>906674.601699749</v>
      </c>
      <c r="AH257" s="22" t="n">
        <f aca="false">AH256*(1+$P257)-AD257</f>
        <v>988566.154021806</v>
      </c>
      <c r="AI257" s="22" t="n">
        <f aca="false">($A257=Premissas!$C$16)*0.2*Premissas!$C$11+AND($A257&gt;Premissas!$C$16,$A257&lt;=EDATE(Premissas!$C$16,43))*0.8*Premissas!$C$11/43*(1+Premissas!$C$56)^$C257</f>
        <v>0</v>
      </c>
      <c r="AJ257" s="22" t="n">
        <f aca="false">L257-M257-N257-AI257</f>
        <v>2945.53560567243</v>
      </c>
      <c r="AK257" s="22" t="n">
        <f aca="false">AK256+AJ257</f>
        <v>48799.6408836301</v>
      </c>
      <c r="AL257" s="22" t="n">
        <f aca="false">IF($A257&gt;=Premissas!$C$18,O257*(1-Premissas!$C$45)-Premissas!$C$46*MAX(0,O257*(1-Premissas!$C$45)-(SUM($AI$5:$AI$355)+Premissas!$C$26*Premissas!$C$60)),"")</f>
        <v>818890.148210766</v>
      </c>
      <c r="AM257" s="22" t="n">
        <f aca="false">IF($A257&gt;=Premissas!$C$18,AK257+AL257,"")</f>
        <v>867689.789094396</v>
      </c>
      <c r="AN257" s="22" t="n">
        <f aca="false">AN256*(1+$P257)-AJ257</f>
        <v>1014918.35124309</v>
      </c>
      <c r="AO257" s="22" t="n">
        <f aca="false">V257+S257</f>
        <v>916352.78113122</v>
      </c>
    </row>
    <row r="258" customFormat="false" ht="15" hidden="false" customHeight="false" outlineLevel="0" collapsed="false">
      <c r="A258" s="26" t="n">
        <f aca="false">DATE(YEAR(A257),MONTH(A257)+1,1)</f>
        <v>53997</v>
      </c>
      <c r="B258" s="22" t="str">
        <f aca="false">IF($A258&lt;Premissas!$C$18,"Obra",IF($A258&lt;Premissas!$C$20,"Entrega/mobília","Airbnb"))</f>
        <v>Airbnb</v>
      </c>
      <c r="C258" s="36" t="n">
        <f aca="false">(YEAR($A258)-YEAR(Premissas!$C$16))*12+MONTH($A258)-MONTH(Premissas!$C$16)</f>
        <v>253</v>
      </c>
      <c r="D258" s="33" t="n">
        <f aca="false">IF($A258&gt;=Premissas!$C$20,Premissas!$C$31*IF(((YEAR($A258)-YEAR(Premissas!$C$20))*12+MONTH($A258)-MONTH(Premissas!$C$20))&lt;Premissas!$C$33,Premissas!$C$34,1),0)</f>
        <v>0.62</v>
      </c>
      <c r="E258" s="22" t="n">
        <f aca="false">D258*Premissas!$C$30*Premissas!$C$32*(1+Premissas!$C$58)^$C258</f>
        <v>10630.9609553268</v>
      </c>
      <c r="F258" s="22" t="n">
        <f aca="false">E258*Premissas!$C$35</f>
        <v>1700.95375285229</v>
      </c>
      <c r="G258" s="22" t="n">
        <f aca="false">E258*Premissas!$C$36</f>
        <v>2126.19219106536</v>
      </c>
      <c r="H258" s="22" t="n">
        <f aca="false">IF($A258&gt;=Premissas!$C$18,Premissas!$C$37*(1+Premissas!$C$58)^$C258,0)</f>
        <v>1371.73689746152</v>
      </c>
      <c r="I258" s="22" t="n">
        <f aca="false">IF($A258&gt;=Premissas!$C$20,Premissas!$C$38*(1+Premissas!$C$58)^$C258,0)</f>
        <v>640.143885482044</v>
      </c>
      <c r="J258" s="22" t="n">
        <f aca="false">IF($A258&gt;=Premissas!$C$20,Premissas!$C$39*(1+Premissas!$C$58)^$C258,0)</f>
        <v>342.934224365381</v>
      </c>
      <c r="K258" s="22" t="n">
        <f aca="false">IF($A258&gt;=Premissas!$C$20,MAX(0,E258-F258-G258-H258)*Premissas!$C$41,0)</f>
        <v>1493.8214813356</v>
      </c>
      <c r="L258" s="22" t="n">
        <f aca="false">E258-F258-G258-H258-I258-J258-K258</f>
        <v>2955.17852276461</v>
      </c>
      <c r="M258" s="22" t="n">
        <f aca="false">($A258=Premissas!$C$18)*Premissas!$C$26*Premissas!$C$60</f>
        <v>0</v>
      </c>
      <c r="N258" s="22" t="n">
        <f aca="false">IF(AND($A258&gt;=Premissas!$C$18,$A258&lt;Premissas!$C$20),Premissas!$C$27/MAX(1,Premissas!$C$19),0)</f>
        <v>0</v>
      </c>
      <c r="O258" s="22" t="n">
        <f aca="false">IF($A258&gt;=Premissas!$C$18,Premissas!$C$60*(1+Premissas!$C$59)^((YEAR($A258)-YEAR(Premissas!$C$18))*12+MONTH($A258)-MONTH(Premissas!$C$18)),"")</f>
        <v>962928.696140216</v>
      </c>
      <c r="P258" s="31" t="n">
        <f aca="false">(1+IF(YEAR($A258)&lt;=2026,Premissas!$C$49,IF(YEAR($A258)=2027,Premissas!$C$50,IF(YEAR($A258)=2028,Premissas!$C$51,Premissas!$C$52)))*(1-Premissas!$C$53))^(1/12)-1</f>
        <v>0.00682149336596227</v>
      </c>
      <c r="Q258" s="22" t="n">
        <f aca="false">($A258=Premissas!$C$16)*Premissas!$C$13</f>
        <v>0</v>
      </c>
      <c r="R258" s="22" t="n">
        <f aca="false">L258-M258-N258-Q258</f>
        <v>2955.17852276461</v>
      </c>
      <c r="S258" s="22" t="n">
        <f aca="false">S257+R258</f>
        <v>136167.768704481</v>
      </c>
      <c r="T258" s="22" t="n">
        <f aca="false">IF($A258&gt;=Premissas!$C$18,O258*(1-Premissas!$C$45)-Premissas!$C$46*MAX(0,O258*(1-Premissas!$C$45)-(SUM($Q$5:$Q$355)+Premissas!$C$26*Premissas!$C$60)),"")</f>
        <v>809350.036562779</v>
      </c>
      <c r="U258" s="22" t="n">
        <f aca="false">IF($A258&gt;=Premissas!$C$18,S258+T258,"")</f>
        <v>945517.80526726</v>
      </c>
      <c r="V258" s="22" t="n">
        <f aca="false">V257*(1+$P258)-R258</f>
        <v>785527.19804392</v>
      </c>
      <c r="W258" s="22" t="n">
        <f aca="false">($A258=Premissas!$C$16)*Premissas!$C$9</f>
        <v>0</v>
      </c>
      <c r="X258" s="22" t="n">
        <f aca="false">L258-M258-N258-W258</f>
        <v>2955.17852276461</v>
      </c>
      <c r="Y258" s="22" t="n">
        <f aca="false">Y257+X258</f>
        <v>105239.768704481</v>
      </c>
      <c r="Z258" s="22" t="n">
        <f aca="false">IF($A258&gt;=Premissas!$C$18,O258*(1-Premissas!$C$45)-Premissas!$C$46*MAX(0,O258*(1-Premissas!$C$45)-(SUM($W$5:$W$355)+Premissas!$C$26*Premissas!$C$60)),"")</f>
        <v>813989.236562779</v>
      </c>
      <c r="AA258" s="22" t="n">
        <f aca="false">IF($A258&gt;=Premissas!$C$18,Y258+Z258,"")</f>
        <v>919229.00526726</v>
      </c>
      <c r="AB258" s="22" t="n">
        <f aca="false">AB257*(1+$P258)-X258</f>
        <v>963918.963222733</v>
      </c>
      <c r="AC258" s="22" t="n">
        <f aca="false">AND($A258&gt;=Premissas!$C$16,$A258&lt;EDATE(Premissas!$C$16,3))*Premissas!$C$10/3*(1+Premissas!$C$56)^$C258</f>
        <v>0</v>
      </c>
      <c r="AD258" s="22" t="n">
        <f aca="false">L258-M258-N258-AC258</f>
        <v>2955.17852276461</v>
      </c>
      <c r="AE258" s="22" t="n">
        <f aca="false">AE257+AD258</f>
        <v>97619.3048244566</v>
      </c>
      <c r="AF258" s="22" t="n">
        <f aca="false">IF($A258&gt;=Premissas!$C$18,O258*(1-Premissas!$C$45)-Premissas!$C$46*MAX(0,O258*(1-Premissas!$C$45)-(SUM($AC$5:$AC$355)+Premissas!$C$26*Premissas!$C$60)),"")</f>
        <v>815132.306144782</v>
      </c>
      <c r="AG258" s="22" t="n">
        <f aca="false">IF($A258&gt;=Premissas!$C$18,AE258+AF258,"")</f>
        <v>912751.610969239</v>
      </c>
      <c r="AH258" s="22" t="n">
        <f aca="false">AH257*(1+$P258)-AD258</f>
        <v>992354.472960516</v>
      </c>
      <c r="AI258" s="22" t="n">
        <f aca="false">($A258=Premissas!$C$16)*0.2*Premissas!$C$11+AND($A258&gt;Premissas!$C$16,$A258&lt;=EDATE(Premissas!$C$16,43))*0.8*Premissas!$C$11/43*(1+Premissas!$C$56)^$C258</f>
        <v>0</v>
      </c>
      <c r="AJ258" s="22" t="n">
        <f aca="false">L258-M258-N258-AI258</f>
        <v>2955.17852276461</v>
      </c>
      <c r="AK258" s="22" t="n">
        <f aca="false">AK257+AJ258</f>
        <v>51754.8194063947</v>
      </c>
      <c r="AL258" s="22" t="n">
        <f aca="false">IF($A258&gt;=Premissas!$C$18,O258*(1-Premissas!$C$45)-Premissas!$C$46*MAX(0,O258*(1-Premissas!$C$45)-(SUM($AI$5:$AI$355)+Premissas!$C$26*Premissas!$C$60)),"")</f>
        <v>822011.978957492</v>
      </c>
      <c r="AM258" s="22" t="n">
        <f aca="false">IF($A258&gt;=Premissas!$C$18,AK258+AL258,"")</f>
        <v>873766.798363886</v>
      </c>
      <c r="AN258" s="22" t="n">
        <f aca="false">AN257*(1+$P258)-AJ258</f>
        <v>1018886.43152032</v>
      </c>
      <c r="AO258" s="22" t="n">
        <f aca="false">V258+S258</f>
        <v>921694.966748401</v>
      </c>
    </row>
    <row r="259" customFormat="false" ht="15" hidden="false" customHeight="false" outlineLevel="0" collapsed="false">
      <c r="A259" s="26" t="n">
        <f aca="false">DATE(YEAR(A258),MONTH(A258)+1,1)</f>
        <v>54027</v>
      </c>
      <c r="B259" s="22" t="str">
        <f aca="false">IF($A259&lt;Premissas!$C$18,"Obra",IF($A259&lt;Premissas!$C$20,"Entrega/mobília","Airbnb"))</f>
        <v>Airbnb</v>
      </c>
      <c r="C259" s="36" t="n">
        <f aca="false">(YEAR($A259)-YEAR(Premissas!$C$16))*12+MONTH($A259)-MONTH(Premissas!$C$16)</f>
        <v>254</v>
      </c>
      <c r="D259" s="33" t="n">
        <f aca="false">IF($A259&gt;=Premissas!$C$20,Premissas!$C$31*IF(((YEAR($A259)-YEAR(Premissas!$C$20))*12+MONTH($A259)-MONTH(Premissas!$C$20))&lt;Premissas!$C$33,Premissas!$C$34,1),0)</f>
        <v>0.62</v>
      </c>
      <c r="E259" s="22" t="n">
        <f aca="false">D259*Premissas!$C$30*Premissas!$C$32*(1+Premissas!$C$58)^$C259</f>
        <v>10665.7639551293</v>
      </c>
      <c r="F259" s="22" t="n">
        <f aca="false">E259*Premissas!$C$35</f>
        <v>1706.52223282068</v>
      </c>
      <c r="G259" s="22" t="n">
        <f aca="false">E259*Premissas!$C$36</f>
        <v>2133.15279102585</v>
      </c>
      <c r="H259" s="22" t="n">
        <f aca="false">IF($A259&gt;=Premissas!$C$18,Premissas!$C$37*(1+Premissas!$C$58)^$C259,0)</f>
        <v>1376.22760711345</v>
      </c>
      <c r="I259" s="22" t="n">
        <f aca="false">IF($A259&gt;=Premissas!$C$20,Premissas!$C$38*(1+Premissas!$C$58)^$C259,0)</f>
        <v>642.239549986278</v>
      </c>
      <c r="J259" s="22" t="n">
        <f aca="false">IF($A259&gt;=Premissas!$C$20,Premissas!$C$39*(1+Premissas!$C$58)^$C259,0)</f>
        <v>344.056901778363</v>
      </c>
      <c r="K259" s="22" t="n">
        <f aca="false">IF($A259&gt;=Premissas!$C$20,MAX(0,E259-F259-G259-H259)*Premissas!$C$41,0)</f>
        <v>1498.71186414655</v>
      </c>
      <c r="L259" s="22" t="n">
        <f aca="false">E259-F259-G259-H259-I259-J259-K259</f>
        <v>2964.85300825808</v>
      </c>
      <c r="M259" s="22" t="n">
        <f aca="false">($A259=Premissas!$C$18)*Premissas!$C$26*Premissas!$C$60</f>
        <v>0</v>
      </c>
      <c r="N259" s="22" t="n">
        <f aca="false">IF(AND($A259&gt;=Premissas!$C$18,$A259&lt;Premissas!$C$20),Premissas!$C$27/MAX(1,Premissas!$C$19),0)</f>
        <v>0</v>
      </c>
      <c r="O259" s="22" t="n">
        <f aca="false">IF($A259&gt;=Premissas!$C$18,Premissas!$C$60*(1+Premissas!$C$59)^((YEAR($A259)-YEAR(Premissas!$C$18))*12+MONTH($A259)-MONTH(Premissas!$C$18)),"")</f>
        <v>966851.786843118</v>
      </c>
      <c r="P259" s="31" t="n">
        <f aca="false">(1+IF(YEAR($A259)&lt;=2026,Premissas!$C$49,IF(YEAR($A259)=2027,Premissas!$C$50,IF(YEAR($A259)=2028,Premissas!$C$51,Premissas!$C$52)))*(1-Premissas!$C$53))^(1/12)-1</f>
        <v>0.00682149336596227</v>
      </c>
      <c r="Q259" s="22" t="n">
        <f aca="false">($A259=Premissas!$C$16)*Premissas!$C$13</f>
        <v>0</v>
      </c>
      <c r="R259" s="22" t="n">
        <f aca="false">L259-M259-N259-Q259</f>
        <v>2964.85300825808</v>
      </c>
      <c r="S259" s="22" t="n">
        <f aca="false">S258+R259</f>
        <v>139132.621712739</v>
      </c>
      <c r="T259" s="22" t="n">
        <f aca="false">IF($A259&gt;=Premissas!$C$18,O259*(1-Premissas!$C$45)-Premissas!$C$46*MAX(0,O259*(1-Premissas!$C$45)-(SUM($Q$5:$Q$355)+Premissas!$C$26*Premissas!$C$60)),"")</f>
        <v>812484.586034398</v>
      </c>
      <c r="U259" s="22" t="n">
        <f aca="false">IF($A259&gt;=Premissas!$C$18,S259+T259,"")</f>
        <v>951617.207747137</v>
      </c>
      <c r="V259" s="22" t="n">
        <f aca="false">V258*(1+$P259)-R259</f>
        <v>787920.813605901</v>
      </c>
      <c r="W259" s="22" t="n">
        <f aca="false">($A259=Premissas!$C$16)*Premissas!$C$9</f>
        <v>0</v>
      </c>
      <c r="X259" s="22" t="n">
        <f aca="false">L259-M259-N259-W259</f>
        <v>2964.85300825808</v>
      </c>
      <c r="Y259" s="22" t="n">
        <f aca="false">Y258+X259</f>
        <v>108204.621712739</v>
      </c>
      <c r="Z259" s="22" t="n">
        <f aca="false">IF($A259&gt;=Premissas!$C$18,O259*(1-Premissas!$C$45)-Premissas!$C$46*MAX(0,O259*(1-Premissas!$C$45)-(SUM($W$5:$W$355)+Premissas!$C$26*Premissas!$C$60)),"")</f>
        <v>817123.786034398</v>
      </c>
      <c r="AA259" s="22" t="n">
        <f aca="false">IF($A259&gt;=Premissas!$C$18,Y259+Z259,"")</f>
        <v>925328.407747137</v>
      </c>
      <c r="AB259" s="22" t="n">
        <f aca="false">AB258*(1+$P259)-X259</f>
        <v>967529.477027424</v>
      </c>
      <c r="AC259" s="22" t="n">
        <f aca="false">AND($A259&gt;=Premissas!$C$16,$A259&lt;EDATE(Premissas!$C$16,3))*Premissas!$C$10/3*(1+Premissas!$C$56)^$C259</f>
        <v>0</v>
      </c>
      <c r="AD259" s="22" t="n">
        <f aca="false">L259-M259-N259-AC259</f>
        <v>2964.85300825808</v>
      </c>
      <c r="AE259" s="22" t="n">
        <f aca="false">AE258+AD259</f>
        <v>100584.157832715</v>
      </c>
      <c r="AF259" s="22" t="n">
        <f aca="false">IF($A259&gt;=Premissas!$C$18,O259*(1-Premissas!$C$45)-Premissas!$C$46*MAX(0,O259*(1-Premissas!$C$45)-(SUM($AC$5:$AC$355)+Premissas!$C$26*Premissas!$C$60)),"")</f>
        <v>818266.855616401</v>
      </c>
      <c r="AG259" s="22" t="n">
        <f aca="false">IF($A259&gt;=Premissas!$C$18,AE259+AF259,"")</f>
        <v>918851.013449116</v>
      </c>
      <c r="AH259" s="22" t="n">
        <f aca="false">AH258*(1+$P259)-AD259</f>
        <v>996158.959406241</v>
      </c>
      <c r="AI259" s="22" t="n">
        <f aca="false">($A259=Premissas!$C$16)*0.2*Premissas!$C$11+AND($A259&gt;Premissas!$C$16,$A259&lt;=EDATE(Premissas!$C$16,43))*0.8*Premissas!$C$11/43*(1+Premissas!$C$56)^$C259</f>
        <v>0</v>
      </c>
      <c r="AJ259" s="22" t="n">
        <f aca="false">L259-M259-N259-AI259</f>
        <v>2964.85300825808</v>
      </c>
      <c r="AK259" s="22" t="n">
        <f aca="false">AK258+AJ259</f>
        <v>54719.6724146528</v>
      </c>
      <c r="AL259" s="22" t="n">
        <f aca="false">IF($A259&gt;=Premissas!$C$18,O259*(1-Premissas!$C$45)-Premissas!$C$46*MAX(0,O259*(1-Premissas!$C$45)-(SUM($AI$5:$AI$355)+Premissas!$C$26*Premissas!$C$60)),"")</f>
        <v>825146.528429111</v>
      </c>
      <c r="AM259" s="22" t="n">
        <f aca="false">IF($A259&gt;=Premissas!$C$18,AK259+AL259,"")</f>
        <v>879866.200843763</v>
      </c>
      <c r="AN259" s="22" t="n">
        <f aca="false">AN258*(1+$P259)-AJ259</f>
        <v>1022871.90554535</v>
      </c>
      <c r="AO259" s="22" t="n">
        <f aca="false">V259+S259</f>
        <v>927053.43531864</v>
      </c>
    </row>
    <row r="260" customFormat="false" ht="15" hidden="false" customHeight="false" outlineLevel="0" collapsed="false">
      <c r="A260" s="26" t="n">
        <f aca="false">DATE(YEAR(A259),MONTH(A259)+1,1)</f>
        <v>54058</v>
      </c>
      <c r="B260" s="22" t="str">
        <f aca="false">IF($A260&lt;Premissas!$C$18,"Obra",IF($A260&lt;Premissas!$C$20,"Entrega/mobília","Airbnb"))</f>
        <v>Airbnb</v>
      </c>
      <c r="C260" s="36" t="n">
        <f aca="false">(YEAR($A260)-YEAR(Premissas!$C$16))*12+MONTH($A260)-MONTH(Premissas!$C$16)</f>
        <v>255</v>
      </c>
      <c r="D260" s="33" t="n">
        <f aca="false">IF($A260&gt;=Premissas!$C$20,Premissas!$C$31*IF(((YEAR($A260)-YEAR(Premissas!$C$20))*12+MONTH($A260)-MONTH(Premissas!$C$20))&lt;Premissas!$C$33,Premissas!$C$34,1),0)</f>
        <v>0.62</v>
      </c>
      <c r="E260" s="22" t="n">
        <f aca="false">D260*Premissas!$C$30*Premissas!$C$32*(1+Premissas!$C$58)^$C260</f>
        <v>10700.6808908967</v>
      </c>
      <c r="F260" s="22" t="n">
        <f aca="false">E260*Premissas!$C$35</f>
        <v>1712.10894254347</v>
      </c>
      <c r="G260" s="22" t="n">
        <f aca="false">E260*Premissas!$C$36</f>
        <v>2140.13617817934</v>
      </c>
      <c r="H260" s="22" t="n">
        <f aca="false">IF($A260&gt;=Premissas!$C$18,Premissas!$C$37*(1+Premissas!$C$58)^$C260,0)</f>
        <v>1380.73301818022</v>
      </c>
      <c r="I260" s="22" t="n">
        <f aca="false">IF($A260&gt;=Premissas!$C$20,Premissas!$C$38*(1+Premissas!$C$58)^$C260,0)</f>
        <v>644.34207515077</v>
      </c>
      <c r="J260" s="22" t="n">
        <f aca="false">IF($A260&gt;=Premissas!$C$20,Premissas!$C$39*(1+Premissas!$C$58)^$C260,0)</f>
        <v>345.183254545055</v>
      </c>
      <c r="K260" s="22" t="n">
        <f aca="false">IF($A260&gt;=Premissas!$C$20,MAX(0,E260-F260-G260-H260)*Premissas!$C$41,0)</f>
        <v>1503.61825679826</v>
      </c>
      <c r="L260" s="22" t="n">
        <f aca="false">E260-F260-G260-H260-I260-J260-K260</f>
        <v>2974.55916549959</v>
      </c>
      <c r="M260" s="22" t="n">
        <f aca="false">($A260=Premissas!$C$18)*Premissas!$C$26*Premissas!$C$60</f>
        <v>0</v>
      </c>
      <c r="N260" s="22" t="n">
        <f aca="false">IF(AND($A260&gt;=Premissas!$C$18,$A260&lt;Premissas!$C$20),Premissas!$C$27/MAX(1,Premissas!$C$19),0)</f>
        <v>0</v>
      </c>
      <c r="O260" s="22" t="n">
        <f aca="false">IF($A260&gt;=Premissas!$C$18,Premissas!$C$60*(1+Premissas!$C$59)^((YEAR($A260)-YEAR(Premissas!$C$18))*12+MONTH($A260)-MONTH(Premissas!$C$18)),"")</f>
        <v>970790.860703159</v>
      </c>
      <c r="P260" s="31" t="n">
        <f aca="false">(1+IF(YEAR($A260)&lt;=2026,Premissas!$C$49,IF(YEAR($A260)=2027,Premissas!$C$50,IF(YEAR($A260)=2028,Premissas!$C$51,Premissas!$C$52)))*(1-Premissas!$C$53))^(1/12)-1</f>
        <v>0.00682149336596227</v>
      </c>
      <c r="Q260" s="22" t="n">
        <f aca="false">($A260=Premissas!$C$16)*Premissas!$C$13</f>
        <v>0</v>
      </c>
      <c r="R260" s="22" t="n">
        <f aca="false">L260-M260-N260-Q260</f>
        <v>2974.55916549959</v>
      </c>
      <c r="S260" s="22" t="n">
        <f aca="false">S259+R260</f>
        <v>142107.180878239</v>
      </c>
      <c r="T260" s="22" t="n">
        <f aca="false">IF($A260&gt;=Premissas!$C$18,O260*(1-Premissas!$C$45)-Premissas!$C$46*MAX(0,O260*(1-Premissas!$C$45)-(SUM($Q$5:$Q$355)+Premissas!$C$26*Premissas!$C$60)),"")</f>
        <v>815631.90604857</v>
      </c>
      <c r="U260" s="22" t="n">
        <f aca="false">IF($A260&gt;=Premissas!$C$18,S260+T260,"")</f>
        <v>957739.086926809</v>
      </c>
      <c r="V260" s="22" t="n">
        <f aca="false">V259*(1+$P260)-R260</f>
        <v>790321.051043318</v>
      </c>
      <c r="W260" s="22" t="n">
        <f aca="false">($A260=Premissas!$C$16)*Premissas!$C$9</f>
        <v>0</v>
      </c>
      <c r="X260" s="22" t="n">
        <f aca="false">L260-M260-N260-W260</f>
        <v>2974.55916549959</v>
      </c>
      <c r="Y260" s="22" t="n">
        <f aca="false">Y259+X260</f>
        <v>111179.180878239</v>
      </c>
      <c r="Z260" s="22" t="n">
        <f aca="false">IF($A260&gt;=Premissas!$C$18,O260*(1-Premissas!$C$45)-Premissas!$C$46*MAX(0,O260*(1-Premissas!$C$45)-(SUM($W$5:$W$355)+Premissas!$C$26*Premissas!$C$60)),"")</f>
        <v>820271.10604857</v>
      </c>
      <c r="AA260" s="22" t="n">
        <f aca="false">IF($A260&gt;=Premissas!$C$18,Y260+Z260,"")</f>
        <v>931450.286926809</v>
      </c>
      <c r="AB260" s="22" t="n">
        <f aca="false">AB259*(1+$P260)-X260</f>
        <v>971154.91377084</v>
      </c>
      <c r="AC260" s="22" t="n">
        <f aca="false">AND($A260&gt;=Premissas!$C$16,$A260&lt;EDATE(Premissas!$C$16,3))*Premissas!$C$10/3*(1+Premissas!$C$56)^$C260</f>
        <v>0</v>
      </c>
      <c r="AD260" s="22" t="n">
        <f aca="false">L260-M260-N260-AC260</f>
        <v>2974.55916549959</v>
      </c>
      <c r="AE260" s="22" t="n">
        <f aca="false">AE259+AD260</f>
        <v>103558.716998214</v>
      </c>
      <c r="AF260" s="22" t="n">
        <f aca="false">IF($A260&gt;=Premissas!$C$18,O260*(1-Premissas!$C$45)-Premissas!$C$46*MAX(0,O260*(1-Premissas!$C$45)-(SUM($AC$5:$AC$355)+Premissas!$C$26*Premissas!$C$60)),"")</f>
        <v>821414.175630574</v>
      </c>
      <c r="AG260" s="22" t="n">
        <f aca="false">IF($A260&gt;=Premissas!$C$18,AE260+AF260,"")</f>
        <v>924972.892628788</v>
      </c>
      <c r="AH260" s="22" t="n">
        <f aca="false">AH259*(1+$P260)-AD260</f>
        <v>999979.691973775</v>
      </c>
      <c r="AI260" s="22" t="n">
        <f aca="false">($A260=Premissas!$C$16)*0.2*Premissas!$C$11+AND($A260&gt;Premissas!$C$16,$A260&lt;=EDATE(Premissas!$C$16,43))*0.8*Premissas!$C$11/43*(1+Premissas!$C$56)^$C260</f>
        <v>0</v>
      </c>
      <c r="AJ260" s="22" t="n">
        <f aca="false">L260-M260-N260-AI260</f>
        <v>2974.55916549959</v>
      </c>
      <c r="AK260" s="22" t="n">
        <f aca="false">AK259+AJ260</f>
        <v>57694.2315801523</v>
      </c>
      <c r="AL260" s="22" t="n">
        <f aca="false">IF($A260&gt;=Premissas!$C$18,O260*(1-Premissas!$C$45)-Premissas!$C$46*MAX(0,O260*(1-Premissas!$C$45)-(SUM($AI$5:$AI$355)+Premissas!$C$26*Premissas!$C$60)),"")</f>
        <v>828293.848443283</v>
      </c>
      <c r="AM260" s="22" t="n">
        <f aca="false">IF($A260&gt;=Premissas!$C$18,AK260+AL260,"")</f>
        <v>885988.080023435</v>
      </c>
      <c r="AN260" s="22" t="n">
        <f aca="false">AN259*(1+$P260)-AJ260</f>
        <v>1026874.86029776</v>
      </c>
      <c r="AO260" s="22" t="n">
        <f aca="false">V260+S260</f>
        <v>932428.231921557</v>
      </c>
    </row>
    <row r="261" customFormat="false" ht="15" hidden="false" customHeight="false" outlineLevel="0" collapsed="false">
      <c r="A261" s="26" t="n">
        <f aca="false">DATE(YEAR(A260),MONTH(A260)+1,1)</f>
        <v>54089</v>
      </c>
      <c r="B261" s="22" t="str">
        <f aca="false">IF($A261&lt;Premissas!$C$18,"Obra",IF($A261&lt;Premissas!$C$20,"Entrega/mobília","Airbnb"))</f>
        <v>Airbnb</v>
      </c>
      <c r="C261" s="36" t="n">
        <f aca="false">(YEAR($A261)-YEAR(Premissas!$C$16))*12+MONTH($A261)-MONTH(Premissas!$C$16)</f>
        <v>256</v>
      </c>
      <c r="D261" s="33" t="n">
        <f aca="false">IF($A261&gt;=Premissas!$C$20,Premissas!$C$31*IF(((YEAR($A261)-YEAR(Premissas!$C$20))*12+MONTH($A261)-MONTH(Premissas!$C$20))&lt;Premissas!$C$33,Premissas!$C$34,1),0)</f>
        <v>0.62</v>
      </c>
      <c r="E261" s="22" t="n">
        <f aca="false">D261*Premissas!$C$30*Premissas!$C$32*(1+Premissas!$C$58)^$C261</f>
        <v>10735.7121356259</v>
      </c>
      <c r="F261" s="22" t="n">
        <f aca="false">E261*Premissas!$C$35</f>
        <v>1717.71394170014</v>
      </c>
      <c r="G261" s="22" t="n">
        <f aca="false">E261*Premissas!$C$36</f>
        <v>2147.14242712517</v>
      </c>
      <c r="H261" s="22" t="n">
        <f aca="false">IF($A261&gt;=Premissas!$C$18,Premissas!$C$37*(1+Premissas!$C$58)^$C261,0)</f>
        <v>1385.25317879043</v>
      </c>
      <c r="I261" s="22" t="n">
        <f aca="false">IF($A261&gt;=Premissas!$C$20,Premissas!$C$38*(1+Premissas!$C$58)^$C261,0)</f>
        <v>646.451483435536</v>
      </c>
      <c r="J261" s="22" t="n">
        <f aca="false">IF($A261&gt;=Premissas!$C$20,Premissas!$C$39*(1+Premissas!$C$58)^$C261,0)</f>
        <v>346.313294697608</v>
      </c>
      <c r="K261" s="22" t="n">
        <f aca="false">IF($A261&gt;=Premissas!$C$20,MAX(0,E261-F261-G261-H261)*Premissas!$C$41,0)</f>
        <v>1508.54071170278</v>
      </c>
      <c r="L261" s="22" t="n">
        <f aca="false">E261-F261-G261-H261-I261-J261-K261</f>
        <v>2984.29709817419</v>
      </c>
      <c r="M261" s="22" t="n">
        <f aca="false">($A261=Premissas!$C$18)*Premissas!$C$26*Premissas!$C$60</f>
        <v>0</v>
      </c>
      <c r="N261" s="22" t="n">
        <f aca="false">IF(AND($A261&gt;=Premissas!$C$18,$A261&lt;Premissas!$C$20),Premissas!$C$27/MAX(1,Premissas!$C$19),0)</f>
        <v>0</v>
      </c>
      <c r="O261" s="22" t="n">
        <f aca="false">IF($A261&gt;=Premissas!$C$18,Premissas!$C$60*(1+Premissas!$C$59)^((YEAR($A261)-YEAR(Premissas!$C$18))*12+MONTH($A261)-MONTH(Premissas!$C$18)),"")</f>
        <v>974745.982837698</v>
      </c>
      <c r="P261" s="31" t="n">
        <f aca="false">(1+IF(YEAR($A261)&lt;=2026,Premissas!$C$49,IF(YEAR($A261)=2027,Premissas!$C$50,IF(YEAR($A261)=2028,Premissas!$C$51,Premissas!$C$52)))*(1-Premissas!$C$53))^(1/12)-1</f>
        <v>0.00682149336596227</v>
      </c>
      <c r="Q261" s="22" t="n">
        <f aca="false">($A261=Premissas!$C$16)*Premissas!$C$13</f>
        <v>0</v>
      </c>
      <c r="R261" s="22" t="n">
        <f aca="false">L261-M261-N261-Q261</f>
        <v>2984.29709817419</v>
      </c>
      <c r="S261" s="22" t="n">
        <f aca="false">S260+R261</f>
        <v>145091.477976413</v>
      </c>
      <c r="T261" s="22" t="n">
        <f aca="false">IF($A261&gt;=Premissas!$C$18,O261*(1-Premissas!$C$45)-Premissas!$C$46*MAX(0,O261*(1-Premissas!$C$45)-(SUM($Q$5:$Q$355)+Premissas!$C$26*Premissas!$C$60)),"")</f>
        <v>818792.048634067</v>
      </c>
      <c r="U261" s="22" t="n">
        <f aca="false">IF($A261&gt;=Premissas!$C$18,S261+T261,"")</f>
        <v>963883.52661048</v>
      </c>
      <c r="V261" s="22" t="n">
        <f aca="false">V260*(1+$P261)-R261</f>
        <v>792727.923751816</v>
      </c>
      <c r="W261" s="22" t="n">
        <f aca="false">($A261=Premissas!$C$16)*Premissas!$C$9</f>
        <v>0</v>
      </c>
      <c r="X261" s="22" t="n">
        <f aca="false">L261-M261-N261-W261</f>
        <v>2984.29709817419</v>
      </c>
      <c r="Y261" s="22" t="n">
        <f aca="false">Y260+X261</f>
        <v>114163.477976413</v>
      </c>
      <c r="Z261" s="22" t="n">
        <f aca="false">IF($A261&gt;=Premissas!$C$18,O261*(1-Premissas!$C$45)-Premissas!$C$46*MAX(0,O261*(1-Premissas!$C$45)-(SUM($W$5:$W$355)+Premissas!$C$26*Premissas!$C$60)),"")</f>
        <v>823431.248634067</v>
      </c>
      <c r="AA261" s="22" t="n">
        <f aca="false">IF($A261&gt;=Premissas!$C$18,Y261+Z261,"")</f>
        <v>937594.72661048</v>
      </c>
      <c r="AB261" s="22" t="n">
        <f aca="false">AB260*(1+$P261)-X261</f>
        <v>974795.343474275</v>
      </c>
      <c r="AC261" s="22" t="n">
        <f aca="false">AND($A261&gt;=Premissas!$C$16,$A261&lt;EDATE(Premissas!$C$16,3))*Premissas!$C$10/3*(1+Premissas!$C$56)^$C261</f>
        <v>0</v>
      </c>
      <c r="AD261" s="22" t="n">
        <f aca="false">L261-M261-N261-AC261</f>
        <v>2984.29709817419</v>
      </c>
      <c r="AE261" s="22" t="n">
        <f aca="false">AE260+AD261</f>
        <v>106543.014096388</v>
      </c>
      <c r="AF261" s="22" t="n">
        <f aca="false">IF($A261&gt;=Premissas!$C$18,O261*(1-Premissas!$C$45)-Premissas!$C$46*MAX(0,O261*(1-Premissas!$C$45)-(SUM($AC$5:$AC$355)+Premissas!$C$26*Premissas!$C$60)),"")</f>
        <v>824574.31821607</v>
      </c>
      <c r="AG261" s="22" t="n">
        <f aca="false">IF($A261&gt;=Premissas!$C$18,AE261+AF261,"")</f>
        <v>931117.332312459</v>
      </c>
      <c r="AH261" s="22" t="n">
        <f aca="false">AH260*(1+$P261)-AD261</f>
        <v>1003816.7497105</v>
      </c>
      <c r="AI261" s="22" t="n">
        <f aca="false">($A261=Premissas!$C$16)*0.2*Premissas!$C$11+AND($A261&gt;Premissas!$C$16,$A261&lt;=EDATE(Premissas!$C$16,43))*0.8*Premissas!$C$11/43*(1+Premissas!$C$56)^$C261</f>
        <v>0</v>
      </c>
      <c r="AJ261" s="22" t="n">
        <f aca="false">L261-M261-N261-AI261</f>
        <v>2984.29709817419</v>
      </c>
      <c r="AK261" s="22" t="n">
        <f aca="false">AK260+AJ261</f>
        <v>60678.5286783265</v>
      </c>
      <c r="AL261" s="22" t="n">
        <f aca="false">IF($A261&gt;=Premissas!$C$18,O261*(1-Premissas!$C$45)-Premissas!$C$46*MAX(0,O261*(1-Premissas!$C$45)-(SUM($AI$5:$AI$355)+Premissas!$C$26*Premissas!$C$60)),"")</f>
        <v>831453.99102878</v>
      </c>
      <c r="AM261" s="22" t="n">
        <f aca="false">IF($A261&gt;=Premissas!$C$18,AK261+AL261,"")</f>
        <v>892132.519707106</v>
      </c>
      <c r="AN261" s="22" t="n">
        <f aca="false">AN260*(1+$P261)-AJ261</f>
        <v>1030895.38324678</v>
      </c>
      <c r="AO261" s="22" t="n">
        <f aca="false">V261+S261</f>
        <v>937819.401728229</v>
      </c>
    </row>
    <row r="262" customFormat="false" ht="15" hidden="false" customHeight="false" outlineLevel="0" collapsed="false">
      <c r="A262" s="26" t="n">
        <f aca="false">DATE(YEAR(A261),MONTH(A261)+1,1)</f>
        <v>54118</v>
      </c>
      <c r="B262" s="22" t="str">
        <f aca="false">IF($A262&lt;Premissas!$C$18,"Obra",IF($A262&lt;Premissas!$C$20,"Entrega/mobília","Airbnb"))</f>
        <v>Airbnb</v>
      </c>
      <c r="C262" s="36" t="n">
        <f aca="false">(YEAR($A262)-YEAR(Premissas!$C$16))*12+MONTH($A262)-MONTH(Premissas!$C$16)</f>
        <v>257</v>
      </c>
      <c r="D262" s="33" t="n">
        <f aca="false">IF($A262&gt;=Premissas!$C$20,Premissas!$C$31*IF(((YEAR($A262)-YEAR(Premissas!$C$20))*12+MONTH($A262)-MONTH(Premissas!$C$20))&lt;Premissas!$C$33,Premissas!$C$34,1),0)</f>
        <v>0.62</v>
      </c>
      <c r="E262" s="22" t="n">
        <f aca="false">D262*Premissas!$C$30*Premissas!$C$32*(1+Premissas!$C$58)^$C262</f>
        <v>10770.8580635345</v>
      </c>
      <c r="F262" s="22" t="n">
        <f aca="false">E262*Premissas!$C$35</f>
        <v>1723.33729016552</v>
      </c>
      <c r="G262" s="22" t="n">
        <f aca="false">E262*Premissas!$C$36</f>
        <v>2154.1716127069</v>
      </c>
      <c r="H262" s="22" t="n">
        <f aca="false">IF($A262&gt;=Premissas!$C$18,Premissas!$C$37*(1+Premissas!$C$58)^$C262,0)</f>
        <v>1389.78813723026</v>
      </c>
      <c r="I262" s="22" t="n">
        <f aca="false">IF($A262&gt;=Premissas!$C$20,Premissas!$C$38*(1+Premissas!$C$58)^$C262,0)</f>
        <v>648.56779737412</v>
      </c>
      <c r="J262" s="22" t="n">
        <f aca="false">IF($A262&gt;=Premissas!$C$20,Premissas!$C$39*(1+Premissas!$C$58)^$C262,0)</f>
        <v>347.447034307564</v>
      </c>
      <c r="K262" s="22" t="n">
        <f aca="false">IF($A262&gt;=Premissas!$C$20,MAX(0,E262-F262-G262-H262)*Premissas!$C$41,0)</f>
        <v>1513.47928144375</v>
      </c>
      <c r="L262" s="22" t="n">
        <f aca="false">E262-F262-G262-H262-I262-J262-K262</f>
        <v>2994.06691030638</v>
      </c>
      <c r="M262" s="22" t="n">
        <f aca="false">($A262=Premissas!$C$18)*Premissas!$C$26*Premissas!$C$60</f>
        <v>0</v>
      </c>
      <c r="N262" s="22" t="n">
        <f aca="false">IF(AND($A262&gt;=Premissas!$C$18,$A262&lt;Premissas!$C$20),Premissas!$C$27/MAX(1,Premissas!$C$19),0)</f>
        <v>0</v>
      </c>
      <c r="O262" s="22" t="n">
        <f aca="false">IF($A262&gt;=Premissas!$C$18,Premissas!$C$60*(1+Premissas!$C$59)^((YEAR($A262)-YEAR(Premissas!$C$18))*12+MONTH($A262)-MONTH(Premissas!$C$18)),"")</f>
        <v>978717.218629393</v>
      </c>
      <c r="P262" s="31" t="n">
        <f aca="false">(1+IF(YEAR($A262)&lt;=2026,Premissas!$C$49,IF(YEAR($A262)=2027,Premissas!$C$50,IF(YEAR($A262)=2028,Premissas!$C$51,Premissas!$C$52)))*(1-Premissas!$C$53))^(1/12)-1</f>
        <v>0.00682149336596227</v>
      </c>
      <c r="Q262" s="22" t="n">
        <f aca="false">($A262=Premissas!$C$16)*Premissas!$C$13</f>
        <v>0</v>
      </c>
      <c r="R262" s="22" t="n">
        <f aca="false">L262-M262-N262-Q262</f>
        <v>2994.06691030638</v>
      </c>
      <c r="S262" s="22" t="n">
        <f aca="false">S261+R262</f>
        <v>148085.54488672</v>
      </c>
      <c r="T262" s="22" t="n">
        <f aca="false">IF($A262&gt;=Premissas!$C$18,O262*(1-Premissas!$C$45)-Premissas!$C$46*MAX(0,O262*(1-Premissas!$C$45)-(SUM($Q$5:$Q$355)+Premissas!$C$26*Premissas!$C$60)),"")</f>
        <v>821965.066031631</v>
      </c>
      <c r="U262" s="22" t="n">
        <f aca="false">IF($A262&gt;=Premissas!$C$18,S262+T262,"")</f>
        <v>970050.61091835</v>
      </c>
      <c r="V262" s="22" t="n">
        <f aca="false">V261*(1+$P262)-R262</f>
        <v>795141.445114395</v>
      </c>
      <c r="W262" s="22" t="n">
        <f aca="false">($A262=Premissas!$C$16)*Premissas!$C$9</f>
        <v>0</v>
      </c>
      <c r="X262" s="22" t="n">
        <f aca="false">L262-M262-N262-W262</f>
        <v>2994.06691030638</v>
      </c>
      <c r="Y262" s="22" t="n">
        <f aca="false">Y261+X262</f>
        <v>117157.54488672</v>
      </c>
      <c r="Z262" s="22" t="n">
        <f aca="false">IF($A262&gt;=Premissas!$C$18,O262*(1-Premissas!$C$45)-Premissas!$C$46*MAX(0,O262*(1-Premissas!$C$45)-(SUM($W$5:$W$355)+Premissas!$C$26*Premissas!$C$60)),"")</f>
        <v>826604.266031631</v>
      </c>
      <c r="AA262" s="22" t="n">
        <f aca="false">IF($A262&gt;=Premissas!$C$18,Y262+Z262,"")</f>
        <v>943761.810918351</v>
      </c>
      <c r="AB262" s="22" t="n">
        <f aca="false">AB261*(1+$P262)-X262</f>
        <v>978450.83653265</v>
      </c>
      <c r="AC262" s="22" t="n">
        <f aca="false">AND($A262&gt;=Premissas!$C$16,$A262&lt;EDATE(Premissas!$C$16,3))*Premissas!$C$10/3*(1+Premissas!$C$56)^$C262</f>
        <v>0</v>
      </c>
      <c r="AD262" s="22" t="n">
        <f aca="false">L262-M262-N262-AC262</f>
        <v>2994.06691030638</v>
      </c>
      <c r="AE262" s="22" t="n">
        <f aca="false">AE261+AD262</f>
        <v>109537.081006695</v>
      </c>
      <c r="AF262" s="22" t="n">
        <f aca="false">IF($A262&gt;=Premissas!$C$18,O262*(1-Premissas!$C$45)-Premissas!$C$46*MAX(0,O262*(1-Premissas!$C$45)-(SUM($AC$5:$AC$355)+Premissas!$C$26*Premissas!$C$60)),"")</f>
        <v>827747.335613635</v>
      </c>
      <c r="AG262" s="22" t="n">
        <f aca="false">IF($A262&gt;=Premissas!$C$18,AE262+AF262,"")</f>
        <v>937284.416620329</v>
      </c>
      <c r="AH262" s="22" t="n">
        <f aca="false">AH261*(1+$P262)-AD262</f>
        <v>1007670.21209898</v>
      </c>
      <c r="AI262" s="22" t="n">
        <f aca="false">($A262=Premissas!$C$16)*0.2*Premissas!$C$11+AND($A262&gt;Premissas!$C$16,$A262&lt;=EDATE(Premissas!$C$16,43))*0.8*Premissas!$C$11/43*(1+Premissas!$C$56)^$C262</f>
        <v>0</v>
      </c>
      <c r="AJ262" s="22" t="n">
        <f aca="false">L262-M262-N262-AI262</f>
        <v>2994.06691030638</v>
      </c>
      <c r="AK262" s="22" t="n">
        <f aca="false">AK261+AJ262</f>
        <v>63672.5955886329</v>
      </c>
      <c r="AL262" s="22" t="n">
        <f aca="false">IF($A262&gt;=Premissas!$C$18,O262*(1-Premissas!$C$45)-Premissas!$C$46*MAX(0,O262*(1-Premissas!$C$45)-(SUM($AI$5:$AI$355)+Premissas!$C$26*Premissas!$C$60)),"")</f>
        <v>834627.008426344</v>
      </c>
      <c r="AM262" s="22" t="n">
        <f aca="false">IF($A262&gt;=Premissas!$C$18,AK262+AL262,"")</f>
        <v>898299.604014977</v>
      </c>
      <c r="AN262" s="22" t="n">
        <f aca="false">AN261*(1+$P262)-AJ262</f>
        <v>1034933.56235429</v>
      </c>
      <c r="AO262" s="22" t="n">
        <f aca="false">V262+S262</f>
        <v>943226.990001115</v>
      </c>
    </row>
    <row r="263" customFormat="false" ht="15" hidden="false" customHeight="false" outlineLevel="0" collapsed="false">
      <c r="A263" s="26" t="n">
        <f aca="false">DATE(YEAR(A262),MONTH(A262)+1,1)</f>
        <v>54149</v>
      </c>
      <c r="B263" s="22" t="str">
        <f aca="false">IF($A263&lt;Premissas!$C$18,"Obra",IF($A263&lt;Premissas!$C$20,"Entrega/mobília","Airbnb"))</f>
        <v>Airbnb</v>
      </c>
      <c r="C263" s="36" t="n">
        <f aca="false">(YEAR($A263)-YEAR(Premissas!$C$16))*12+MONTH($A263)-MONTH(Premissas!$C$16)</f>
        <v>258</v>
      </c>
      <c r="D263" s="33" t="n">
        <f aca="false">IF($A263&gt;=Premissas!$C$20,Premissas!$C$31*IF(((YEAR($A263)-YEAR(Premissas!$C$20))*12+MONTH($A263)-MONTH(Premissas!$C$20))&lt;Premissas!$C$33,Premissas!$C$34,1),0)</f>
        <v>0.62</v>
      </c>
      <c r="E263" s="22" t="n">
        <f aca="false">D263*Premissas!$C$30*Premissas!$C$32*(1+Premissas!$C$58)^$C263</f>
        <v>10806.1190500655</v>
      </c>
      <c r="F263" s="22" t="n">
        <f aca="false">E263*Premissas!$C$35</f>
        <v>1728.97904801048</v>
      </c>
      <c r="G263" s="22" t="n">
        <f aca="false">E263*Premissas!$C$36</f>
        <v>2161.2238100131</v>
      </c>
      <c r="H263" s="22" t="n">
        <f aca="false">IF($A263&gt;=Premissas!$C$18,Premissas!$C$37*(1+Premissas!$C$58)^$C263,0)</f>
        <v>1394.33794194394</v>
      </c>
      <c r="I263" s="22" t="n">
        <f aca="false">IF($A263&gt;=Premissas!$C$20,Premissas!$C$38*(1+Premissas!$C$58)^$C263,0)</f>
        <v>650.691039573837</v>
      </c>
      <c r="J263" s="22" t="n">
        <f aca="false">IF($A263&gt;=Premissas!$C$20,Premissas!$C$39*(1+Premissas!$C$58)^$C263,0)</f>
        <v>348.584485485984</v>
      </c>
      <c r="K263" s="22" t="n">
        <f aca="false">IF($A263&gt;=Premissas!$C$20,MAX(0,E263-F263-G263-H263)*Premissas!$C$41,0)</f>
        <v>1518.43401877695</v>
      </c>
      <c r="L263" s="22" t="n">
        <f aca="false">E263-F263-G263-H263-I263-J263-K263</f>
        <v>3003.86870626122</v>
      </c>
      <c r="M263" s="22" t="n">
        <f aca="false">($A263=Premissas!$C$18)*Premissas!$C$26*Premissas!$C$60</f>
        <v>0</v>
      </c>
      <c r="N263" s="22" t="n">
        <f aca="false">IF(AND($A263&gt;=Premissas!$C$18,$A263&lt;Premissas!$C$20),Premissas!$C$27/MAX(1,Premissas!$C$19),0)</f>
        <v>0</v>
      </c>
      <c r="O263" s="22" t="n">
        <f aca="false">IF($A263&gt;=Premissas!$C$18,Premissas!$C$60*(1+Premissas!$C$59)^((YEAR($A263)-YEAR(Premissas!$C$18))*12+MONTH($A263)-MONTH(Premissas!$C$18)),"")</f>
        <v>982704.633727277</v>
      </c>
      <c r="P263" s="31" t="n">
        <f aca="false">(1+IF(YEAR($A263)&lt;=2026,Premissas!$C$49,IF(YEAR($A263)=2027,Premissas!$C$50,IF(YEAR($A263)=2028,Premissas!$C$51,Premissas!$C$52)))*(1-Premissas!$C$53))^(1/12)-1</f>
        <v>0.00682149336596227</v>
      </c>
      <c r="Q263" s="22" t="n">
        <f aca="false">($A263=Premissas!$C$16)*Premissas!$C$13</f>
        <v>0</v>
      </c>
      <c r="R263" s="22" t="n">
        <f aca="false">L263-M263-N263-Q263</f>
        <v>3003.86870626122</v>
      </c>
      <c r="S263" s="22" t="n">
        <f aca="false">S262+R263</f>
        <v>151089.413592981</v>
      </c>
      <c r="T263" s="22" t="n">
        <f aca="false">IF($A263&gt;=Premissas!$C$18,O263*(1-Premissas!$C$45)-Premissas!$C$46*MAX(0,O263*(1-Premissas!$C$45)-(SUM($Q$5:$Q$355)+Premissas!$C$26*Premissas!$C$60)),"")</f>
        <v>825151.01069484</v>
      </c>
      <c r="U263" s="22" t="n">
        <f aca="false">IF($A263&gt;=Premissas!$C$18,S263+T263,"")</f>
        <v>976240.424287821</v>
      </c>
      <c r="V263" s="22" t="n">
        <f aca="false">V262*(1+$P263)-R263</f>
        <v>797561.628500984</v>
      </c>
      <c r="W263" s="22" t="n">
        <f aca="false">($A263=Premissas!$C$16)*Premissas!$C$9</f>
        <v>0</v>
      </c>
      <c r="X263" s="22" t="n">
        <f aca="false">L263-M263-N263-W263</f>
        <v>3003.86870626122</v>
      </c>
      <c r="Y263" s="22" t="n">
        <f aca="false">Y262+X263</f>
        <v>120161.413592981</v>
      </c>
      <c r="Z263" s="22" t="n">
        <f aca="false">IF($A263&gt;=Premissas!$C$18,O263*(1-Premissas!$C$45)-Premissas!$C$46*MAX(0,O263*(1-Premissas!$C$45)-(SUM($W$5:$W$355)+Premissas!$C$26*Premissas!$C$60)),"")</f>
        <v>829790.21069484</v>
      </c>
      <c r="AA263" s="22" t="n">
        <f aca="false">IF($A263&gt;=Premissas!$C$18,Y263+Z263,"")</f>
        <v>949951.624287821</v>
      </c>
      <c r="AB263" s="22" t="n">
        <f aca="false">AB262*(1+$P263)-X263</f>
        <v>982121.463716716</v>
      </c>
      <c r="AC263" s="22" t="n">
        <f aca="false">AND($A263&gt;=Premissas!$C$16,$A263&lt;EDATE(Premissas!$C$16,3))*Premissas!$C$10/3*(1+Premissas!$C$56)^$C263</f>
        <v>0</v>
      </c>
      <c r="AD263" s="22" t="n">
        <f aca="false">L263-M263-N263-AC263</f>
        <v>3003.86870626122</v>
      </c>
      <c r="AE263" s="22" t="n">
        <f aca="false">AE262+AD263</f>
        <v>112540.949712956</v>
      </c>
      <c r="AF263" s="22" t="n">
        <f aca="false">IF($A263&gt;=Premissas!$C$18,O263*(1-Premissas!$C$45)-Premissas!$C$46*MAX(0,O263*(1-Premissas!$C$45)-(SUM($AC$5:$AC$355)+Premissas!$C$26*Premissas!$C$60)),"")</f>
        <v>830933.280276844</v>
      </c>
      <c r="AG263" s="22" t="n">
        <f aca="false">IF($A263&gt;=Premissas!$C$18,AE263+AF263,"")</f>
        <v>943474.2299898</v>
      </c>
      <c r="AH263" s="22" t="n">
        <f aca="false">AH262*(1+$P263)-AD263</f>
        <v>1011540.15905963</v>
      </c>
      <c r="AI263" s="22" t="n">
        <f aca="false">($A263=Premissas!$C$16)*0.2*Premissas!$C$11+AND($A263&gt;Premissas!$C$16,$A263&lt;=EDATE(Premissas!$C$16,43))*0.8*Premissas!$C$11/43*(1+Premissas!$C$56)^$C263</f>
        <v>0</v>
      </c>
      <c r="AJ263" s="22" t="n">
        <f aca="false">L263-M263-N263-AI263</f>
        <v>3003.86870626122</v>
      </c>
      <c r="AK263" s="22" t="n">
        <f aca="false">AK262+AJ263</f>
        <v>66676.4642948941</v>
      </c>
      <c r="AL263" s="22" t="n">
        <f aca="false">IF($A263&gt;=Premissas!$C$18,O263*(1-Premissas!$C$45)-Premissas!$C$46*MAX(0,O263*(1-Premissas!$C$45)-(SUM($AI$5:$AI$355)+Premissas!$C$26*Premissas!$C$60)),"")</f>
        <v>837812.953089553</v>
      </c>
      <c r="AM263" s="22" t="n">
        <f aca="false">IF($A263&gt;=Premissas!$C$18,AK263+AL263,"")</f>
        <v>904489.417384447</v>
      </c>
      <c r="AN263" s="22" t="n">
        <f aca="false">AN262*(1+$P263)-AJ263</f>
        <v>1038989.48607784</v>
      </c>
      <c r="AO263" s="22" t="n">
        <f aca="false">V263+S263</f>
        <v>948651.042093964</v>
      </c>
    </row>
    <row r="264" customFormat="false" ht="15" hidden="false" customHeight="false" outlineLevel="0" collapsed="false">
      <c r="A264" s="26" t="n">
        <f aca="false">DATE(YEAR(A263),MONTH(A263)+1,1)</f>
        <v>54179</v>
      </c>
      <c r="B264" s="22" t="str">
        <f aca="false">IF($A264&lt;Premissas!$C$18,"Obra",IF($A264&lt;Premissas!$C$20,"Entrega/mobília","Airbnb"))</f>
        <v>Airbnb</v>
      </c>
      <c r="C264" s="36" t="n">
        <f aca="false">(YEAR($A264)-YEAR(Premissas!$C$16))*12+MONTH($A264)-MONTH(Premissas!$C$16)</f>
        <v>259</v>
      </c>
      <c r="D264" s="33" t="n">
        <f aca="false">IF($A264&gt;=Premissas!$C$20,Premissas!$C$31*IF(((YEAR($A264)-YEAR(Premissas!$C$20))*12+MONTH($A264)-MONTH(Premissas!$C$20))&lt;Premissas!$C$33,Premissas!$C$34,1),0)</f>
        <v>0.62</v>
      </c>
      <c r="E264" s="22" t="n">
        <f aca="false">D264*Premissas!$C$30*Premissas!$C$32*(1+Premissas!$C$58)^$C264</f>
        <v>10841.4954718909</v>
      </c>
      <c r="F264" s="22" t="n">
        <f aca="false">E264*Premissas!$C$35</f>
        <v>1734.63927550254</v>
      </c>
      <c r="G264" s="22" t="n">
        <f aca="false">E264*Premissas!$C$36</f>
        <v>2168.29909437818</v>
      </c>
      <c r="H264" s="22" t="n">
        <f aca="false">IF($A264&gt;=Premissas!$C$18,Premissas!$C$37*(1+Premissas!$C$58)^$C264,0)</f>
        <v>1398.90264153431</v>
      </c>
      <c r="I264" s="22" t="n">
        <f aca="false">IF($A264&gt;=Premissas!$C$20,Premissas!$C$38*(1+Premissas!$C$58)^$C264,0)</f>
        <v>652.82123271601</v>
      </c>
      <c r="J264" s="22" t="n">
        <f aca="false">IF($A264&gt;=Premissas!$C$20,Premissas!$C$39*(1+Premissas!$C$58)^$C264,0)</f>
        <v>349.725660383577</v>
      </c>
      <c r="K264" s="22" t="n">
        <f aca="false">IF($A264&gt;=Premissas!$C$20,MAX(0,E264-F264-G264-H264)*Premissas!$C$41,0)</f>
        <v>1523.40497663086</v>
      </c>
      <c r="L264" s="22" t="n">
        <f aca="false">E264-F264-G264-H264-I264-J264-K264</f>
        <v>3013.70259074541</v>
      </c>
      <c r="M264" s="22" t="n">
        <f aca="false">($A264=Premissas!$C$18)*Premissas!$C$26*Premissas!$C$60</f>
        <v>0</v>
      </c>
      <c r="N264" s="22" t="n">
        <f aca="false">IF(AND($A264&gt;=Premissas!$C$18,$A264&lt;Premissas!$C$20),Premissas!$C$27/MAX(1,Premissas!$C$19),0)</f>
        <v>0</v>
      </c>
      <c r="O264" s="22" t="n">
        <f aca="false">IF($A264&gt;=Premissas!$C$18,Premissas!$C$60*(1+Premissas!$C$59)^((YEAR($A264)-YEAR(Premissas!$C$18))*12+MONTH($A264)-MONTH(Premissas!$C$18)),"")</f>
        <v>986708.294047847</v>
      </c>
      <c r="P264" s="31" t="n">
        <f aca="false">(1+IF(YEAR($A264)&lt;=2026,Premissas!$C$49,IF(YEAR($A264)=2027,Premissas!$C$50,IF(YEAR($A264)=2028,Premissas!$C$51,Premissas!$C$52)))*(1-Premissas!$C$53))^(1/12)-1</f>
        <v>0.00682149336596227</v>
      </c>
      <c r="Q264" s="22" t="n">
        <f aca="false">($A264=Premissas!$C$16)*Premissas!$C$13</f>
        <v>0</v>
      </c>
      <c r="R264" s="22" t="n">
        <f aca="false">L264-M264-N264-Q264</f>
        <v>3013.70259074541</v>
      </c>
      <c r="S264" s="22" t="n">
        <f aca="false">S263+R264</f>
        <v>154103.116183726</v>
      </c>
      <c r="T264" s="22" t="n">
        <f aca="false">IF($A264&gt;=Premissas!$C$18,O264*(1-Premissas!$C$45)-Premissas!$C$46*MAX(0,O264*(1-Premissas!$C$45)-(SUM($Q$5:$Q$355)+Premissas!$C$26*Premissas!$C$60)),"")</f>
        <v>828349.935290976</v>
      </c>
      <c r="U264" s="22" t="n">
        <f aca="false">IF($A264&gt;=Premissas!$C$18,S264+T264,"")</f>
        <v>982453.051474702</v>
      </c>
      <c r="V264" s="22" t="n">
        <f aca="false">V263*(1+$P264)-R264</f>
        <v>799988.487268004</v>
      </c>
      <c r="W264" s="22" t="n">
        <f aca="false">($A264=Premissas!$C$16)*Premissas!$C$9</f>
        <v>0</v>
      </c>
      <c r="X264" s="22" t="n">
        <f aca="false">L264-M264-N264-W264</f>
        <v>3013.70259074541</v>
      </c>
      <c r="Y264" s="22" t="n">
        <f aca="false">Y263+X264</f>
        <v>123175.116183726</v>
      </c>
      <c r="Z264" s="22" t="n">
        <f aca="false">IF($A264&gt;=Premissas!$C$18,O264*(1-Premissas!$C$45)-Premissas!$C$46*MAX(0,O264*(1-Premissas!$C$45)-(SUM($W$5:$W$355)+Premissas!$C$26*Premissas!$C$60)),"")</f>
        <v>832989.135290975</v>
      </c>
      <c r="AA264" s="22" t="n">
        <f aca="false">IF($A264&gt;=Premissas!$C$18,Y264+Z264,"")</f>
        <v>956164.251474702</v>
      </c>
      <c r="AB264" s="22" t="n">
        <f aca="false">AB263*(1+$P264)-X264</f>
        <v>985807.296175283</v>
      </c>
      <c r="AC264" s="22" t="n">
        <f aca="false">AND($A264&gt;=Premissas!$C$16,$A264&lt;EDATE(Premissas!$C$16,3))*Premissas!$C$10/3*(1+Premissas!$C$56)^$C264</f>
        <v>0</v>
      </c>
      <c r="AD264" s="22" t="n">
        <f aca="false">L264-M264-N264-AC264</f>
        <v>3013.70259074541</v>
      </c>
      <c r="AE264" s="22" t="n">
        <f aca="false">AE263+AD264</f>
        <v>115554.652303701</v>
      </c>
      <c r="AF264" s="22" t="n">
        <f aca="false">IF($A264&gt;=Premissas!$C$18,O264*(1-Premissas!$C$45)-Premissas!$C$46*MAX(0,O264*(1-Premissas!$C$45)-(SUM($AC$5:$AC$355)+Premissas!$C$26*Premissas!$C$60)),"")</f>
        <v>834132.204872979</v>
      </c>
      <c r="AG264" s="22" t="n">
        <f aca="false">IF($A264&gt;=Premissas!$C$18,AE264+AF264,"")</f>
        <v>949686.857176681</v>
      </c>
      <c r="AH264" s="22" t="n">
        <f aca="false">AH263*(1+$P264)-AD264</f>
        <v>1015426.67095332</v>
      </c>
      <c r="AI264" s="22" t="n">
        <f aca="false">($A264=Premissas!$C$16)*0.2*Premissas!$C$11+AND($A264&gt;Premissas!$C$16,$A264&lt;=EDATE(Premissas!$C$16,43))*0.8*Premissas!$C$11/43*(1+Premissas!$C$56)^$C264</f>
        <v>0</v>
      </c>
      <c r="AJ264" s="22" t="n">
        <f aca="false">L264-M264-N264-AI264</f>
        <v>3013.70259074541</v>
      </c>
      <c r="AK264" s="22" t="n">
        <f aca="false">AK263+AJ264</f>
        <v>69690.1668856395</v>
      </c>
      <c r="AL264" s="22" t="n">
        <f aca="false">IF($A264&gt;=Premissas!$C$18,O264*(1-Premissas!$C$45)-Premissas!$C$46*MAX(0,O264*(1-Premissas!$C$45)-(SUM($AI$5:$AI$355)+Premissas!$C$26*Premissas!$C$60)),"")</f>
        <v>841011.877685689</v>
      </c>
      <c r="AM264" s="22" t="n">
        <f aca="false">IF($A264&gt;=Premissas!$C$18,AK264+AL264,"")</f>
        <v>910702.044571328</v>
      </c>
      <c r="AN264" s="22" t="n">
        <f aca="false">AN263*(1+$P264)-AJ264</f>
        <v>1043063.24337368</v>
      </c>
      <c r="AO264" s="22" t="n">
        <f aca="false">V264+S264</f>
        <v>954091.60345173</v>
      </c>
    </row>
    <row r="265" customFormat="false" ht="15" hidden="false" customHeight="false" outlineLevel="0" collapsed="false">
      <c r="A265" s="26" t="n">
        <f aca="false">DATE(YEAR(A264),MONTH(A264)+1,1)</f>
        <v>54210</v>
      </c>
      <c r="B265" s="22" t="str">
        <f aca="false">IF($A265&lt;Premissas!$C$18,"Obra",IF($A265&lt;Premissas!$C$20,"Entrega/mobília","Airbnb"))</f>
        <v>Airbnb</v>
      </c>
      <c r="C265" s="36" t="n">
        <f aca="false">(YEAR($A265)-YEAR(Premissas!$C$16))*12+MONTH($A265)-MONTH(Premissas!$C$16)</f>
        <v>260</v>
      </c>
      <c r="D265" s="33" t="n">
        <f aca="false">IF($A265&gt;=Premissas!$C$20,Premissas!$C$31*IF(((YEAR($A265)-YEAR(Premissas!$C$20))*12+MONTH($A265)-MONTH(Premissas!$C$20))&lt;Premissas!$C$33,Premissas!$C$34,1),0)</f>
        <v>0.62</v>
      </c>
      <c r="E265" s="22" t="n">
        <f aca="false">D265*Premissas!$C$30*Premissas!$C$32*(1+Premissas!$C$58)^$C265</f>
        <v>10876.9877069157</v>
      </c>
      <c r="F265" s="22" t="n">
        <f aca="false">E265*Premissas!$C$35</f>
        <v>1740.31803310652</v>
      </c>
      <c r="G265" s="22" t="n">
        <f aca="false">E265*Premissas!$C$36</f>
        <v>2175.39754138315</v>
      </c>
      <c r="H265" s="22" t="n">
        <f aca="false">IF($A265&gt;=Premissas!$C$18,Premissas!$C$37*(1+Premissas!$C$58)^$C265,0)</f>
        <v>1403.48228476332</v>
      </c>
      <c r="I265" s="22" t="n">
        <f aca="false">IF($A265&gt;=Premissas!$C$20,Premissas!$C$38*(1+Premissas!$C$58)^$C265,0)</f>
        <v>654.958399556217</v>
      </c>
      <c r="J265" s="22" t="n">
        <f aca="false">IF($A265&gt;=Premissas!$C$20,Premissas!$C$39*(1+Premissas!$C$58)^$C265,0)</f>
        <v>350.87057119083</v>
      </c>
      <c r="K265" s="22" t="n">
        <f aca="false">IF($A265&gt;=Premissas!$C$20,MAX(0,E265-F265-G265-H265)*Premissas!$C$41,0)</f>
        <v>1528.39220810726</v>
      </c>
      <c r="L265" s="22" t="n">
        <f aca="false">E265-F265-G265-H265-I265-J265-K265</f>
        <v>3023.56866880845</v>
      </c>
      <c r="M265" s="22" t="n">
        <f aca="false">($A265=Premissas!$C$18)*Premissas!$C$26*Premissas!$C$60</f>
        <v>0</v>
      </c>
      <c r="N265" s="22" t="n">
        <f aca="false">IF(AND($A265&gt;=Premissas!$C$18,$A265&lt;Premissas!$C$20),Premissas!$C$27/MAX(1,Premissas!$C$19),0)</f>
        <v>0</v>
      </c>
      <c r="O265" s="22" t="n">
        <f aca="false">IF($A265&gt;=Premissas!$C$18,Premissas!$C$60*(1+Premissas!$C$59)^((YEAR($A265)-YEAR(Premissas!$C$18))*12+MONTH($A265)-MONTH(Premissas!$C$18)),"")</f>
        <v>990728.26577615</v>
      </c>
      <c r="P265" s="31" t="n">
        <f aca="false">(1+IF(YEAR($A265)&lt;=2026,Premissas!$C$49,IF(YEAR($A265)=2027,Premissas!$C$50,IF(YEAR($A265)=2028,Premissas!$C$51,Premissas!$C$52)))*(1-Premissas!$C$53))^(1/12)-1</f>
        <v>0.00682149336596227</v>
      </c>
      <c r="Q265" s="22" t="n">
        <f aca="false">($A265=Premissas!$C$16)*Premissas!$C$13</f>
        <v>0</v>
      </c>
      <c r="R265" s="22" t="n">
        <f aca="false">L265-M265-N265-Q265</f>
        <v>3023.56866880845</v>
      </c>
      <c r="S265" s="22" t="n">
        <f aca="false">S264+R265</f>
        <v>157126.684852535</v>
      </c>
      <c r="T265" s="22" t="n">
        <f aca="false">IF($A265&gt;=Premissas!$C$18,O265*(1-Premissas!$C$45)-Premissas!$C$46*MAX(0,O265*(1-Premissas!$C$45)-(SUM($Q$5:$Q$355)+Premissas!$C$26*Premissas!$C$60)),"")</f>
        <v>831561.89270189</v>
      </c>
      <c r="U265" s="22" t="n">
        <f aca="false">IF($A265&gt;=Premissas!$C$18,S265+T265,"")</f>
        <v>988688.577554424</v>
      </c>
      <c r="V265" s="22" t="n">
        <f aca="false">V264*(1+$P265)-R265</f>
        <v>802422.03475794</v>
      </c>
      <c r="W265" s="22" t="n">
        <f aca="false">($A265=Premissas!$C$16)*Premissas!$C$9</f>
        <v>0</v>
      </c>
      <c r="X265" s="22" t="n">
        <f aca="false">L265-M265-N265-W265</f>
        <v>3023.56866880845</v>
      </c>
      <c r="Y265" s="22" t="n">
        <f aca="false">Y264+X265</f>
        <v>126198.684852535</v>
      </c>
      <c r="Z265" s="22" t="n">
        <f aca="false">IF($A265&gt;=Premissas!$C$18,O265*(1-Premissas!$C$45)-Premissas!$C$46*MAX(0,O265*(1-Premissas!$C$45)-(SUM($W$5:$W$355)+Premissas!$C$26*Premissas!$C$60)),"")</f>
        <v>836201.09270189</v>
      </c>
      <c r="AA265" s="22" t="n">
        <f aca="false">IF($A265&gt;=Premissas!$C$18,Y265+Z265,"")</f>
        <v>962399.777554425</v>
      </c>
      <c r="AB265" s="22" t="n">
        <f aca="false">AB264*(1+$P265)-X265</f>
        <v>989508.405437452</v>
      </c>
      <c r="AC265" s="22" t="n">
        <f aca="false">AND($A265&gt;=Premissas!$C$16,$A265&lt;EDATE(Premissas!$C$16,3))*Premissas!$C$10/3*(1+Premissas!$C$56)^$C265</f>
        <v>0</v>
      </c>
      <c r="AD265" s="22" t="n">
        <f aca="false">L265-M265-N265-AC265</f>
        <v>3023.56866880845</v>
      </c>
      <c r="AE265" s="22" t="n">
        <f aca="false">AE264+AD265</f>
        <v>118578.22097251</v>
      </c>
      <c r="AF265" s="22" t="n">
        <f aca="false">IF($A265&gt;=Premissas!$C$18,O265*(1-Premissas!$C$45)-Premissas!$C$46*MAX(0,O265*(1-Premissas!$C$45)-(SUM($AC$5:$AC$355)+Premissas!$C$26*Premissas!$C$60)),"")</f>
        <v>837344.162283894</v>
      </c>
      <c r="AG265" s="22" t="n">
        <f aca="false">IF($A265&gt;=Premissas!$C$18,AE265+AF265,"")</f>
        <v>955922.383256404</v>
      </c>
      <c r="AH265" s="22" t="n">
        <f aca="false">AH264*(1+$P265)-AD265</f>
        <v>1019329.82858404</v>
      </c>
      <c r="AI265" s="22" t="n">
        <f aca="false">($A265=Premissas!$C$16)*0.2*Premissas!$C$11+AND($A265&gt;Premissas!$C$16,$A265&lt;=EDATE(Premissas!$C$16,43))*0.8*Premissas!$C$11/43*(1+Premissas!$C$56)^$C265</f>
        <v>0</v>
      </c>
      <c r="AJ265" s="22" t="n">
        <f aca="false">L265-M265-N265-AI265</f>
        <v>3023.56866880845</v>
      </c>
      <c r="AK265" s="22" t="n">
        <f aca="false">AK264+AJ265</f>
        <v>72713.735554448</v>
      </c>
      <c r="AL265" s="22" t="n">
        <f aca="false">IF($A265&gt;=Premissas!$C$18,O265*(1-Premissas!$C$45)-Premissas!$C$46*MAX(0,O265*(1-Premissas!$C$45)-(SUM($AI$5:$AI$355)+Premissas!$C$26*Premissas!$C$60)),"")</f>
        <v>844223.835096603</v>
      </c>
      <c r="AM265" s="22" t="n">
        <f aca="false">IF($A265&gt;=Premissas!$C$18,AK265+AL265,"")</f>
        <v>916937.570651051</v>
      </c>
      <c r="AN265" s="22" t="n">
        <f aca="false">AN264*(1+$P265)-AJ265</f>
        <v>1047154.92369982</v>
      </c>
      <c r="AO265" s="22" t="n">
        <f aca="false">V265+S265</f>
        <v>959548.719610475</v>
      </c>
    </row>
    <row r="266" customFormat="false" ht="15" hidden="false" customHeight="false" outlineLevel="0" collapsed="false">
      <c r="A266" s="26" t="n">
        <f aca="false">DATE(YEAR(A265),MONTH(A265)+1,1)</f>
        <v>54240</v>
      </c>
      <c r="B266" s="22" t="str">
        <f aca="false">IF($A266&lt;Premissas!$C$18,"Obra",IF($A266&lt;Premissas!$C$20,"Entrega/mobília","Airbnb"))</f>
        <v>Airbnb</v>
      </c>
      <c r="C266" s="36" t="n">
        <f aca="false">(YEAR($A266)-YEAR(Premissas!$C$16))*12+MONTH($A266)-MONTH(Premissas!$C$16)</f>
        <v>261</v>
      </c>
      <c r="D266" s="33" t="n">
        <f aca="false">IF($A266&gt;=Premissas!$C$20,Premissas!$C$31*IF(((YEAR($A266)-YEAR(Premissas!$C$20))*12+MONTH($A266)-MONTH(Premissas!$C$20))&lt;Premissas!$C$33,Premissas!$C$34,1),0)</f>
        <v>0.62</v>
      </c>
      <c r="E266" s="22" t="n">
        <f aca="false">D266*Premissas!$C$30*Premissas!$C$32*(1+Premissas!$C$58)^$C266</f>
        <v>10912.5961342824</v>
      </c>
      <c r="F266" s="22" t="n">
        <f aca="false">E266*Premissas!$C$35</f>
        <v>1746.01538148518</v>
      </c>
      <c r="G266" s="22" t="n">
        <f aca="false">E266*Premissas!$C$36</f>
        <v>2182.51922685647</v>
      </c>
      <c r="H266" s="22" t="n">
        <f aca="false">IF($A266&gt;=Premissas!$C$18,Premissas!$C$37*(1+Premissas!$C$58)^$C266,0)</f>
        <v>1408.07692055256</v>
      </c>
      <c r="I266" s="22" t="n">
        <f aca="false">IF($A266&gt;=Premissas!$C$20,Premissas!$C$38*(1+Premissas!$C$58)^$C266,0)</f>
        <v>657.102562924529</v>
      </c>
      <c r="J266" s="22" t="n">
        <f aca="false">IF($A266&gt;=Premissas!$C$20,Premissas!$C$39*(1+Premissas!$C$58)^$C266,0)</f>
        <v>352.019230138141</v>
      </c>
      <c r="K266" s="22" t="n">
        <f aca="false">IF($A266&gt;=Premissas!$C$20,MAX(0,E266-F266-G266-H266)*Premissas!$C$41,0)</f>
        <v>1533.39576648174</v>
      </c>
      <c r="L266" s="22" t="n">
        <f aca="false">E266-F266-G266-H266-I266-J266-K266</f>
        <v>3033.46704584374</v>
      </c>
      <c r="M266" s="22" t="n">
        <f aca="false">($A266=Premissas!$C$18)*Premissas!$C$26*Premissas!$C$60</f>
        <v>0</v>
      </c>
      <c r="N266" s="22" t="n">
        <f aca="false">IF(AND($A266&gt;=Premissas!$C$18,$A266&lt;Premissas!$C$20),Premissas!$C$27/MAX(1,Premissas!$C$19),0)</f>
        <v>0</v>
      </c>
      <c r="O266" s="22" t="n">
        <f aca="false">IF($A266&gt;=Premissas!$C$18,Premissas!$C$60*(1+Premissas!$C$59)^((YEAR($A266)-YEAR(Premissas!$C$18))*12+MONTH($A266)-MONTH(Premissas!$C$18)),"")</f>
        <v>994764.615366881</v>
      </c>
      <c r="P266" s="31" t="n">
        <f aca="false">(1+IF(YEAR($A266)&lt;=2026,Premissas!$C$49,IF(YEAR($A266)=2027,Premissas!$C$50,IF(YEAR($A266)=2028,Premissas!$C$51,Premissas!$C$52)))*(1-Premissas!$C$53))^(1/12)-1</f>
        <v>0.00682149336596227</v>
      </c>
      <c r="Q266" s="22" t="n">
        <f aca="false">($A266=Premissas!$C$16)*Premissas!$C$13</f>
        <v>0</v>
      </c>
      <c r="R266" s="22" t="n">
        <f aca="false">L266-M266-N266-Q266</f>
        <v>3033.46704584374</v>
      </c>
      <c r="S266" s="22" t="n">
        <f aca="false">S265+R266</f>
        <v>160160.151898378</v>
      </c>
      <c r="T266" s="22" t="n">
        <f aca="false">IF($A266&gt;=Premissas!$C$18,O266*(1-Premissas!$C$45)-Premissas!$C$46*MAX(0,O266*(1-Premissas!$C$45)-(SUM($Q$5:$Q$355)+Premissas!$C$26*Premissas!$C$60)),"")</f>
        <v>834786.936024884</v>
      </c>
      <c r="U266" s="22" t="n">
        <f aca="false">IF($A266&gt;=Premissas!$C$18,S266+T266,"")</f>
        <v>994947.087923263</v>
      </c>
      <c r="V266" s="22" t="n">
        <f aca="false">V265*(1+$P266)-R266</f>
        <v>804862.2842989</v>
      </c>
      <c r="W266" s="22" t="n">
        <f aca="false">($A266=Premissas!$C$16)*Premissas!$C$9</f>
        <v>0</v>
      </c>
      <c r="X266" s="22" t="n">
        <f aca="false">L266-M266-N266-W266</f>
        <v>3033.46704584374</v>
      </c>
      <c r="Y266" s="22" t="n">
        <f aca="false">Y265+X266</f>
        <v>129232.151898378</v>
      </c>
      <c r="Z266" s="22" t="n">
        <f aca="false">IF($A266&gt;=Premissas!$C$18,O266*(1-Premissas!$C$45)-Premissas!$C$46*MAX(0,O266*(1-Premissas!$C$45)-(SUM($W$5:$W$355)+Premissas!$C$26*Premissas!$C$60)),"")</f>
        <v>839426.136024884</v>
      </c>
      <c r="AA266" s="22" t="n">
        <f aca="false">IF($A266&gt;=Premissas!$C$18,Y266+Z266,"")</f>
        <v>968658.287923263</v>
      </c>
      <c r="AB266" s="22" t="n">
        <f aca="false">AB265*(1+$P266)-X266</f>
        <v>993224.863414864</v>
      </c>
      <c r="AC266" s="22" t="n">
        <f aca="false">AND($A266&gt;=Premissas!$C$16,$A266&lt;EDATE(Premissas!$C$16,3))*Premissas!$C$10/3*(1+Premissas!$C$56)^$C266</f>
        <v>0</v>
      </c>
      <c r="AD266" s="22" t="n">
        <f aca="false">L266-M266-N266-AC266</f>
        <v>3033.46704584374</v>
      </c>
      <c r="AE266" s="22" t="n">
        <f aca="false">AE265+AD266</f>
        <v>121611.688018354</v>
      </c>
      <c r="AF266" s="22" t="n">
        <f aca="false">IF($A266&gt;=Premissas!$C$18,O266*(1-Premissas!$C$45)-Premissas!$C$46*MAX(0,O266*(1-Premissas!$C$45)-(SUM($AC$5:$AC$355)+Premissas!$C$26*Premissas!$C$60)),"")</f>
        <v>840569.205606888</v>
      </c>
      <c r="AG266" s="22" t="n">
        <f aca="false">IF($A266&gt;=Premissas!$C$18,AE266+AF266,"")</f>
        <v>962180.893625242</v>
      </c>
      <c r="AH266" s="22" t="n">
        <f aca="false">AH265*(1+$P266)-AD266</f>
        <v>1023249.71320161</v>
      </c>
      <c r="AI266" s="22" t="n">
        <f aca="false">($A266=Premissas!$C$16)*0.2*Premissas!$C$11+AND($A266&gt;Premissas!$C$16,$A266&lt;=EDATE(Premissas!$C$16,43))*0.8*Premissas!$C$11/43*(1+Premissas!$C$56)^$C266</f>
        <v>0</v>
      </c>
      <c r="AJ266" s="22" t="n">
        <f aca="false">L266-M266-N266-AI266</f>
        <v>3033.46704584374</v>
      </c>
      <c r="AK266" s="22" t="n">
        <f aca="false">AK265+AJ266</f>
        <v>75747.2026002917</v>
      </c>
      <c r="AL266" s="22" t="n">
        <f aca="false">IF($A266&gt;=Premissas!$C$18,O266*(1-Premissas!$C$45)-Premissas!$C$46*MAX(0,O266*(1-Premissas!$C$45)-(SUM($AI$5:$AI$355)+Premissas!$C$26*Premissas!$C$60)),"")</f>
        <v>847448.878419597</v>
      </c>
      <c r="AM266" s="22" t="n">
        <f aca="false">IF($A266&gt;=Premissas!$C$18,AK266+AL266,"")</f>
        <v>923196.081019889</v>
      </c>
      <c r="AN266" s="22" t="n">
        <f aca="false">AN265*(1+$P266)-AJ266</f>
        <v>1051264.61701913</v>
      </c>
      <c r="AO266" s="22" t="n">
        <f aca="false">V266+S266</f>
        <v>965022.436197278</v>
      </c>
    </row>
    <row r="267" customFormat="false" ht="15" hidden="false" customHeight="false" outlineLevel="0" collapsed="false">
      <c r="A267" s="26" t="n">
        <f aca="false">DATE(YEAR(A266),MONTH(A266)+1,1)</f>
        <v>54271</v>
      </c>
      <c r="B267" s="22" t="str">
        <f aca="false">IF($A267&lt;Premissas!$C$18,"Obra",IF($A267&lt;Premissas!$C$20,"Entrega/mobília","Airbnb"))</f>
        <v>Airbnb</v>
      </c>
      <c r="C267" s="36" t="n">
        <f aca="false">(YEAR($A267)-YEAR(Premissas!$C$16))*12+MONTH($A267)-MONTH(Premissas!$C$16)</f>
        <v>262</v>
      </c>
      <c r="D267" s="33" t="n">
        <f aca="false">IF($A267&gt;=Premissas!$C$20,Premissas!$C$31*IF(((YEAR($A267)-YEAR(Premissas!$C$20))*12+MONTH($A267)-MONTH(Premissas!$C$20))&lt;Premissas!$C$33,Premissas!$C$34,1),0)</f>
        <v>0.62</v>
      </c>
      <c r="E267" s="22" t="n">
        <f aca="false">D267*Premissas!$C$30*Premissas!$C$32*(1+Premissas!$C$58)^$C267</f>
        <v>10948.3211343742</v>
      </c>
      <c r="F267" s="22" t="n">
        <f aca="false">E267*Premissas!$C$35</f>
        <v>1751.73138149988</v>
      </c>
      <c r="G267" s="22" t="n">
        <f aca="false">E267*Premissas!$C$36</f>
        <v>2189.66422687485</v>
      </c>
      <c r="H267" s="22" t="n">
        <f aca="false">IF($A267&gt;=Premissas!$C$18,Premissas!$C$37*(1+Premissas!$C$58)^$C267,0)</f>
        <v>1412.68659798377</v>
      </c>
      <c r="I267" s="22" t="n">
        <f aca="false">IF($A267&gt;=Premissas!$C$20,Premissas!$C$38*(1+Premissas!$C$58)^$C267,0)</f>
        <v>659.25374572576</v>
      </c>
      <c r="J267" s="22" t="n">
        <f aca="false">IF($A267&gt;=Premissas!$C$20,Premissas!$C$39*(1+Premissas!$C$58)^$C267,0)</f>
        <v>353.171649495943</v>
      </c>
      <c r="K267" s="22" t="n">
        <f aca="false">IF($A267&gt;=Premissas!$C$20,MAX(0,E267-F267-G267-H267)*Premissas!$C$41,0)</f>
        <v>1538.41570520433</v>
      </c>
      <c r="L267" s="22" t="n">
        <f aca="false">E267-F267-G267-H267-I267-J267-K267</f>
        <v>3043.3978275897</v>
      </c>
      <c r="M267" s="22" t="n">
        <f aca="false">($A267=Premissas!$C$18)*Premissas!$C$26*Premissas!$C$60</f>
        <v>0</v>
      </c>
      <c r="N267" s="22" t="n">
        <f aca="false">IF(AND($A267&gt;=Premissas!$C$18,$A267&lt;Premissas!$C$20),Premissas!$C$27/MAX(1,Premissas!$C$19),0)</f>
        <v>0</v>
      </c>
      <c r="O267" s="22" t="n">
        <f aca="false">IF($A267&gt;=Premissas!$C$18,Premissas!$C$60*(1+Premissas!$C$59)^((YEAR($A267)-YEAR(Premissas!$C$18))*12+MONTH($A267)-MONTH(Premissas!$C$18)),"")</f>
        <v>998817.409545479</v>
      </c>
      <c r="P267" s="31" t="n">
        <f aca="false">(1+IF(YEAR($A267)&lt;=2026,Premissas!$C$49,IF(YEAR($A267)=2027,Premissas!$C$50,IF(YEAR($A267)=2028,Premissas!$C$51,Premissas!$C$52)))*(1-Premissas!$C$53))^(1/12)-1</f>
        <v>0.00682149336596227</v>
      </c>
      <c r="Q267" s="22" t="n">
        <f aca="false">($A267=Premissas!$C$16)*Premissas!$C$13</f>
        <v>0</v>
      </c>
      <c r="R267" s="22" t="n">
        <f aca="false">L267-M267-N267-Q267</f>
        <v>3043.3978275897</v>
      </c>
      <c r="S267" s="22" t="n">
        <f aca="false">S266+R267</f>
        <v>163203.549725968</v>
      </c>
      <c r="T267" s="22" t="n">
        <f aca="false">IF($A267&gt;=Premissas!$C$18,O267*(1-Premissas!$C$45)-Premissas!$C$46*MAX(0,O267*(1-Premissas!$C$45)-(SUM($Q$5:$Q$355)+Premissas!$C$26*Premissas!$C$60)),"")</f>
        <v>838025.118573584</v>
      </c>
      <c r="U267" s="22" t="n">
        <f aca="false">IF($A267&gt;=Premissas!$C$18,S267+T267,"")</f>
        <v>1001228.66829955</v>
      </c>
      <c r="V267" s="22" t="n">
        <f aca="false">V266*(1+$P267)-R267</f>
        <v>807309.249204168</v>
      </c>
      <c r="W267" s="22" t="n">
        <f aca="false">($A267=Premissas!$C$16)*Premissas!$C$9</f>
        <v>0</v>
      </c>
      <c r="X267" s="22" t="n">
        <f aca="false">L267-M267-N267-W267</f>
        <v>3043.3978275897</v>
      </c>
      <c r="Y267" s="22" t="n">
        <f aca="false">Y266+X267</f>
        <v>132275.549725968</v>
      </c>
      <c r="Z267" s="22" t="n">
        <f aca="false">IF($A267&gt;=Premissas!$C$18,O267*(1-Premissas!$C$45)-Premissas!$C$46*MAX(0,O267*(1-Premissas!$C$45)-(SUM($W$5:$W$355)+Premissas!$C$26*Premissas!$C$60)),"")</f>
        <v>842664.318573584</v>
      </c>
      <c r="AA267" s="22" t="n">
        <f aca="false">IF($A267&gt;=Premissas!$C$18,Y267+Z267,"")</f>
        <v>974939.868299552</v>
      </c>
      <c r="AB267" s="22" t="n">
        <f aca="false">AB266*(1+$P267)-X267</f>
        <v>996956.742403967</v>
      </c>
      <c r="AC267" s="22" t="n">
        <f aca="false">AND($A267&gt;=Premissas!$C$16,$A267&lt;EDATE(Premissas!$C$16,3))*Premissas!$C$10/3*(1+Premissas!$C$56)^$C267</f>
        <v>0</v>
      </c>
      <c r="AD267" s="22" t="n">
        <f aca="false">L267-M267-N267-AC267</f>
        <v>3043.3978275897</v>
      </c>
      <c r="AE267" s="22" t="n">
        <f aca="false">AE266+AD267</f>
        <v>124655.085845943</v>
      </c>
      <c r="AF267" s="22" t="n">
        <f aca="false">IF($A267&gt;=Premissas!$C$18,O267*(1-Premissas!$C$45)-Premissas!$C$46*MAX(0,O267*(1-Premissas!$C$45)-(SUM($AC$5:$AC$355)+Premissas!$C$26*Premissas!$C$60)),"")</f>
        <v>843807.388155588</v>
      </c>
      <c r="AG267" s="22" t="n">
        <f aca="false">IF($A267&gt;=Premissas!$C$18,AE267+AF267,"")</f>
        <v>968462.474001531</v>
      </c>
      <c r="AH267" s="22" t="n">
        <f aca="false">AH266*(1+$P267)-AD267</f>
        <v>1027186.40650435</v>
      </c>
      <c r="AI267" s="22" t="n">
        <f aca="false">($A267=Premissas!$C$16)*0.2*Premissas!$C$11+AND($A267&gt;Premissas!$C$16,$A267&lt;=EDATE(Premissas!$C$16,43))*0.8*Premissas!$C$11/43*(1+Premissas!$C$56)^$C267</f>
        <v>0</v>
      </c>
      <c r="AJ267" s="22" t="n">
        <f aca="false">L267-M267-N267-AI267</f>
        <v>3043.3978275897</v>
      </c>
      <c r="AK267" s="22" t="n">
        <f aca="false">AK266+AJ267</f>
        <v>78790.6004278814</v>
      </c>
      <c r="AL267" s="22" t="n">
        <f aca="false">IF($A267&gt;=Premissas!$C$18,O267*(1-Premissas!$C$45)-Premissas!$C$46*MAX(0,O267*(1-Premissas!$C$45)-(SUM($AI$5:$AI$355)+Premissas!$C$26*Premissas!$C$60)),"")</f>
        <v>850687.060968297</v>
      </c>
      <c r="AM267" s="22" t="n">
        <f aca="false">IF($A267&gt;=Premissas!$C$18,AK267+AL267,"")</f>
        <v>929477.661396179</v>
      </c>
      <c r="AN267" s="22" t="n">
        <f aca="false">AN266*(1+$P267)-AJ267</f>
        <v>1055392.41380241</v>
      </c>
      <c r="AO267" s="22" t="n">
        <f aca="false">V267+S267</f>
        <v>970512.798930136</v>
      </c>
    </row>
    <row r="268" customFormat="false" ht="15" hidden="false" customHeight="false" outlineLevel="0" collapsed="false">
      <c r="A268" s="26" t="n">
        <f aca="false">DATE(YEAR(A267),MONTH(A267)+1,1)</f>
        <v>54302</v>
      </c>
      <c r="B268" s="22" t="str">
        <f aca="false">IF($A268&lt;Premissas!$C$18,"Obra",IF($A268&lt;Premissas!$C$20,"Entrega/mobília","Airbnb"))</f>
        <v>Airbnb</v>
      </c>
      <c r="C268" s="36" t="n">
        <f aca="false">(YEAR($A268)-YEAR(Premissas!$C$16))*12+MONTH($A268)-MONTH(Premissas!$C$16)</f>
        <v>263</v>
      </c>
      <c r="D268" s="33" t="n">
        <f aca="false">IF($A268&gt;=Premissas!$C$20,Premissas!$C$31*IF(((YEAR($A268)-YEAR(Premissas!$C$20))*12+MONTH($A268)-MONTH(Premissas!$C$20))&lt;Premissas!$C$33,Premissas!$C$34,1),0)</f>
        <v>0.62</v>
      </c>
      <c r="E268" s="22" t="n">
        <f aca="false">D268*Premissas!$C$30*Premissas!$C$32*(1+Premissas!$C$58)^$C268</f>
        <v>10984.1630888201</v>
      </c>
      <c r="F268" s="22" t="n">
        <f aca="false">E268*Premissas!$C$35</f>
        <v>1757.46609421122</v>
      </c>
      <c r="G268" s="22" t="n">
        <f aca="false">E268*Premissas!$C$36</f>
        <v>2196.83261776402</v>
      </c>
      <c r="H268" s="22" t="n">
        <f aca="false">IF($A268&gt;=Premissas!$C$18,Premissas!$C$37*(1+Premissas!$C$58)^$C268,0)</f>
        <v>1417.31136629937</v>
      </c>
      <c r="I268" s="22" t="n">
        <f aca="false">IF($A268&gt;=Premissas!$C$20,Premissas!$C$38*(1+Premissas!$C$58)^$C268,0)</f>
        <v>661.411970939706</v>
      </c>
      <c r="J268" s="22" t="n">
        <f aca="false">IF($A268&gt;=Premissas!$C$20,Premissas!$C$39*(1+Premissas!$C$58)^$C268,0)</f>
        <v>354.327841574842</v>
      </c>
      <c r="K268" s="22" t="n">
        <f aca="false">IF($A268&gt;=Premissas!$C$20,MAX(0,E268-F268-G268-H268)*Premissas!$C$41,0)</f>
        <v>1543.45207790001</v>
      </c>
      <c r="L268" s="22" t="n">
        <f aca="false">E268-F268-G268-H268-I268-J268-K268</f>
        <v>3053.36112013094</v>
      </c>
      <c r="M268" s="22" t="n">
        <f aca="false">($A268=Premissas!$C$18)*Premissas!$C$26*Premissas!$C$60</f>
        <v>0</v>
      </c>
      <c r="N268" s="22" t="n">
        <f aca="false">IF(AND($A268&gt;=Premissas!$C$18,$A268&lt;Premissas!$C$20),Premissas!$C$27/MAX(1,Premissas!$C$19),0)</f>
        <v>0</v>
      </c>
      <c r="O268" s="22" t="n">
        <f aca="false">IF($A268&gt;=Premissas!$C$18,Premissas!$C$60*(1+Premissas!$C$59)^((YEAR($A268)-YEAR(Premissas!$C$18))*12+MONTH($A268)-MONTH(Premissas!$C$18)),"")</f>
        <v>1002886.71530923</v>
      </c>
      <c r="P268" s="31" t="n">
        <f aca="false">(1+IF(YEAR($A268)&lt;=2026,Premissas!$C$49,IF(YEAR($A268)=2027,Premissas!$C$50,IF(YEAR($A268)=2028,Premissas!$C$51,Premissas!$C$52)))*(1-Premissas!$C$53))^(1/12)-1</f>
        <v>0.00682149336596227</v>
      </c>
      <c r="Q268" s="22" t="n">
        <f aca="false">($A268=Premissas!$C$16)*Premissas!$C$13</f>
        <v>0</v>
      </c>
      <c r="R268" s="22" t="n">
        <f aca="false">L268-M268-N268-Q268</f>
        <v>3053.36112013094</v>
      </c>
      <c r="S268" s="22" t="n">
        <f aca="false">S267+R268</f>
        <v>166256.910846099</v>
      </c>
      <c r="T268" s="22" t="n">
        <f aca="false">IF($A268&gt;=Premissas!$C$18,O268*(1-Premissas!$C$45)-Premissas!$C$46*MAX(0,O268*(1-Premissas!$C$45)-(SUM($Q$5:$Q$355)+Premissas!$C$26*Premissas!$C$60)),"")</f>
        <v>841276.493878821</v>
      </c>
      <c r="U268" s="22" t="n">
        <f aca="false">IF($A268&gt;=Premissas!$C$18,S268+T268,"")</f>
        <v>1007533.40472492</v>
      </c>
      <c r="V268" s="22" t="n">
        <f aca="false">V267*(1+$P268)-R268</f>
        <v>809762.942771763</v>
      </c>
      <c r="W268" s="22" t="n">
        <f aca="false">($A268=Premissas!$C$16)*Premissas!$C$9</f>
        <v>0</v>
      </c>
      <c r="X268" s="22" t="n">
        <f aca="false">L268-M268-N268-W268</f>
        <v>3053.36112013094</v>
      </c>
      <c r="Y268" s="22" t="n">
        <f aca="false">Y267+X268</f>
        <v>135328.910846099</v>
      </c>
      <c r="Z268" s="22" t="n">
        <f aca="false">IF($A268&gt;=Premissas!$C$18,O268*(1-Premissas!$C$45)-Premissas!$C$46*MAX(0,O268*(1-Premissas!$C$45)-(SUM($W$5:$W$355)+Premissas!$C$26*Premissas!$C$60)),"")</f>
        <v>845915.693878821</v>
      </c>
      <c r="AA268" s="22" t="n">
        <f aca="false">IF($A268&gt;=Premissas!$C$18,Y268+Z268,"")</f>
        <v>981244.604724921</v>
      </c>
      <c r="AB268" s="22" t="n">
        <f aca="false">AB267*(1+$P268)-X268</f>
        <v>1000704.1150883</v>
      </c>
      <c r="AC268" s="22" t="n">
        <f aca="false">AND($A268&gt;=Premissas!$C$16,$A268&lt;EDATE(Premissas!$C$16,3))*Premissas!$C$10/3*(1+Premissas!$C$56)^$C268</f>
        <v>0</v>
      </c>
      <c r="AD268" s="22" t="n">
        <f aca="false">L268-M268-N268-AC268</f>
        <v>3053.36112013094</v>
      </c>
      <c r="AE268" s="22" t="n">
        <f aca="false">AE267+AD268</f>
        <v>127708.446966074</v>
      </c>
      <c r="AF268" s="22" t="n">
        <f aca="false">IF($A268&gt;=Premissas!$C$18,O268*(1-Premissas!$C$45)-Premissas!$C$46*MAX(0,O268*(1-Premissas!$C$45)-(SUM($AC$5:$AC$355)+Premissas!$C$26*Premissas!$C$60)),"")</f>
        <v>847058.763460825</v>
      </c>
      <c r="AG268" s="22" t="n">
        <f aca="false">IF($A268&gt;=Premissas!$C$18,AE268+AF268,"")</f>
        <v>974767.210426899</v>
      </c>
      <c r="AH268" s="22" t="n">
        <f aca="false">AH267*(1+$P268)-AD268</f>
        <v>1031139.99064179</v>
      </c>
      <c r="AI268" s="22" t="n">
        <f aca="false">($A268=Premissas!$C$16)*0.2*Premissas!$C$11+AND($A268&gt;Premissas!$C$16,$A268&lt;=EDATE(Premissas!$C$16,43))*0.8*Premissas!$C$11/43*(1+Premissas!$C$56)^$C268</f>
        <v>0</v>
      </c>
      <c r="AJ268" s="22" t="n">
        <f aca="false">L268-M268-N268-AI268</f>
        <v>3053.36112013094</v>
      </c>
      <c r="AK268" s="22" t="n">
        <f aca="false">AK267+AJ268</f>
        <v>81843.9615480124</v>
      </c>
      <c r="AL268" s="22" t="n">
        <f aca="false">IF($A268&gt;=Premissas!$C$18,O268*(1-Premissas!$C$45)-Premissas!$C$46*MAX(0,O268*(1-Premissas!$C$45)-(SUM($AI$5:$AI$355)+Premissas!$C$26*Premissas!$C$60)),"")</f>
        <v>853938.436273534</v>
      </c>
      <c r="AM268" s="22" t="n">
        <f aca="false">IF($A268&gt;=Premissas!$C$18,AK268+AL268,"")</f>
        <v>935782.397821547</v>
      </c>
      <c r="AN268" s="22" t="n">
        <f aca="false">AN267*(1+$P268)-AJ268</f>
        <v>1059538.40503152</v>
      </c>
      <c r="AO268" s="22" t="n">
        <f aca="false">V268+S268</f>
        <v>976019.853617862</v>
      </c>
    </row>
    <row r="269" customFormat="false" ht="15" hidden="false" customHeight="false" outlineLevel="0" collapsed="false">
      <c r="A269" s="26" t="n">
        <f aca="false">DATE(YEAR(A268),MONTH(A268)+1,1)</f>
        <v>54332</v>
      </c>
      <c r="B269" s="22" t="str">
        <f aca="false">IF($A269&lt;Premissas!$C$18,"Obra",IF($A269&lt;Premissas!$C$20,"Entrega/mobília","Airbnb"))</f>
        <v>Airbnb</v>
      </c>
      <c r="C269" s="36" t="n">
        <f aca="false">(YEAR($A269)-YEAR(Premissas!$C$16))*12+MONTH($A269)-MONTH(Premissas!$C$16)</f>
        <v>264</v>
      </c>
      <c r="D269" s="33" t="n">
        <f aca="false">IF($A269&gt;=Premissas!$C$20,Premissas!$C$31*IF(((YEAR($A269)-YEAR(Premissas!$C$20))*12+MONTH($A269)-MONTH(Premissas!$C$20))&lt;Premissas!$C$33,Premissas!$C$34,1),0)</f>
        <v>0.62</v>
      </c>
      <c r="E269" s="22" t="n">
        <f aca="false">D269*Premissas!$C$30*Premissas!$C$32*(1+Premissas!$C$58)^$C269</f>
        <v>11020.1223804981</v>
      </c>
      <c r="F269" s="22" t="n">
        <f aca="false">E269*Premissas!$C$35</f>
        <v>1763.2195808797</v>
      </c>
      <c r="G269" s="22" t="n">
        <f aca="false">E269*Premissas!$C$36</f>
        <v>2204.02447609963</v>
      </c>
      <c r="H269" s="22" t="n">
        <f aca="false">IF($A269&gt;=Premissas!$C$18,Premissas!$C$37*(1+Premissas!$C$58)^$C269,0)</f>
        <v>1421.95127490299</v>
      </c>
      <c r="I269" s="22" t="n">
        <f aca="false">IF($A269&gt;=Premissas!$C$20,Premissas!$C$38*(1+Premissas!$C$58)^$C269,0)</f>
        <v>663.577261621394</v>
      </c>
      <c r="J269" s="22" t="n">
        <f aca="false">IF($A269&gt;=Premissas!$C$20,Premissas!$C$39*(1+Premissas!$C$58)^$C269,0)</f>
        <v>355.487818725747</v>
      </c>
      <c r="K269" s="22" t="n">
        <f aca="false">IF($A269&gt;=Premissas!$C$20,MAX(0,E269-F269-G269-H269)*Premissas!$C$41,0)</f>
        <v>1548.50493836935</v>
      </c>
      <c r="L269" s="22" t="n">
        <f aca="false">E269-F269-G269-H269-I269-J269-K269</f>
        <v>3063.35702989933</v>
      </c>
      <c r="M269" s="22" t="n">
        <f aca="false">($A269=Premissas!$C$18)*Premissas!$C$26*Premissas!$C$60</f>
        <v>0</v>
      </c>
      <c r="N269" s="22" t="n">
        <f aca="false">IF(AND($A269&gt;=Premissas!$C$18,$A269&lt;Premissas!$C$20),Premissas!$C$27/MAX(1,Premissas!$C$19),0)</f>
        <v>0</v>
      </c>
      <c r="O269" s="22" t="n">
        <f aca="false">IF($A269&gt;=Premissas!$C$18,Premissas!$C$60*(1+Premissas!$C$59)^((YEAR($A269)-YEAR(Premissas!$C$18))*12+MONTH($A269)-MONTH(Premissas!$C$18)),"")</f>
        <v>1006972.59992838</v>
      </c>
      <c r="P269" s="31" t="n">
        <f aca="false">(1+IF(YEAR($A269)&lt;=2026,Premissas!$C$49,IF(YEAR($A269)=2027,Premissas!$C$50,IF(YEAR($A269)=2028,Premissas!$C$51,Premissas!$C$52)))*(1-Premissas!$C$53))^(1/12)-1</f>
        <v>0.00682149336596227</v>
      </c>
      <c r="Q269" s="22" t="n">
        <f aca="false">($A269=Premissas!$C$16)*Premissas!$C$13</f>
        <v>0</v>
      </c>
      <c r="R269" s="22" t="n">
        <f aca="false">L269-M269-N269-Q269</f>
        <v>3063.35702989933</v>
      </c>
      <c r="S269" s="22" t="n">
        <f aca="false">S268+R269</f>
        <v>169320.267875998</v>
      </c>
      <c r="T269" s="22" t="n">
        <f aca="false">IF($A269&gt;=Premissas!$C$18,O269*(1-Premissas!$C$45)-Premissas!$C$46*MAX(0,O269*(1-Premissas!$C$45)-(SUM($Q$5:$Q$355)+Premissas!$C$26*Premissas!$C$60)),"")</f>
        <v>844541.115689519</v>
      </c>
      <c r="U269" s="22" t="n">
        <f aca="false">IF($A269&gt;=Premissas!$C$18,S269+T269,"")</f>
        <v>1013861.38356552</v>
      </c>
      <c r="V269" s="22" t="n">
        <f aca="false">V268*(1+$P269)-R269</f>
        <v>812223.378283984</v>
      </c>
      <c r="W269" s="22" t="n">
        <f aca="false">($A269=Premissas!$C$16)*Premissas!$C$9</f>
        <v>0</v>
      </c>
      <c r="X269" s="22" t="n">
        <f aca="false">L269-M269-N269-W269</f>
        <v>3063.35702989933</v>
      </c>
      <c r="Y269" s="22" t="n">
        <f aca="false">Y268+X269</f>
        <v>138392.267875998</v>
      </c>
      <c r="Z269" s="22" t="n">
        <f aca="false">IF($A269&gt;=Premissas!$C$18,O269*(1-Premissas!$C$45)-Premissas!$C$46*MAX(0,O269*(1-Premissas!$C$45)-(SUM($W$5:$W$355)+Premissas!$C$26*Premissas!$C$60)),"")</f>
        <v>849180.315689519</v>
      </c>
      <c r="AA269" s="22" t="n">
        <f aca="false">IF($A269&gt;=Premissas!$C$18,Y269+Z269,"")</f>
        <v>987572.583565518</v>
      </c>
      <c r="AB269" s="22" t="n">
        <f aca="false">AB268*(1+$P269)-X269</f>
        <v>1004467.05454076</v>
      </c>
      <c r="AC269" s="22" t="n">
        <f aca="false">AND($A269&gt;=Premissas!$C$16,$A269&lt;EDATE(Premissas!$C$16,3))*Premissas!$C$10/3*(1+Premissas!$C$56)^$C269</f>
        <v>0</v>
      </c>
      <c r="AD269" s="22" t="n">
        <f aca="false">L269-M269-N269-AC269</f>
        <v>3063.35702989933</v>
      </c>
      <c r="AE269" s="22" t="n">
        <f aca="false">AE268+AD269</f>
        <v>130771.803995974</v>
      </c>
      <c r="AF269" s="22" t="n">
        <f aca="false">IF($A269&gt;=Premissas!$C$18,O269*(1-Premissas!$C$45)-Premissas!$C$46*MAX(0,O269*(1-Premissas!$C$45)-(SUM($AC$5:$AC$355)+Premissas!$C$26*Premissas!$C$60)),"")</f>
        <v>850323.385271523</v>
      </c>
      <c r="AG269" s="22" t="n">
        <f aca="false">IF($A269&gt;=Premissas!$C$18,AE269+AF269,"")</f>
        <v>981095.189267497</v>
      </c>
      <c r="AH269" s="22" t="n">
        <f aca="false">AH268*(1+$P269)-AD269</f>
        <v>1035110.54821743</v>
      </c>
      <c r="AI269" s="22" t="n">
        <f aca="false">($A269=Premissas!$C$16)*0.2*Premissas!$C$11+AND($A269&gt;Premissas!$C$16,$A269&lt;=EDATE(Premissas!$C$16,43))*0.8*Premissas!$C$11/43*(1+Premissas!$C$56)^$C269</f>
        <v>0</v>
      </c>
      <c r="AJ269" s="22" t="n">
        <f aca="false">L269-M269-N269-AI269</f>
        <v>3063.35702989933</v>
      </c>
      <c r="AK269" s="22" t="n">
        <f aca="false">AK268+AJ269</f>
        <v>84907.3185779117</v>
      </c>
      <c r="AL269" s="22" t="n">
        <f aca="false">IF($A269&gt;=Premissas!$C$18,O269*(1-Premissas!$C$45)-Premissas!$C$46*MAX(0,O269*(1-Premissas!$C$45)-(SUM($AI$5:$AI$355)+Premissas!$C$26*Premissas!$C$60)),"")</f>
        <v>857203.058084232</v>
      </c>
      <c r="AM269" s="22" t="n">
        <f aca="false">IF($A269&gt;=Premissas!$C$18,AK269+AL269,"")</f>
        <v>942110.376662144</v>
      </c>
      <c r="AN269" s="22" t="n">
        <f aca="false">AN268*(1+$P269)-AJ269</f>
        <v>1063702.68220252</v>
      </c>
      <c r="AO269" s="22" t="n">
        <f aca="false">V269+S269</f>
        <v>981543.646159982</v>
      </c>
    </row>
    <row r="270" customFormat="false" ht="15" hidden="false" customHeight="false" outlineLevel="0" collapsed="false">
      <c r="A270" s="26" t="n">
        <f aca="false">DATE(YEAR(A269),MONTH(A269)+1,1)</f>
        <v>54363</v>
      </c>
      <c r="B270" s="22" t="str">
        <f aca="false">IF($A270&lt;Premissas!$C$18,"Obra",IF($A270&lt;Premissas!$C$20,"Entrega/mobília","Airbnb"))</f>
        <v>Airbnb</v>
      </c>
      <c r="C270" s="36" t="n">
        <f aca="false">(YEAR($A270)-YEAR(Premissas!$C$16))*12+MONTH($A270)-MONTH(Premissas!$C$16)</f>
        <v>265</v>
      </c>
      <c r="D270" s="33" t="n">
        <f aca="false">IF($A270&gt;=Premissas!$C$20,Premissas!$C$31*IF(((YEAR($A270)-YEAR(Premissas!$C$20))*12+MONTH($A270)-MONTH(Premissas!$C$20))&lt;Premissas!$C$33,Premissas!$C$34,1),0)</f>
        <v>0.62</v>
      </c>
      <c r="E270" s="22" t="n">
        <f aca="false">D270*Premissas!$C$30*Premissas!$C$32*(1+Premissas!$C$58)^$C270</f>
        <v>11056.1993935399</v>
      </c>
      <c r="F270" s="22" t="n">
        <f aca="false">E270*Premissas!$C$35</f>
        <v>1768.99190296638</v>
      </c>
      <c r="G270" s="22" t="n">
        <f aca="false">E270*Premissas!$C$36</f>
        <v>2211.23987870798</v>
      </c>
      <c r="H270" s="22" t="n">
        <f aca="false">IF($A270&gt;=Premissas!$C$18,Premissas!$C$37*(1+Premissas!$C$58)^$C270,0)</f>
        <v>1426.60637335999</v>
      </c>
      <c r="I270" s="22" t="n">
        <f aca="false">IF($A270&gt;=Premissas!$C$20,Premissas!$C$38*(1+Premissas!$C$58)^$C270,0)</f>
        <v>665.749640901326</v>
      </c>
      <c r="J270" s="22" t="n">
        <f aca="false">IF($A270&gt;=Premissas!$C$20,Premissas!$C$39*(1+Premissas!$C$58)^$C270,0)</f>
        <v>356.651593339996</v>
      </c>
      <c r="K270" s="22" t="n">
        <f aca="false">IF($A270&gt;=Premissas!$C$20,MAX(0,E270-F270-G270-H270)*Premissas!$C$41,0)</f>
        <v>1553.57434058902</v>
      </c>
      <c r="L270" s="22" t="n">
        <f aca="false">E270-F270-G270-H270-I270-J270-K270</f>
        <v>3073.3856636752</v>
      </c>
      <c r="M270" s="22" t="n">
        <f aca="false">($A270=Premissas!$C$18)*Premissas!$C$26*Premissas!$C$60</f>
        <v>0</v>
      </c>
      <c r="N270" s="22" t="n">
        <f aca="false">IF(AND($A270&gt;=Premissas!$C$18,$A270&lt;Premissas!$C$20),Premissas!$C$27/MAX(1,Premissas!$C$19),0)</f>
        <v>0</v>
      </c>
      <c r="O270" s="22" t="n">
        <f aca="false">IF($A270&gt;=Premissas!$C$18,Premissas!$C$60*(1+Premissas!$C$59)^((YEAR($A270)-YEAR(Premissas!$C$18))*12+MONTH($A270)-MONTH(Premissas!$C$18)),"")</f>
        <v>1011075.13094723</v>
      </c>
      <c r="P270" s="31" t="n">
        <f aca="false">(1+IF(YEAR($A270)&lt;=2026,Premissas!$C$49,IF(YEAR($A270)=2027,Premissas!$C$50,IF(YEAR($A270)=2028,Premissas!$C$51,Premissas!$C$52)))*(1-Premissas!$C$53))^(1/12)-1</f>
        <v>0.00682149336596227</v>
      </c>
      <c r="Q270" s="22" t="n">
        <f aca="false">($A270=Premissas!$C$16)*Premissas!$C$13</f>
        <v>0</v>
      </c>
      <c r="R270" s="22" t="n">
        <f aca="false">L270-M270-N270-Q270</f>
        <v>3073.3856636752</v>
      </c>
      <c r="S270" s="22" t="n">
        <f aca="false">S269+R270</f>
        <v>172393.653539674</v>
      </c>
      <c r="T270" s="22" t="n">
        <f aca="false">IF($A270&gt;=Premissas!$C$18,O270*(1-Premissas!$C$45)-Premissas!$C$46*MAX(0,O270*(1-Premissas!$C$45)-(SUM($Q$5:$Q$355)+Premissas!$C$26*Premissas!$C$60)),"")</f>
        <v>847819.037973581</v>
      </c>
      <c r="U270" s="22" t="n">
        <f aca="false">IF($A270&gt;=Premissas!$C$18,S270+T270,"")</f>
        <v>1020212.69151325</v>
      </c>
      <c r="V270" s="22" t="n">
        <f aca="false">V269*(1+$P270)-R270</f>
        <v>814690.569006952</v>
      </c>
      <c r="W270" s="22" t="n">
        <f aca="false">($A270=Premissas!$C$16)*Premissas!$C$9</f>
        <v>0</v>
      </c>
      <c r="X270" s="22" t="n">
        <f aca="false">L270-M270-N270-W270</f>
        <v>3073.3856636752</v>
      </c>
      <c r="Y270" s="22" t="n">
        <f aca="false">Y269+X270</f>
        <v>141465.653539674</v>
      </c>
      <c r="Z270" s="22" t="n">
        <f aca="false">IF($A270&gt;=Premissas!$C$18,O270*(1-Premissas!$C$45)-Premissas!$C$46*MAX(0,O270*(1-Premissas!$C$45)-(SUM($W$5:$W$355)+Premissas!$C$26*Premissas!$C$60)),"")</f>
        <v>852458.237973581</v>
      </c>
      <c r="AA270" s="22" t="n">
        <f aca="false">IF($A270&gt;=Premissas!$C$18,Y270+Z270,"")</f>
        <v>993923.891513254</v>
      </c>
      <c r="AB270" s="22" t="n">
        <f aca="false">AB269*(1+$P270)-X270</f>
        <v>1008245.63422597</v>
      </c>
      <c r="AC270" s="22" t="n">
        <f aca="false">AND($A270&gt;=Premissas!$C$16,$A270&lt;EDATE(Premissas!$C$16,3))*Premissas!$C$10/3*(1+Premissas!$C$56)^$C270</f>
        <v>0</v>
      </c>
      <c r="AD270" s="22" t="n">
        <f aca="false">L270-M270-N270-AC270</f>
        <v>3073.3856636752</v>
      </c>
      <c r="AE270" s="22" t="n">
        <f aca="false">AE269+AD270</f>
        <v>133845.189659649</v>
      </c>
      <c r="AF270" s="22" t="n">
        <f aca="false">IF($A270&gt;=Premissas!$C$18,O270*(1-Premissas!$C$45)-Premissas!$C$46*MAX(0,O270*(1-Premissas!$C$45)-(SUM($AC$5:$AC$355)+Premissas!$C$26*Premissas!$C$60)),"")</f>
        <v>853601.307555584</v>
      </c>
      <c r="AG270" s="22" t="n">
        <f aca="false">IF($A270&gt;=Premissas!$C$18,AE270+AF270,"")</f>
        <v>987446.497215233</v>
      </c>
      <c r="AH270" s="22" t="n">
        <f aca="false">AH269*(1+$P270)-AD270</f>
        <v>1039098.16229146</v>
      </c>
      <c r="AI270" s="22" t="n">
        <f aca="false">($A270=Premissas!$C$16)*0.2*Premissas!$C$11+AND($A270&gt;Premissas!$C$16,$A270&lt;=EDATE(Premissas!$C$16,43))*0.8*Premissas!$C$11/43*(1+Premissas!$C$56)^$C270</f>
        <v>0</v>
      </c>
      <c r="AJ270" s="22" t="n">
        <f aca="false">L270-M270-N270-AI270</f>
        <v>3073.3856636752</v>
      </c>
      <c r="AK270" s="22" t="n">
        <f aca="false">AK269+AJ270</f>
        <v>87980.7042415869</v>
      </c>
      <c r="AL270" s="22" t="n">
        <f aca="false">IF($A270&gt;=Premissas!$C$18,O270*(1-Premissas!$C$45)-Premissas!$C$46*MAX(0,O270*(1-Premissas!$C$45)-(SUM($AI$5:$AI$355)+Premissas!$C$26*Premissas!$C$60)),"")</f>
        <v>860480.980368294</v>
      </c>
      <c r="AM270" s="22" t="n">
        <f aca="false">IF($A270&gt;=Premissas!$C$18,AK270+AL270,"")</f>
        <v>948461.68460988</v>
      </c>
      <c r="AN270" s="22" t="n">
        <f aca="false">AN269*(1+$P270)-AJ270</f>
        <v>1067885.33732885</v>
      </c>
      <c r="AO270" s="22" t="n">
        <f aca="false">V270+S270</f>
        <v>987084.222546626</v>
      </c>
    </row>
    <row r="271" customFormat="false" ht="15" hidden="false" customHeight="false" outlineLevel="0" collapsed="false">
      <c r="A271" s="26" t="n">
        <f aca="false">DATE(YEAR(A270),MONTH(A270)+1,1)</f>
        <v>54393</v>
      </c>
      <c r="B271" s="22" t="str">
        <f aca="false">IF($A271&lt;Premissas!$C$18,"Obra",IF($A271&lt;Premissas!$C$20,"Entrega/mobília","Airbnb"))</f>
        <v>Airbnb</v>
      </c>
      <c r="C271" s="36" t="n">
        <f aca="false">(YEAR($A271)-YEAR(Premissas!$C$16))*12+MONTH($A271)-MONTH(Premissas!$C$16)</f>
        <v>266</v>
      </c>
      <c r="D271" s="33" t="n">
        <f aca="false">IF($A271&gt;=Premissas!$C$20,Premissas!$C$31*IF(((YEAR($A271)-YEAR(Premissas!$C$20))*12+MONTH($A271)-MONTH(Premissas!$C$20))&lt;Premissas!$C$33,Premissas!$C$34,1),0)</f>
        <v>0.62</v>
      </c>
      <c r="E271" s="22" t="n">
        <f aca="false">D271*Premissas!$C$30*Premissas!$C$32*(1+Premissas!$C$58)^$C271</f>
        <v>11092.3945133344</v>
      </c>
      <c r="F271" s="22" t="n">
        <f aca="false">E271*Premissas!$C$35</f>
        <v>1774.78312213351</v>
      </c>
      <c r="G271" s="22" t="n">
        <f aca="false">E271*Premissas!$C$36</f>
        <v>2218.47890266689</v>
      </c>
      <c r="H271" s="22" t="n">
        <f aca="false">IF($A271&gt;=Premissas!$C$18,Premissas!$C$37*(1+Premissas!$C$58)^$C271,0)</f>
        <v>1431.27671139799</v>
      </c>
      <c r="I271" s="22" t="n">
        <f aca="false">IF($A271&gt;=Premissas!$C$20,Premissas!$C$38*(1+Premissas!$C$58)^$C271,0)</f>
        <v>667.92913198573</v>
      </c>
      <c r="J271" s="22" t="n">
        <f aca="false">IF($A271&gt;=Premissas!$C$20,Premissas!$C$39*(1+Premissas!$C$58)^$C271,0)</f>
        <v>357.819177849498</v>
      </c>
      <c r="K271" s="22" t="n">
        <f aca="false">IF($A271&gt;=Premissas!$C$20,MAX(0,E271-F271-G271-H271)*Premissas!$C$41,0)</f>
        <v>1558.66033871241</v>
      </c>
      <c r="L271" s="22" t="n">
        <f aca="false">E271-F271-G271-H271-I271-J271-K271</f>
        <v>3083.44712858841</v>
      </c>
      <c r="M271" s="22" t="n">
        <f aca="false">($A271=Premissas!$C$18)*Premissas!$C$26*Premissas!$C$60</f>
        <v>0</v>
      </c>
      <c r="N271" s="22" t="n">
        <f aca="false">IF(AND($A271&gt;=Premissas!$C$18,$A271&lt;Premissas!$C$20),Premissas!$C$27/MAX(1,Premissas!$C$19),0)</f>
        <v>0</v>
      </c>
      <c r="O271" s="22" t="n">
        <f aca="false">IF($A271&gt;=Premissas!$C$18,Premissas!$C$60*(1+Premissas!$C$59)^((YEAR($A271)-YEAR(Premissas!$C$18))*12+MONTH($A271)-MONTH(Premissas!$C$18)),"")</f>
        <v>1015194.37618527</v>
      </c>
      <c r="P271" s="31" t="n">
        <f aca="false">(1+IF(YEAR($A271)&lt;=2026,Premissas!$C$49,IF(YEAR($A271)=2027,Premissas!$C$50,IF(YEAR($A271)=2028,Premissas!$C$51,Premissas!$C$52)))*(1-Premissas!$C$53))^(1/12)-1</f>
        <v>0.00682149336596227</v>
      </c>
      <c r="Q271" s="22" t="n">
        <f aca="false">($A271=Premissas!$C$16)*Premissas!$C$13</f>
        <v>0</v>
      </c>
      <c r="R271" s="22" t="n">
        <f aca="false">L271-M271-N271-Q271</f>
        <v>3083.44712858841</v>
      </c>
      <c r="S271" s="22" t="n">
        <f aca="false">S270+R271</f>
        <v>175477.100668262</v>
      </c>
      <c r="T271" s="22" t="n">
        <f aca="false">IF($A271&gt;=Premissas!$C$18,O271*(1-Premissas!$C$45)-Premissas!$C$46*MAX(0,O271*(1-Premissas!$C$45)-(SUM($Q$5:$Q$355)+Premissas!$C$26*Premissas!$C$60)),"")</f>
        <v>851110.314918781</v>
      </c>
      <c r="U271" s="22" t="n">
        <f aca="false">IF($A271&gt;=Premissas!$C$18,S271+T271,"")</f>
        <v>1026587.41558704</v>
      </c>
      <c r="V271" s="22" t="n">
        <f aca="false">V270*(1+$P271)-R271</f>
        <v>817164.528190157</v>
      </c>
      <c r="W271" s="22" t="n">
        <f aca="false">($A271=Premissas!$C$16)*Premissas!$C$9</f>
        <v>0</v>
      </c>
      <c r="X271" s="22" t="n">
        <f aca="false">L271-M271-N271-W271</f>
        <v>3083.44712858841</v>
      </c>
      <c r="Y271" s="22" t="n">
        <f aca="false">Y270+X271</f>
        <v>144549.100668262</v>
      </c>
      <c r="Z271" s="22" t="n">
        <f aca="false">IF($A271&gt;=Premissas!$C$18,O271*(1-Premissas!$C$45)-Premissas!$C$46*MAX(0,O271*(1-Premissas!$C$45)-(SUM($W$5:$W$355)+Premissas!$C$26*Premissas!$C$60)),"")</f>
        <v>855749.514918781</v>
      </c>
      <c r="AA271" s="22" t="n">
        <f aca="false">IF($A271&gt;=Premissas!$C$18,Y271+Z271,"")</f>
        <v>1000298.61558704</v>
      </c>
      <c r="AB271" s="22" t="n">
        <f aca="false">AB270*(1+$P271)-X271</f>
        <v>1012039.92800251</v>
      </c>
      <c r="AC271" s="22" t="n">
        <f aca="false">AND($A271&gt;=Premissas!$C$16,$A271&lt;EDATE(Premissas!$C$16,3))*Premissas!$C$10/3*(1+Premissas!$C$56)^$C271</f>
        <v>0</v>
      </c>
      <c r="AD271" s="22" t="n">
        <f aca="false">L271-M271-N271-AC271</f>
        <v>3083.44712858841</v>
      </c>
      <c r="AE271" s="22" t="n">
        <f aca="false">AE270+AD271</f>
        <v>136928.636788237</v>
      </c>
      <c r="AF271" s="22" t="n">
        <f aca="false">IF($A271&gt;=Premissas!$C$18,O271*(1-Premissas!$C$45)-Premissas!$C$46*MAX(0,O271*(1-Premissas!$C$45)-(SUM($AC$5:$AC$355)+Premissas!$C$26*Premissas!$C$60)),"")</f>
        <v>856892.584500784</v>
      </c>
      <c r="AG271" s="22" t="n">
        <f aca="false">IF($A271&gt;=Premissas!$C$18,AE271+AF271,"")</f>
        <v>993821.221289022</v>
      </c>
      <c r="AH271" s="22" t="n">
        <f aca="false">AH270*(1+$P271)-AD271</f>
        <v>1043102.91638353</v>
      </c>
      <c r="AI271" s="22" t="n">
        <f aca="false">($A271=Premissas!$C$16)*0.2*Premissas!$C$11+AND($A271&gt;Premissas!$C$16,$A271&lt;=EDATE(Premissas!$C$16,43))*0.8*Premissas!$C$11/43*(1+Premissas!$C$56)^$C271</f>
        <v>0</v>
      </c>
      <c r="AJ271" s="22" t="n">
        <f aca="false">L271-M271-N271-AI271</f>
        <v>3083.44712858841</v>
      </c>
      <c r="AK271" s="22" t="n">
        <f aca="false">AK270+AJ271</f>
        <v>91064.1513701753</v>
      </c>
      <c r="AL271" s="22" t="n">
        <f aca="false">IF($A271&gt;=Premissas!$C$18,O271*(1-Premissas!$C$45)-Premissas!$C$46*MAX(0,O271*(1-Premissas!$C$45)-(SUM($AI$5:$AI$355)+Premissas!$C$26*Premissas!$C$60)),"")</f>
        <v>863772.257313494</v>
      </c>
      <c r="AM271" s="22" t="n">
        <f aca="false">IF($A271&gt;=Premissas!$C$18,AK271+AL271,"")</f>
        <v>954836.408683669</v>
      </c>
      <c r="AN271" s="22" t="n">
        <f aca="false">AN270*(1+$P271)-AJ271</f>
        <v>1072086.46294446</v>
      </c>
      <c r="AO271" s="22" t="n">
        <f aca="false">V271+S271</f>
        <v>992641.628858419</v>
      </c>
    </row>
    <row r="272" customFormat="false" ht="15" hidden="false" customHeight="false" outlineLevel="0" collapsed="false">
      <c r="A272" s="26" t="n">
        <f aca="false">DATE(YEAR(A271),MONTH(A271)+1,1)</f>
        <v>54424</v>
      </c>
      <c r="B272" s="22" t="str">
        <f aca="false">IF($A272&lt;Premissas!$C$18,"Obra",IF($A272&lt;Premissas!$C$20,"Entrega/mobília","Airbnb"))</f>
        <v>Airbnb</v>
      </c>
      <c r="C272" s="36" t="n">
        <f aca="false">(YEAR($A272)-YEAR(Premissas!$C$16))*12+MONTH($A272)-MONTH(Premissas!$C$16)</f>
        <v>267</v>
      </c>
      <c r="D272" s="33" t="n">
        <f aca="false">IF($A272&gt;=Premissas!$C$20,Premissas!$C$31*IF(((YEAR($A272)-YEAR(Premissas!$C$20))*12+MONTH($A272)-MONTH(Premissas!$C$20))&lt;Premissas!$C$33,Premissas!$C$34,1),0)</f>
        <v>0.62</v>
      </c>
      <c r="E272" s="22" t="n">
        <f aca="false">D272*Premissas!$C$30*Premissas!$C$32*(1+Premissas!$C$58)^$C272</f>
        <v>11128.7081265326</v>
      </c>
      <c r="F272" s="22" t="n">
        <f aca="false">E272*Premissas!$C$35</f>
        <v>1780.59330024521</v>
      </c>
      <c r="G272" s="22" t="n">
        <f aca="false">E272*Premissas!$C$36</f>
        <v>2225.74162530652</v>
      </c>
      <c r="H272" s="22" t="n">
        <f aca="false">IF($A272&gt;=Premissas!$C$18,Premissas!$C$37*(1+Premissas!$C$58)^$C272,0)</f>
        <v>1435.96233890743</v>
      </c>
      <c r="I272" s="22" t="n">
        <f aca="false">IF($A272&gt;=Premissas!$C$20,Premissas!$C$38*(1+Premissas!$C$58)^$C272,0)</f>
        <v>670.115758156801</v>
      </c>
      <c r="J272" s="22" t="n">
        <f aca="false">IF($A272&gt;=Premissas!$C$20,Premissas!$C$39*(1+Premissas!$C$58)^$C272,0)</f>
        <v>358.990584726858</v>
      </c>
      <c r="K272" s="22" t="n">
        <f aca="false">IF($A272&gt;=Premissas!$C$20,MAX(0,E272-F272-G272-H272)*Premissas!$C$41,0)</f>
        <v>1563.76298707019</v>
      </c>
      <c r="L272" s="22" t="n">
        <f aca="false">E272-F272-G272-H272-I272-J272-K272</f>
        <v>3093.54153211957</v>
      </c>
      <c r="M272" s="22" t="n">
        <f aca="false">($A272=Premissas!$C$18)*Premissas!$C$26*Premissas!$C$60</f>
        <v>0</v>
      </c>
      <c r="N272" s="22" t="n">
        <f aca="false">IF(AND($A272&gt;=Premissas!$C$18,$A272&lt;Premissas!$C$20),Premissas!$C$27/MAX(1,Premissas!$C$19),0)</f>
        <v>0</v>
      </c>
      <c r="O272" s="22" t="n">
        <f aca="false">IF($A272&gt;=Premissas!$C$18,Premissas!$C$60*(1+Premissas!$C$59)^((YEAR($A272)-YEAR(Premissas!$C$18))*12+MONTH($A272)-MONTH(Premissas!$C$18)),"")</f>
        <v>1019330.40373832</v>
      </c>
      <c r="P272" s="31" t="n">
        <f aca="false">(1+IF(YEAR($A272)&lt;=2026,Premissas!$C$49,IF(YEAR($A272)=2027,Premissas!$C$50,IF(YEAR($A272)=2028,Premissas!$C$51,Premissas!$C$52)))*(1-Premissas!$C$53))^(1/12)-1</f>
        <v>0.00682149336596227</v>
      </c>
      <c r="Q272" s="22" t="n">
        <f aca="false">($A272=Premissas!$C$16)*Premissas!$C$13</f>
        <v>0</v>
      </c>
      <c r="R272" s="22" t="n">
        <f aca="false">L272-M272-N272-Q272</f>
        <v>3093.54153211957</v>
      </c>
      <c r="S272" s="22" t="n">
        <f aca="false">S271+R272</f>
        <v>178570.642200382</v>
      </c>
      <c r="T272" s="22" t="n">
        <f aca="false">IF($A272&gt;=Premissas!$C$18,O272*(1-Premissas!$C$45)-Premissas!$C$46*MAX(0,O272*(1-Premissas!$C$45)-(SUM($Q$5:$Q$355)+Premissas!$C$26*Premissas!$C$60)),"")</f>
        <v>854415.000933662</v>
      </c>
      <c r="U272" s="22" t="n">
        <f aca="false">IF($A272&gt;=Premissas!$C$18,S272+T272,"")</f>
        <v>1032985.64313404</v>
      </c>
      <c r="V272" s="22" t="n">
        <f aca="false">V271*(1+$P272)-R272</f>
        <v>819645.269065986</v>
      </c>
      <c r="W272" s="22" t="n">
        <f aca="false">($A272=Premissas!$C$16)*Premissas!$C$9</f>
        <v>0</v>
      </c>
      <c r="X272" s="22" t="n">
        <f aca="false">L272-M272-N272-W272</f>
        <v>3093.54153211957</v>
      </c>
      <c r="Y272" s="22" t="n">
        <f aca="false">Y271+X272</f>
        <v>147642.642200382</v>
      </c>
      <c r="Z272" s="22" t="n">
        <f aca="false">IF($A272&gt;=Premissas!$C$18,O272*(1-Premissas!$C$45)-Premissas!$C$46*MAX(0,O272*(1-Premissas!$C$45)-(SUM($W$5:$W$355)+Premissas!$C$26*Premissas!$C$60)),"")</f>
        <v>859054.200933662</v>
      </c>
      <c r="AA272" s="22" t="n">
        <f aca="false">IF($A272&gt;=Premissas!$C$18,Y272+Z272,"")</f>
        <v>1006696.84313404</v>
      </c>
      <c r="AB272" s="22" t="n">
        <f aca="false">AB271*(1+$P272)-X272</f>
        <v>1015850.01012535</v>
      </c>
      <c r="AC272" s="22" t="n">
        <f aca="false">AND($A272&gt;=Premissas!$C$16,$A272&lt;EDATE(Premissas!$C$16,3))*Premissas!$C$10/3*(1+Premissas!$C$56)^$C272</f>
        <v>0</v>
      </c>
      <c r="AD272" s="22" t="n">
        <f aca="false">L272-M272-N272-AC272</f>
        <v>3093.54153211957</v>
      </c>
      <c r="AE272" s="22" t="n">
        <f aca="false">AE271+AD272</f>
        <v>140022.178320357</v>
      </c>
      <c r="AF272" s="22" t="n">
        <f aca="false">IF($A272&gt;=Premissas!$C$18,O272*(1-Premissas!$C$45)-Premissas!$C$46*MAX(0,O272*(1-Premissas!$C$45)-(SUM($AC$5:$AC$355)+Premissas!$C$26*Premissas!$C$60)),"")</f>
        <v>860197.270515665</v>
      </c>
      <c r="AG272" s="22" t="n">
        <f aca="false">IF($A272&gt;=Premissas!$C$18,AE272+AF272,"")</f>
        <v>1000219.44883602</v>
      </c>
      <c r="AH272" s="22" t="n">
        <f aca="false">AH271*(1+$P272)-AD272</f>
        <v>1047124.89447553</v>
      </c>
      <c r="AI272" s="22" t="n">
        <f aca="false">($A272=Premissas!$C$16)*0.2*Premissas!$C$11+AND($A272&gt;Premissas!$C$16,$A272&lt;=EDATE(Premissas!$C$16,43))*0.8*Premissas!$C$11/43*(1+Premissas!$C$56)^$C272</f>
        <v>0</v>
      </c>
      <c r="AJ272" s="22" t="n">
        <f aca="false">L272-M272-N272-AI272</f>
        <v>3093.54153211957</v>
      </c>
      <c r="AK272" s="22" t="n">
        <f aca="false">AK271+AJ272</f>
        <v>94157.6929022949</v>
      </c>
      <c r="AL272" s="22" t="n">
        <f aca="false">IF($A272&gt;=Premissas!$C$18,O272*(1-Premissas!$C$45)-Premissas!$C$46*MAX(0,O272*(1-Premissas!$C$45)-(SUM($AI$5:$AI$355)+Premissas!$C$26*Premissas!$C$60)),"")</f>
        <v>867076.943328375</v>
      </c>
      <c r="AM272" s="22" t="n">
        <f aca="false">IF($A272&gt;=Premissas!$C$18,AK272+AL272,"")</f>
        <v>961234.63623067</v>
      </c>
      <c r="AN272" s="22" t="n">
        <f aca="false">AN271*(1+$P272)-AJ272</f>
        <v>1076306.15210705</v>
      </c>
      <c r="AO272" s="22" t="n">
        <f aca="false">V272+S272</f>
        <v>998215.911266367</v>
      </c>
    </row>
    <row r="273" customFormat="false" ht="15" hidden="false" customHeight="false" outlineLevel="0" collapsed="false">
      <c r="A273" s="26" t="n">
        <f aca="false">DATE(YEAR(A272),MONTH(A272)+1,1)</f>
        <v>54455</v>
      </c>
      <c r="B273" s="22" t="str">
        <f aca="false">IF($A273&lt;Premissas!$C$18,"Obra",IF($A273&lt;Premissas!$C$20,"Entrega/mobília","Airbnb"))</f>
        <v>Airbnb</v>
      </c>
      <c r="C273" s="36" t="n">
        <f aca="false">(YEAR($A273)-YEAR(Premissas!$C$16))*12+MONTH($A273)-MONTH(Premissas!$C$16)</f>
        <v>268</v>
      </c>
      <c r="D273" s="33" t="n">
        <f aca="false">IF($A273&gt;=Premissas!$C$20,Premissas!$C$31*IF(((YEAR($A273)-YEAR(Premissas!$C$20))*12+MONTH($A273)-MONTH(Premissas!$C$20))&lt;Premissas!$C$33,Premissas!$C$34,1),0)</f>
        <v>0.62</v>
      </c>
      <c r="E273" s="22" t="n">
        <f aca="false">D273*Premissas!$C$30*Premissas!$C$32*(1+Premissas!$C$58)^$C273</f>
        <v>11165.1406210509</v>
      </c>
      <c r="F273" s="22" t="n">
        <f aca="false">E273*Premissas!$C$35</f>
        <v>1786.42249936814</v>
      </c>
      <c r="G273" s="22" t="n">
        <f aca="false">E273*Premissas!$C$36</f>
        <v>2233.02812421018</v>
      </c>
      <c r="H273" s="22" t="n">
        <f aca="false">IF($A273&gt;=Premissas!$C$18,Premissas!$C$37*(1+Premissas!$C$58)^$C273,0)</f>
        <v>1440.66330594205</v>
      </c>
      <c r="I273" s="22" t="n">
        <f aca="false">IF($A273&gt;=Premissas!$C$20,Premissas!$C$38*(1+Premissas!$C$58)^$C273,0)</f>
        <v>672.309542772957</v>
      </c>
      <c r="J273" s="22" t="n">
        <f aca="false">IF($A273&gt;=Premissas!$C$20,Premissas!$C$39*(1+Premissas!$C$58)^$C273,0)</f>
        <v>360.165826485513</v>
      </c>
      <c r="K273" s="22" t="n">
        <f aca="false">IF($A273&gt;=Premissas!$C$20,MAX(0,E273-F273-G273-H273)*Premissas!$C$41,0)</f>
        <v>1568.88234017089</v>
      </c>
      <c r="L273" s="22" t="n">
        <f aca="false">E273-F273-G273-H273-I273-J273-K273</f>
        <v>3103.66898210116</v>
      </c>
      <c r="M273" s="22" t="n">
        <f aca="false">($A273=Premissas!$C$18)*Premissas!$C$26*Premissas!$C$60</f>
        <v>0</v>
      </c>
      <c r="N273" s="22" t="n">
        <f aca="false">IF(AND($A273&gt;=Premissas!$C$18,$A273&lt;Premissas!$C$20),Premissas!$C$27/MAX(1,Premissas!$C$19),0)</f>
        <v>0</v>
      </c>
      <c r="O273" s="22" t="n">
        <f aca="false">IF($A273&gt;=Premissas!$C$18,Premissas!$C$60*(1+Premissas!$C$59)^((YEAR($A273)-YEAR(Premissas!$C$18))*12+MONTH($A273)-MONTH(Premissas!$C$18)),"")</f>
        <v>1023483.28197958</v>
      </c>
      <c r="P273" s="31" t="n">
        <f aca="false">(1+IF(YEAR($A273)&lt;=2026,Premissas!$C$49,IF(YEAR($A273)=2027,Premissas!$C$50,IF(YEAR($A273)=2028,Premissas!$C$51,Premissas!$C$52)))*(1-Premissas!$C$53))^(1/12)-1</f>
        <v>0.00682149336596227</v>
      </c>
      <c r="Q273" s="22" t="n">
        <f aca="false">($A273=Premissas!$C$16)*Premissas!$C$13</f>
        <v>0</v>
      </c>
      <c r="R273" s="22" t="n">
        <f aca="false">L273-M273-N273-Q273</f>
        <v>3103.66898210116</v>
      </c>
      <c r="S273" s="22" t="n">
        <f aca="false">S272+R273</f>
        <v>181674.311182483</v>
      </c>
      <c r="T273" s="22" t="n">
        <f aca="false">IF($A273&gt;=Premissas!$C$18,O273*(1-Premissas!$C$45)-Premissas!$C$46*MAX(0,O273*(1-Premissas!$C$45)-(SUM($Q$5:$Q$355)+Premissas!$C$26*Premissas!$C$60)),"")</f>
        <v>857733.150648433</v>
      </c>
      <c r="U273" s="22" t="n">
        <f aca="false">IF($A273&gt;=Premissas!$C$18,S273+T273,"")</f>
        <v>1039407.46183092</v>
      </c>
      <c r="V273" s="22" t="n">
        <f aca="false">V272*(1+$P273)-R273</f>
        <v>822132.804849261</v>
      </c>
      <c r="W273" s="22" t="n">
        <f aca="false">($A273=Premissas!$C$16)*Premissas!$C$9</f>
        <v>0</v>
      </c>
      <c r="X273" s="22" t="n">
        <f aca="false">L273-M273-N273-W273</f>
        <v>3103.66898210116</v>
      </c>
      <c r="Y273" s="22" t="n">
        <f aca="false">Y272+X273</f>
        <v>150746.311182483</v>
      </c>
      <c r="Z273" s="22" t="n">
        <f aca="false">IF($A273&gt;=Premissas!$C$18,O273*(1-Premissas!$C$45)-Premissas!$C$46*MAX(0,O273*(1-Premissas!$C$45)-(SUM($W$5:$W$355)+Premissas!$C$26*Premissas!$C$60)),"")</f>
        <v>862372.350648433</v>
      </c>
      <c r="AA273" s="22" t="n">
        <f aca="false">IF($A273&gt;=Premissas!$C$18,Y273+Z273,"")</f>
        <v>1013118.66183092</v>
      </c>
      <c r="AB273" s="22" t="n">
        <f aca="false">AB272*(1+$P273)-X273</f>
        <v>1019675.95524813</v>
      </c>
      <c r="AC273" s="22" t="n">
        <f aca="false">AND($A273&gt;=Premissas!$C$16,$A273&lt;EDATE(Premissas!$C$16,3))*Premissas!$C$10/3*(1+Premissas!$C$56)^$C273</f>
        <v>0</v>
      </c>
      <c r="AD273" s="22" t="n">
        <f aca="false">L273-M273-N273-AC273</f>
        <v>3103.66898210116</v>
      </c>
      <c r="AE273" s="22" t="n">
        <f aca="false">AE272+AD273</f>
        <v>143125.847302458</v>
      </c>
      <c r="AF273" s="22" t="n">
        <f aca="false">IF($A273&gt;=Premissas!$C$18,O273*(1-Premissas!$C$45)-Premissas!$C$46*MAX(0,O273*(1-Premissas!$C$45)-(SUM($AC$5:$AC$355)+Premissas!$C$26*Premissas!$C$60)),"")</f>
        <v>863515.420230437</v>
      </c>
      <c r="AG273" s="22" t="n">
        <f aca="false">IF($A273&gt;=Premissas!$C$18,AE273+AF273,"")</f>
        <v>1006641.26753289</v>
      </c>
      <c r="AH273" s="22" t="n">
        <f aca="false">AH272*(1+$P273)-AD273</f>
        <v>1051164.18101443</v>
      </c>
      <c r="AI273" s="22" t="n">
        <f aca="false">($A273=Premissas!$C$16)*0.2*Premissas!$C$11+AND($A273&gt;Premissas!$C$16,$A273&lt;=EDATE(Premissas!$C$16,43))*0.8*Premissas!$C$11/43*(1+Premissas!$C$56)^$C273</f>
        <v>0</v>
      </c>
      <c r="AJ273" s="22" t="n">
        <f aca="false">L273-M273-N273-AI273</f>
        <v>3103.66898210116</v>
      </c>
      <c r="AK273" s="22" t="n">
        <f aca="false">AK272+AJ273</f>
        <v>97261.361884396</v>
      </c>
      <c r="AL273" s="22" t="n">
        <f aca="false">IF($A273&gt;=Premissas!$C$18,O273*(1-Premissas!$C$45)-Premissas!$C$46*MAX(0,O273*(1-Premissas!$C$45)-(SUM($AI$5:$AI$355)+Premissas!$C$26*Premissas!$C$60)),"")</f>
        <v>870395.093043146</v>
      </c>
      <c r="AM273" s="22" t="n">
        <f aca="false">IF($A273&gt;=Premissas!$C$18,AK273+AL273,"")</f>
        <v>967656.454927542</v>
      </c>
      <c r="AN273" s="22" t="n">
        <f aca="false">AN272*(1+$P273)-AJ273</f>
        <v>1080544.49840129</v>
      </c>
      <c r="AO273" s="22" t="n">
        <f aca="false">V273+S273</f>
        <v>1003807.11603174</v>
      </c>
    </row>
    <row r="274" customFormat="false" ht="15" hidden="false" customHeight="false" outlineLevel="0" collapsed="false">
      <c r="A274" s="26" t="n">
        <f aca="false">DATE(YEAR(A273),MONTH(A273)+1,1)</f>
        <v>54483</v>
      </c>
      <c r="B274" s="22" t="str">
        <f aca="false">IF($A274&lt;Premissas!$C$18,"Obra",IF($A274&lt;Premissas!$C$20,"Entrega/mobília","Airbnb"))</f>
        <v>Airbnb</v>
      </c>
      <c r="C274" s="36" t="n">
        <f aca="false">(YEAR($A274)-YEAR(Premissas!$C$16))*12+MONTH($A274)-MONTH(Premissas!$C$16)</f>
        <v>269</v>
      </c>
      <c r="D274" s="33" t="n">
        <f aca="false">IF($A274&gt;=Premissas!$C$20,Premissas!$C$31*IF(((YEAR($A274)-YEAR(Premissas!$C$20))*12+MONTH($A274)-MONTH(Premissas!$C$20))&lt;Premissas!$C$33,Premissas!$C$34,1),0)</f>
        <v>0.62</v>
      </c>
      <c r="E274" s="22" t="n">
        <f aca="false">D274*Premissas!$C$30*Premissas!$C$32*(1+Premissas!$C$58)^$C274</f>
        <v>11201.6923860759</v>
      </c>
      <c r="F274" s="22" t="n">
        <f aca="false">E274*Premissas!$C$35</f>
        <v>1792.27078177214</v>
      </c>
      <c r="G274" s="22" t="n">
        <f aca="false">E274*Premissas!$C$36</f>
        <v>2240.33847721518</v>
      </c>
      <c r="H274" s="22" t="n">
        <f aca="false">IF($A274&gt;=Premissas!$C$18,Premissas!$C$37*(1+Premissas!$C$58)^$C274,0)</f>
        <v>1445.37966271947</v>
      </c>
      <c r="I274" s="22" t="n">
        <f aca="false">IF($A274&gt;=Premissas!$C$20,Premissas!$C$38*(1+Premissas!$C$58)^$C274,0)</f>
        <v>674.510509269085</v>
      </c>
      <c r="J274" s="22" t="n">
        <f aca="false">IF($A274&gt;=Premissas!$C$20,Premissas!$C$39*(1+Premissas!$C$58)^$C274,0)</f>
        <v>361.344915679867</v>
      </c>
      <c r="K274" s="22" t="n">
        <f aca="false">IF($A274&gt;=Premissas!$C$20,MAX(0,E274-F274-G274-H274)*Premissas!$C$41,0)</f>
        <v>1574.0184527015</v>
      </c>
      <c r="L274" s="22" t="n">
        <f aca="false">E274-F274-G274-H274-I274-J274-K274</f>
        <v>3113.82958671864</v>
      </c>
      <c r="M274" s="22" t="n">
        <f aca="false">($A274=Premissas!$C$18)*Premissas!$C$26*Premissas!$C$60</f>
        <v>0</v>
      </c>
      <c r="N274" s="22" t="n">
        <f aca="false">IF(AND($A274&gt;=Premissas!$C$18,$A274&lt;Premissas!$C$20),Premissas!$C$27/MAX(1,Premissas!$C$19),0)</f>
        <v>0</v>
      </c>
      <c r="O274" s="22" t="n">
        <f aca="false">IF($A274&gt;=Premissas!$C$18,Premissas!$C$60*(1+Premissas!$C$59)^((YEAR($A274)-YEAR(Premissas!$C$18))*12+MONTH($A274)-MONTH(Premissas!$C$18)),"")</f>
        <v>1027653.07956086</v>
      </c>
      <c r="P274" s="31" t="n">
        <f aca="false">(1+IF(YEAR($A274)&lt;=2026,Premissas!$C$49,IF(YEAR($A274)=2027,Premissas!$C$50,IF(YEAR($A274)=2028,Premissas!$C$51,Premissas!$C$52)))*(1-Premissas!$C$53))^(1/12)-1</f>
        <v>0.00682149336596227</v>
      </c>
      <c r="Q274" s="22" t="n">
        <f aca="false">($A274=Premissas!$C$16)*Premissas!$C$13</f>
        <v>0</v>
      </c>
      <c r="R274" s="22" t="n">
        <f aca="false">L274-M274-N274-Q274</f>
        <v>3113.82958671864</v>
      </c>
      <c r="S274" s="22" t="n">
        <f aca="false">S273+R274</f>
        <v>184788.140769201</v>
      </c>
      <c r="T274" s="22" t="n">
        <f aca="false">IF($A274&gt;=Premissas!$C$18,O274*(1-Premissas!$C$45)-Premissas!$C$46*MAX(0,O274*(1-Premissas!$C$45)-(SUM($Q$5:$Q$355)+Premissas!$C$26*Premissas!$C$60)),"")</f>
        <v>861064.818915876</v>
      </c>
      <c r="U274" s="22" t="n">
        <f aca="false">IF($A274&gt;=Premissas!$C$18,S274+T274,"")</f>
        <v>1045852.95968508</v>
      </c>
      <c r="V274" s="22" t="n">
        <f aca="false">V273*(1+$P274)-R274</f>
        <v>824627.148736761</v>
      </c>
      <c r="W274" s="22" t="n">
        <f aca="false">($A274=Premissas!$C$16)*Premissas!$C$9</f>
        <v>0</v>
      </c>
      <c r="X274" s="22" t="n">
        <f aca="false">L274-M274-N274-W274</f>
        <v>3113.82958671864</v>
      </c>
      <c r="Y274" s="22" t="n">
        <f aca="false">Y273+X274</f>
        <v>153860.140769201</v>
      </c>
      <c r="Z274" s="22" t="n">
        <f aca="false">IF($A274&gt;=Premissas!$C$18,O274*(1-Premissas!$C$45)-Premissas!$C$46*MAX(0,O274*(1-Premissas!$C$45)-(SUM($W$5:$W$355)+Premissas!$C$26*Premissas!$C$60)),"")</f>
        <v>865704.018915876</v>
      </c>
      <c r="AA274" s="22" t="n">
        <f aca="false">IF($A274&gt;=Premissas!$C$18,Y274+Z274,"")</f>
        <v>1019564.15968508</v>
      </c>
      <c r="AB274" s="22" t="n">
        <f aca="false">AB273*(1+$P274)-X274</f>
        <v>1023517.83842557</v>
      </c>
      <c r="AC274" s="22" t="n">
        <f aca="false">AND($A274&gt;=Premissas!$C$16,$A274&lt;EDATE(Premissas!$C$16,3))*Premissas!$C$10/3*(1+Premissas!$C$56)^$C274</f>
        <v>0</v>
      </c>
      <c r="AD274" s="22" t="n">
        <f aca="false">L274-M274-N274-AC274</f>
        <v>3113.82958671864</v>
      </c>
      <c r="AE274" s="22" t="n">
        <f aca="false">AE273+AD274</f>
        <v>146239.676889177</v>
      </c>
      <c r="AF274" s="22" t="n">
        <f aca="false">IF($A274&gt;=Premissas!$C$18,O274*(1-Premissas!$C$45)-Premissas!$C$46*MAX(0,O274*(1-Premissas!$C$45)-(SUM($AC$5:$AC$355)+Premissas!$C$26*Premissas!$C$60)),"")</f>
        <v>866847.088497879</v>
      </c>
      <c r="AG274" s="22" t="n">
        <f aca="false">IF($A274&gt;=Premissas!$C$18,AE274+AF274,"")</f>
        <v>1013086.76538706</v>
      </c>
      <c r="AH274" s="22" t="n">
        <f aca="false">AH273*(1+$P274)-AD274</f>
        <v>1055220.86091504</v>
      </c>
      <c r="AI274" s="22" t="n">
        <f aca="false">($A274=Premissas!$C$16)*0.2*Premissas!$C$11+AND($A274&gt;Premissas!$C$16,$A274&lt;=EDATE(Premissas!$C$16,43))*0.8*Premissas!$C$11/43*(1+Premissas!$C$56)^$C274</f>
        <v>0</v>
      </c>
      <c r="AJ274" s="22" t="n">
        <f aca="false">L274-M274-N274-AI274</f>
        <v>3113.82958671864</v>
      </c>
      <c r="AK274" s="22" t="n">
        <f aca="false">AK273+AJ274</f>
        <v>100375.191471115</v>
      </c>
      <c r="AL274" s="22" t="n">
        <f aca="false">IF($A274&gt;=Premissas!$C$18,O274*(1-Premissas!$C$45)-Premissas!$C$46*MAX(0,O274*(1-Premissas!$C$45)-(SUM($AI$5:$AI$355)+Premissas!$C$26*Premissas!$C$60)),"")</f>
        <v>873726.761310589</v>
      </c>
      <c r="AM274" s="22" t="n">
        <f aca="false">IF($A274&gt;=Premissas!$C$18,AK274+AL274,"")</f>
        <v>974101.952781703</v>
      </c>
      <c r="AN274" s="22" t="n">
        <f aca="false">AN273*(1+$P274)-AJ274</f>
        <v>1084801.59594205</v>
      </c>
      <c r="AO274" s="22" t="n">
        <f aca="false">V274+S274</f>
        <v>1009415.28950596</v>
      </c>
    </row>
    <row r="275" customFormat="false" ht="15" hidden="false" customHeight="false" outlineLevel="0" collapsed="false">
      <c r="A275" s="26" t="n">
        <f aca="false">DATE(YEAR(A274),MONTH(A274)+1,1)</f>
        <v>54514</v>
      </c>
      <c r="B275" s="22" t="str">
        <f aca="false">IF($A275&lt;Premissas!$C$18,"Obra",IF($A275&lt;Premissas!$C$20,"Entrega/mobília","Airbnb"))</f>
        <v>Airbnb</v>
      </c>
      <c r="C275" s="36" t="n">
        <f aca="false">(YEAR($A275)-YEAR(Premissas!$C$16))*12+MONTH($A275)-MONTH(Premissas!$C$16)</f>
        <v>270</v>
      </c>
      <c r="D275" s="33" t="n">
        <f aca="false">IF($A275&gt;=Premissas!$C$20,Premissas!$C$31*IF(((YEAR($A275)-YEAR(Premissas!$C$20))*12+MONTH($A275)-MONTH(Premissas!$C$20))&lt;Premissas!$C$33,Premissas!$C$34,1),0)</f>
        <v>0.62</v>
      </c>
      <c r="E275" s="22" t="n">
        <f aca="false">D275*Premissas!$C$30*Premissas!$C$32*(1+Premissas!$C$58)^$C275</f>
        <v>11238.3638120681</v>
      </c>
      <c r="F275" s="22" t="n">
        <f aca="false">E275*Premissas!$C$35</f>
        <v>1798.1382099309</v>
      </c>
      <c r="G275" s="22" t="n">
        <f aca="false">E275*Premissas!$C$36</f>
        <v>2247.67276241363</v>
      </c>
      <c r="H275" s="22" t="n">
        <f aca="false">IF($A275&gt;=Premissas!$C$18,Premissas!$C$37*(1+Premissas!$C$58)^$C275,0)</f>
        <v>1450.11145962169</v>
      </c>
      <c r="I275" s="22" t="n">
        <f aca="false">IF($A275&gt;=Premissas!$C$20,Premissas!$C$38*(1+Premissas!$C$58)^$C275,0)</f>
        <v>676.718681156791</v>
      </c>
      <c r="J275" s="22" t="n">
        <f aca="false">IF($A275&gt;=Premissas!$C$20,Premissas!$C$39*(1+Premissas!$C$58)^$C275,0)</f>
        <v>362.527864905424</v>
      </c>
      <c r="K275" s="22" t="n">
        <f aca="false">IF($A275&gt;=Premissas!$C$20,MAX(0,E275-F275-G275-H275)*Premissas!$C$41,0)</f>
        <v>1579.17137952802</v>
      </c>
      <c r="L275" s="22" t="n">
        <f aca="false">E275-F275-G275-H275-I275-J275-K275</f>
        <v>3124.02345451167</v>
      </c>
      <c r="M275" s="22" t="n">
        <f aca="false">($A275=Premissas!$C$18)*Premissas!$C$26*Premissas!$C$60</f>
        <v>0</v>
      </c>
      <c r="N275" s="22" t="n">
        <f aca="false">IF(AND($A275&gt;=Premissas!$C$18,$A275&lt;Premissas!$C$20),Premissas!$C$27/MAX(1,Premissas!$C$19),0)</f>
        <v>0</v>
      </c>
      <c r="O275" s="22" t="n">
        <f aca="false">IF($A275&gt;=Premissas!$C$18,Premissas!$C$60*(1+Premissas!$C$59)^((YEAR($A275)-YEAR(Premissas!$C$18))*12+MONTH($A275)-MONTH(Premissas!$C$18)),"")</f>
        <v>1031839.86541364</v>
      </c>
      <c r="P275" s="31" t="n">
        <f aca="false">(1+IF(YEAR($A275)&lt;=2026,Premissas!$C$49,IF(YEAR($A275)=2027,Premissas!$C$50,IF(YEAR($A275)=2028,Premissas!$C$51,Premissas!$C$52)))*(1-Premissas!$C$53))^(1/12)-1</f>
        <v>0.00682149336596227</v>
      </c>
      <c r="Q275" s="22" t="n">
        <f aca="false">($A275=Premissas!$C$16)*Premissas!$C$13</f>
        <v>0</v>
      </c>
      <c r="R275" s="22" t="n">
        <f aca="false">L275-M275-N275-Q275</f>
        <v>3124.02345451167</v>
      </c>
      <c r="S275" s="22" t="n">
        <f aca="false">S274+R275</f>
        <v>187912.164223713</v>
      </c>
      <c r="T275" s="22" t="n">
        <f aca="false">IF($A275&gt;=Premissas!$C$18,O275*(1-Premissas!$C$45)-Premissas!$C$46*MAX(0,O275*(1-Premissas!$C$45)-(SUM($Q$5:$Q$355)+Premissas!$C$26*Premissas!$C$60)),"")</f>
        <v>864410.060812246</v>
      </c>
      <c r="U275" s="22" t="n">
        <f aca="false">IF($A275&gt;=Premissas!$C$18,S275+T275,"")</f>
        <v>1052322.22503596</v>
      </c>
      <c r="V275" s="22" t="n">
        <f aca="false">V274*(1+$P275)-R275</f>
        <v>827128.31390675</v>
      </c>
      <c r="W275" s="22" t="n">
        <f aca="false">($A275=Premissas!$C$16)*Premissas!$C$9</f>
        <v>0</v>
      </c>
      <c r="X275" s="22" t="n">
        <f aca="false">L275-M275-N275-W275</f>
        <v>3124.02345451167</v>
      </c>
      <c r="Y275" s="22" t="n">
        <f aca="false">Y274+X275</f>
        <v>156984.164223713</v>
      </c>
      <c r="Z275" s="22" t="n">
        <f aca="false">IF($A275&gt;=Premissas!$C$18,O275*(1-Premissas!$C$45)-Premissas!$C$46*MAX(0,O275*(1-Premissas!$C$45)-(SUM($W$5:$W$355)+Premissas!$C$26*Premissas!$C$60)),"")</f>
        <v>869049.260812246</v>
      </c>
      <c r="AA275" s="22" t="n">
        <f aca="false">IF($A275&gt;=Premissas!$C$18,Y275+Z275,"")</f>
        <v>1026033.42503596</v>
      </c>
      <c r="AB275" s="22" t="n">
        <f aca="false">AB274*(1+$P275)-X275</f>
        <v>1027375.73511582</v>
      </c>
      <c r="AC275" s="22" t="n">
        <f aca="false">AND($A275&gt;=Premissas!$C$16,$A275&lt;EDATE(Premissas!$C$16,3))*Premissas!$C$10/3*(1+Premissas!$C$56)^$C275</f>
        <v>0</v>
      </c>
      <c r="AD275" s="22" t="n">
        <f aca="false">L275-M275-N275-AC275</f>
        <v>3124.02345451167</v>
      </c>
      <c r="AE275" s="22" t="n">
        <f aca="false">AE274+AD275</f>
        <v>149363.700343688</v>
      </c>
      <c r="AF275" s="22" t="n">
        <f aca="false">IF($A275&gt;=Premissas!$C$18,O275*(1-Premissas!$C$45)-Premissas!$C$46*MAX(0,O275*(1-Premissas!$C$45)-(SUM($AC$5:$AC$355)+Premissas!$C$26*Premissas!$C$60)),"")</f>
        <v>870192.330394249</v>
      </c>
      <c r="AG275" s="22" t="n">
        <f aca="false">IF($A275&gt;=Premissas!$C$18,AE275+AF275,"")</f>
        <v>1019556.03073794</v>
      </c>
      <c r="AH275" s="22" t="n">
        <f aca="false">AH274*(1+$P275)-AD275</f>
        <v>1059295.01956288</v>
      </c>
      <c r="AI275" s="22" t="n">
        <f aca="false">($A275=Premissas!$C$16)*0.2*Premissas!$C$11+AND($A275&gt;Premissas!$C$16,$A275&lt;=EDATE(Premissas!$C$16,43))*0.8*Premissas!$C$11/43*(1+Premissas!$C$56)^$C275</f>
        <v>0</v>
      </c>
      <c r="AJ275" s="22" t="n">
        <f aca="false">L275-M275-N275-AI275</f>
        <v>3124.02345451167</v>
      </c>
      <c r="AK275" s="22" t="n">
        <f aca="false">AK274+AJ275</f>
        <v>103499.214925626</v>
      </c>
      <c r="AL275" s="22" t="n">
        <f aca="false">IF($A275&gt;=Premissas!$C$18,O275*(1-Premissas!$C$45)-Premissas!$C$46*MAX(0,O275*(1-Premissas!$C$45)-(SUM($AI$5:$AI$355)+Premissas!$C$26*Premissas!$C$60)),"")</f>
        <v>877072.003206959</v>
      </c>
      <c r="AM275" s="22" t="n">
        <f aca="false">IF($A275&gt;=Premissas!$C$18,AK275+AL275,"")</f>
        <v>980571.218132585</v>
      </c>
      <c r="AN275" s="22" t="n">
        <f aca="false">AN274*(1+$P275)-AJ275</f>
        <v>1089077.53937764</v>
      </c>
      <c r="AO275" s="22" t="n">
        <f aca="false">V275+S275</f>
        <v>1015040.47813046</v>
      </c>
    </row>
    <row r="276" customFormat="false" ht="15" hidden="false" customHeight="false" outlineLevel="0" collapsed="false">
      <c r="A276" s="26" t="n">
        <f aca="false">DATE(YEAR(A275),MONTH(A275)+1,1)</f>
        <v>54544</v>
      </c>
      <c r="B276" s="22" t="str">
        <f aca="false">IF($A276&lt;Premissas!$C$18,"Obra",IF($A276&lt;Premissas!$C$20,"Entrega/mobília","Airbnb"))</f>
        <v>Airbnb</v>
      </c>
      <c r="C276" s="36" t="n">
        <f aca="false">(YEAR($A276)-YEAR(Premissas!$C$16))*12+MONTH($A276)-MONTH(Premissas!$C$16)</f>
        <v>271</v>
      </c>
      <c r="D276" s="33" t="n">
        <f aca="false">IF($A276&gt;=Premissas!$C$20,Premissas!$C$31*IF(((YEAR($A276)-YEAR(Premissas!$C$20))*12+MONTH($A276)-MONTH(Premissas!$C$20))&lt;Premissas!$C$33,Premissas!$C$34,1),0)</f>
        <v>0.62</v>
      </c>
      <c r="E276" s="22" t="n">
        <f aca="false">D276*Premissas!$C$30*Premissas!$C$32*(1+Premissas!$C$58)^$C276</f>
        <v>11275.1552907665</v>
      </c>
      <c r="F276" s="22" t="n">
        <f aca="false">E276*Premissas!$C$35</f>
        <v>1804.02484652264</v>
      </c>
      <c r="G276" s="22" t="n">
        <f aca="false">E276*Premissas!$C$36</f>
        <v>2255.0310581533</v>
      </c>
      <c r="H276" s="22" t="n">
        <f aca="false">IF($A276&gt;=Premissas!$C$18,Premissas!$C$37*(1+Premissas!$C$58)^$C276,0)</f>
        <v>1454.85874719568</v>
      </c>
      <c r="I276" s="22" t="n">
        <f aca="false">IF($A276&gt;=Premissas!$C$20,Premissas!$C$38*(1+Premissas!$C$58)^$C276,0)</f>
        <v>678.934082024651</v>
      </c>
      <c r="J276" s="22" t="n">
        <f aca="false">IF($A276&gt;=Premissas!$C$20,Premissas!$C$39*(1+Premissas!$C$58)^$C276,0)</f>
        <v>363.71468679892</v>
      </c>
      <c r="K276" s="22" t="n">
        <f aca="false">IF($A276&gt;=Premissas!$C$20,MAX(0,E276-F276-G276-H276)*Premissas!$C$41,0)</f>
        <v>1584.3411756961</v>
      </c>
      <c r="L276" s="22" t="n">
        <f aca="false">E276-F276-G276-H276-I276-J276-K276</f>
        <v>3134.25069437523</v>
      </c>
      <c r="M276" s="22" t="n">
        <f aca="false">($A276=Premissas!$C$18)*Premissas!$C$26*Premissas!$C$60</f>
        <v>0</v>
      </c>
      <c r="N276" s="22" t="n">
        <f aca="false">IF(AND($A276&gt;=Premissas!$C$18,$A276&lt;Premissas!$C$20),Premissas!$C$27/MAX(1,Premissas!$C$19),0)</f>
        <v>0</v>
      </c>
      <c r="O276" s="22" t="n">
        <f aca="false">IF($A276&gt;=Premissas!$C$18,Premissas!$C$60*(1+Premissas!$C$59)^((YEAR($A276)-YEAR(Premissas!$C$18))*12+MONTH($A276)-MONTH(Premissas!$C$18)),"")</f>
        <v>1036043.70875024</v>
      </c>
      <c r="P276" s="31" t="n">
        <f aca="false">(1+IF(YEAR($A276)&lt;=2026,Premissas!$C$49,IF(YEAR($A276)=2027,Premissas!$C$50,IF(YEAR($A276)=2028,Premissas!$C$51,Premissas!$C$52)))*(1-Premissas!$C$53))^(1/12)-1</f>
        <v>0.00682149336596227</v>
      </c>
      <c r="Q276" s="22" t="n">
        <f aca="false">($A276=Premissas!$C$16)*Premissas!$C$13</f>
        <v>0</v>
      </c>
      <c r="R276" s="22" t="n">
        <f aca="false">L276-M276-N276-Q276</f>
        <v>3134.25069437523</v>
      </c>
      <c r="S276" s="22" t="n">
        <f aca="false">S275+R276</f>
        <v>191046.414918088</v>
      </c>
      <c r="T276" s="22" t="n">
        <f aca="false">IF($A276&gt;=Premissas!$C$18,O276*(1-Premissas!$C$45)-Premissas!$C$46*MAX(0,O276*(1-Premissas!$C$45)-(SUM($Q$5:$Q$355)+Premissas!$C$26*Premissas!$C$60)),"")</f>
        <v>867768.931638187</v>
      </c>
      <c r="U276" s="22" t="n">
        <f aca="false">IF($A276&gt;=Premissas!$C$18,S276+T276,"")</f>
        <v>1058815.34655628</v>
      </c>
      <c r="V276" s="22" t="n">
        <f aca="false">V275*(1+$P276)-R276</f>
        <v>829636.313518489</v>
      </c>
      <c r="W276" s="22" t="n">
        <f aca="false">($A276=Premissas!$C$16)*Premissas!$C$9</f>
        <v>0</v>
      </c>
      <c r="X276" s="22" t="n">
        <f aca="false">L276-M276-N276-W276</f>
        <v>3134.25069437523</v>
      </c>
      <c r="Y276" s="22" t="n">
        <f aca="false">Y275+X276</f>
        <v>160118.414918088</v>
      </c>
      <c r="Z276" s="22" t="n">
        <f aca="false">IF($A276&gt;=Premissas!$C$18,O276*(1-Premissas!$C$45)-Premissas!$C$46*MAX(0,O276*(1-Premissas!$C$45)-(SUM($W$5:$W$355)+Premissas!$C$26*Premissas!$C$60)),"")</f>
        <v>872408.131638187</v>
      </c>
      <c r="AA276" s="22" t="n">
        <f aca="false">IF($A276&gt;=Premissas!$C$18,Y276+Z276,"")</f>
        <v>1032526.54655628</v>
      </c>
      <c r="AB276" s="22" t="n">
        <f aca="false">AB275*(1+$P276)-X276</f>
        <v>1031249.72118289</v>
      </c>
      <c r="AC276" s="22" t="n">
        <f aca="false">AND($A276&gt;=Premissas!$C$16,$A276&lt;EDATE(Premissas!$C$16,3))*Premissas!$C$10/3*(1+Premissas!$C$56)^$C276</f>
        <v>0</v>
      </c>
      <c r="AD276" s="22" t="n">
        <f aca="false">L276-M276-N276-AC276</f>
        <v>3134.25069437523</v>
      </c>
      <c r="AE276" s="22" t="n">
        <f aca="false">AE275+AD276</f>
        <v>152497.951038063</v>
      </c>
      <c r="AF276" s="22" t="n">
        <f aca="false">IF($A276&gt;=Premissas!$C$18,O276*(1-Premissas!$C$45)-Premissas!$C$46*MAX(0,O276*(1-Premissas!$C$45)-(SUM($AC$5:$AC$355)+Premissas!$C$26*Premissas!$C$60)),"")</f>
        <v>873551.201220191</v>
      </c>
      <c r="AG276" s="22" t="n">
        <f aca="false">IF($A276&gt;=Premissas!$C$18,AE276+AF276,"")</f>
        <v>1026049.15225825</v>
      </c>
      <c r="AH276" s="22" t="n">
        <f aca="false">AH275*(1+$P276)-AD276</f>
        <v>1063386.74281705</v>
      </c>
      <c r="AI276" s="22" t="n">
        <f aca="false">($A276=Premissas!$C$16)*0.2*Premissas!$C$11+AND($A276&gt;Premissas!$C$16,$A276&lt;=EDATE(Premissas!$C$16,43))*0.8*Premissas!$C$11/43*(1+Premissas!$C$56)^$C276</f>
        <v>0</v>
      </c>
      <c r="AJ276" s="22" t="n">
        <f aca="false">L276-M276-N276-AI276</f>
        <v>3134.25069437523</v>
      </c>
      <c r="AK276" s="22" t="n">
        <f aca="false">AK275+AJ276</f>
        <v>106633.465620002</v>
      </c>
      <c r="AL276" s="22" t="n">
        <f aca="false">IF($A276&gt;=Premissas!$C$18,O276*(1-Premissas!$C$45)-Premissas!$C$46*MAX(0,O276*(1-Premissas!$C$45)-(SUM($AI$5:$AI$355)+Premissas!$C$26*Premissas!$C$60)),"")</f>
        <v>880430.8740329</v>
      </c>
      <c r="AM276" s="22" t="n">
        <f aca="false">IF($A276&gt;=Premissas!$C$18,AK276+AL276,"")</f>
        <v>987064.339652902</v>
      </c>
      <c r="AN276" s="22" t="n">
        <f aca="false">AN275*(1+$P276)-AJ276</f>
        <v>1093372.42389315</v>
      </c>
      <c r="AO276" s="22" t="n">
        <f aca="false">V276+S276</f>
        <v>1020682.72843658</v>
      </c>
    </row>
    <row r="277" customFormat="false" ht="15" hidden="false" customHeight="false" outlineLevel="0" collapsed="false">
      <c r="A277" s="26" t="n">
        <f aca="false">DATE(YEAR(A276),MONTH(A276)+1,1)</f>
        <v>54575</v>
      </c>
      <c r="B277" s="22" t="str">
        <f aca="false">IF($A277&lt;Premissas!$C$18,"Obra",IF($A277&lt;Premissas!$C$20,"Entrega/mobília","Airbnb"))</f>
        <v>Airbnb</v>
      </c>
      <c r="C277" s="36" t="n">
        <f aca="false">(YEAR($A277)-YEAR(Premissas!$C$16))*12+MONTH($A277)-MONTH(Premissas!$C$16)</f>
        <v>272</v>
      </c>
      <c r="D277" s="33" t="n">
        <f aca="false">IF($A277&gt;=Premissas!$C$20,Premissas!$C$31*IF(((YEAR($A277)-YEAR(Premissas!$C$20))*12+MONTH($A277)-MONTH(Premissas!$C$20))&lt;Premissas!$C$33,Premissas!$C$34,1),0)</f>
        <v>0.62</v>
      </c>
      <c r="E277" s="22" t="n">
        <f aca="false">D277*Premissas!$C$30*Premissas!$C$32*(1+Premissas!$C$58)^$C277</f>
        <v>11312.0672151924</v>
      </c>
      <c r="F277" s="22" t="n">
        <f aca="false">E277*Premissas!$C$35</f>
        <v>1809.93075443078</v>
      </c>
      <c r="G277" s="22" t="n">
        <f aca="false">E277*Premissas!$C$36</f>
        <v>2262.41344303847</v>
      </c>
      <c r="H277" s="22" t="n">
        <f aca="false">IF($A277&gt;=Premissas!$C$18,Premissas!$C$37*(1+Premissas!$C$58)^$C277,0)</f>
        <v>1459.62157615385</v>
      </c>
      <c r="I277" s="22" t="n">
        <f aca="false">IF($A277&gt;=Premissas!$C$20,Premissas!$C$38*(1+Premissas!$C$58)^$C277,0)</f>
        <v>681.156735538466</v>
      </c>
      <c r="J277" s="22" t="n">
        <f aca="false">IF($A277&gt;=Premissas!$C$20,Premissas!$C$39*(1+Premissas!$C$58)^$C277,0)</f>
        <v>364.905394038464</v>
      </c>
      <c r="K277" s="22" t="n">
        <f aca="false">IF($A277&gt;=Premissas!$C$20,MAX(0,E277-F277-G277-H277)*Premissas!$C$41,0)</f>
        <v>1589.52789643155</v>
      </c>
      <c r="L277" s="22" t="n">
        <f aca="false">E277-F277-G277-H277-I277-J277-K277</f>
        <v>3144.51141556079</v>
      </c>
      <c r="M277" s="22" t="n">
        <f aca="false">($A277=Premissas!$C$18)*Premissas!$C$26*Premissas!$C$60</f>
        <v>0</v>
      </c>
      <c r="N277" s="22" t="n">
        <f aca="false">IF(AND($A277&gt;=Premissas!$C$18,$A277&lt;Premissas!$C$20),Premissas!$C$27/MAX(1,Premissas!$C$19),0)</f>
        <v>0</v>
      </c>
      <c r="O277" s="22" t="n">
        <f aca="false">IF($A277&gt;=Premissas!$C$18,Premissas!$C$60*(1+Premissas!$C$59)^((YEAR($A277)-YEAR(Premissas!$C$18))*12+MONTH($A277)-MONTH(Premissas!$C$18)),"")</f>
        <v>1040264.67906496</v>
      </c>
      <c r="P277" s="31" t="n">
        <f aca="false">(1+IF(YEAR($A277)&lt;=2026,Premissas!$C$49,IF(YEAR($A277)=2027,Premissas!$C$50,IF(YEAR($A277)=2028,Premissas!$C$51,Premissas!$C$52)))*(1-Premissas!$C$53))^(1/12)-1</f>
        <v>0.00682149336596227</v>
      </c>
      <c r="Q277" s="22" t="n">
        <f aca="false">($A277=Premissas!$C$16)*Premissas!$C$13</f>
        <v>0</v>
      </c>
      <c r="R277" s="22" t="n">
        <f aca="false">L277-M277-N277-Q277</f>
        <v>3144.51141556079</v>
      </c>
      <c r="S277" s="22" t="n">
        <f aca="false">S276+R277</f>
        <v>194190.926333649</v>
      </c>
      <c r="T277" s="22" t="n">
        <f aca="false">IF($A277&gt;=Premissas!$C$18,O277*(1-Premissas!$C$45)-Premissas!$C$46*MAX(0,O277*(1-Premissas!$C$45)-(SUM($Q$5:$Q$355)+Premissas!$C$26*Premissas!$C$60)),"")</f>
        <v>871141.486919648</v>
      </c>
      <c r="U277" s="22" t="n">
        <f aca="false">IF($A277&gt;=Premissas!$C$18,S277+T277,"")</f>
        <v>1065332.4132533</v>
      </c>
      <c r="V277" s="22" t="n">
        <f aca="false">V276*(1+$P277)-R277</f>
        <v>832151.160711756</v>
      </c>
      <c r="W277" s="22" t="n">
        <f aca="false">($A277=Premissas!$C$16)*Premissas!$C$9</f>
        <v>0</v>
      </c>
      <c r="X277" s="22" t="n">
        <f aca="false">L277-M277-N277-W277</f>
        <v>3144.51141556079</v>
      </c>
      <c r="Y277" s="22" t="n">
        <f aca="false">Y276+X277</f>
        <v>163262.926333649</v>
      </c>
      <c r="Z277" s="22" t="n">
        <f aca="false">IF($A277&gt;=Premissas!$C$18,O277*(1-Premissas!$C$45)-Premissas!$C$46*MAX(0,O277*(1-Premissas!$C$45)-(SUM($W$5:$W$355)+Premissas!$C$26*Premissas!$C$60)),"")</f>
        <v>875780.686919648</v>
      </c>
      <c r="AA277" s="22" t="n">
        <f aca="false">IF($A277&gt;=Premissas!$C$18,Y277+Z277,"")</f>
        <v>1039043.6132533</v>
      </c>
      <c r="AB277" s="22" t="n">
        <f aca="false">AB276*(1+$P277)-X277</f>
        <v>1035139.87289903</v>
      </c>
      <c r="AC277" s="22" t="n">
        <f aca="false">AND($A277&gt;=Premissas!$C$16,$A277&lt;EDATE(Premissas!$C$16,3))*Premissas!$C$10/3*(1+Premissas!$C$56)^$C277</f>
        <v>0</v>
      </c>
      <c r="AD277" s="22" t="n">
        <f aca="false">L277-M277-N277-AC277</f>
        <v>3144.51141556079</v>
      </c>
      <c r="AE277" s="22" t="n">
        <f aca="false">AE276+AD277</f>
        <v>155642.462453624</v>
      </c>
      <c r="AF277" s="22" t="n">
        <f aca="false">IF($A277&gt;=Premissas!$C$18,O277*(1-Premissas!$C$45)-Premissas!$C$46*MAX(0,O277*(1-Premissas!$C$45)-(SUM($AC$5:$AC$355)+Premissas!$C$26*Premissas!$C$60)),"")</f>
        <v>876923.756501651</v>
      </c>
      <c r="AG277" s="22" t="n">
        <f aca="false">IF($A277&gt;=Premissas!$C$18,AE277+AF277,"")</f>
        <v>1032566.21895528</v>
      </c>
      <c r="AH277" s="22" t="n">
        <f aca="false">AH276*(1+$P277)-AD277</f>
        <v>1067496.11701307</v>
      </c>
      <c r="AI277" s="22" t="n">
        <f aca="false">($A277=Premissas!$C$16)*0.2*Premissas!$C$11+AND($A277&gt;Premissas!$C$16,$A277&lt;=EDATE(Premissas!$C$16,43))*0.8*Premissas!$C$11/43*(1+Premissas!$C$56)^$C277</f>
        <v>0</v>
      </c>
      <c r="AJ277" s="22" t="n">
        <f aca="false">L277-M277-N277-AI277</f>
        <v>3144.51141556079</v>
      </c>
      <c r="AK277" s="22" t="n">
        <f aca="false">AK276+AJ277</f>
        <v>109777.977035562</v>
      </c>
      <c r="AL277" s="22" t="n">
        <f aca="false">IF($A277&gt;=Premissas!$C$18,O277*(1-Premissas!$C$45)-Premissas!$C$46*MAX(0,O277*(1-Premissas!$C$45)-(SUM($AI$5:$AI$355)+Premissas!$C$26*Premissas!$C$60)),"")</f>
        <v>883803.429314361</v>
      </c>
      <c r="AM277" s="22" t="n">
        <f aca="false">IF($A277&gt;=Premissas!$C$18,AK277+AL277,"")</f>
        <v>993581.406349923</v>
      </c>
      <c r="AN277" s="22" t="n">
        <f aca="false">AN276*(1+$P277)-AJ277</f>
        <v>1097686.3452137</v>
      </c>
      <c r="AO277" s="22" t="n">
        <f aca="false">V277+S277</f>
        <v>1026342.08704541</v>
      </c>
    </row>
    <row r="278" customFormat="false" ht="15" hidden="false" customHeight="false" outlineLevel="0" collapsed="false">
      <c r="A278" s="26" t="n">
        <f aca="false">DATE(YEAR(A277),MONTH(A277)+1,1)</f>
        <v>54605</v>
      </c>
      <c r="B278" s="22" t="str">
        <f aca="false">IF($A278&lt;Premissas!$C$18,"Obra",IF($A278&lt;Premissas!$C$20,"Entrega/mobília","Airbnb"))</f>
        <v>Airbnb</v>
      </c>
      <c r="C278" s="36" t="n">
        <f aca="false">(YEAR($A278)-YEAR(Premissas!$C$16))*12+MONTH($A278)-MONTH(Premissas!$C$16)</f>
        <v>273</v>
      </c>
      <c r="D278" s="33" t="n">
        <f aca="false">IF($A278&gt;=Premissas!$C$20,Premissas!$C$31*IF(((YEAR($A278)-YEAR(Premissas!$C$20))*12+MONTH($A278)-MONTH(Premissas!$C$20))&lt;Premissas!$C$33,Premissas!$C$34,1),0)</f>
        <v>0.62</v>
      </c>
      <c r="E278" s="22" t="n">
        <f aca="false">D278*Premissas!$C$30*Premissas!$C$32*(1+Premissas!$C$58)^$C278</f>
        <v>11349.0999796537</v>
      </c>
      <c r="F278" s="22" t="n">
        <f aca="false">E278*Premissas!$C$35</f>
        <v>1815.85599674459</v>
      </c>
      <c r="G278" s="22" t="n">
        <f aca="false">E278*Premissas!$C$36</f>
        <v>2269.81999593073</v>
      </c>
      <c r="H278" s="22" t="n">
        <f aca="false">IF($A278&gt;=Premissas!$C$18,Premissas!$C$37*(1+Premissas!$C$58)^$C278,0)</f>
        <v>1464.39999737467</v>
      </c>
      <c r="I278" s="22" t="n">
        <f aca="false">IF($A278&gt;=Premissas!$C$20,Premissas!$C$38*(1+Premissas!$C$58)^$C278,0)</f>
        <v>683.38666544151</v>
      </c>
      <c r="J278" s="22" t="n">
        <f aca="false">IF($A278&gt;=Premissas!$C$20,Premissas!$C$39*(1+Premissas!$C$58)^$C278,0)</f>
        <v>366.099999343666</v>
      </c>
      <c r="K278" s="22" t="n">
        <f aca="false">IF($A278&gt;=Premissas!$C$20,MAX(0,E278-F278-G278-H278)*Premissas!$C$41,0)</f>
        <v>1594.73159714101</v>
      </c>
      <c r="L278" s="22" t="n">
        <f aca="false">E278-F278-G278-H278-I278-J278-K278</f>
        <v>3154.80572767749</v>
      </c>
      <c r="M278" s="22" t="n">
        <f aca="false">($A278=Premissas!$C$18)*Premissas!$C$26*Premissas!$C$60</f>
        <v>0</v>
      </c>
      <c r="N278" s="22" t="n">
        <f aca="false">IF(AND($A278&gt;=Premissas!$C$18,$A278&lt;Premissas!$C$20),Premissas!$C$27/MAX(1,Premissas!$C$19),0)</f>
        <v>0</v>
      </c>
      <c r="O278" s="22" t="n">
        <f aca="false">IF($A278&gt;=Premissas!$C$18,Premissas!$C$60*(1+Premissas!$C$59)^((YEAR($A278)-YEAR(Premissas!$C$18))*12+MONTH($A278)-MONTH(Premissas!$C$18)),"")</f>
        <v>1044502.84613523</v>
      </c>
      <c r="P278" s="31" t="n">
        <f aca="false">(1+IF(YEAR($A278)&lt;=2026,Premissas!$C$49,IF(YEAR($A278)=2027,Premissas!$C$50,IF(YEAR($A278)=2028,Premissas!$C$51,Premissas!$C$52)))*(1-Premissas!$C$53))^(1/12)-1</f>
        <v>0.00682149336596227</v>
      </c>
      <c r="Q278" s="22" t="n">
        <f aca="false">($A278=Premissas!$C$16)*Premissas!$C$13</f>
        <v>0</v>
      </c>
      <c r="R278" s="22" t="n">
        <f aca="false">L278-M278-N278-Q278</f>
        <v>3154.80572767749</v>
      </c>
      <c r="S278" s="22" t="n">
        <f aca="false">S277+R278</f>
        <v>197345.732061326</v>
      </c>
      <c r="T278" s="22" t="n">
        <f aca="false">IF($A278&gt;=Premissas!$C$18,O278*(1-Premissas!$C$45)-Premissas!$C$46*MAX(0,O278*(1-Premissas!$C$45)-(SUM($Q$5:$Q$355)+Premissas!$C$26*Premissas!$C$60)),"")</f>
        <v>874527.782408792</v>
      </c>
      <c r="U278" s="22" t="n">
        <f aca="false">IF($A278&gt;=Premissas!$C$18,S278+T278,"")</f>
        <v>1071873.51447012</v>
      </c>
      <c r="V278" s="22" t="n">
        <f aca="false">V277*(1+$P278)-R278</f>
        <v>834672.868606351</v>
      </c>
      <c r="W278" s="22" t="n">
        <f aca="false">($A278=Premissas!$C$16)*Premissas!$C$9</f>
        <v>0</v>
      </c>
      <c r="X278" s="22" t="n">
        <f aca="false">L278-M278-N278-W278</f>
        <v>3154.80572767749</v>
      </c>
      <c r="Y278" s="22" t="n">
        <f aca="false">Y277+X278</f>
        <v>166417.732061327</v>
      </c>
      <c r="Z278" s="22" t="n">
        <f aca="false">IF($A278&gt;=Premissas!$C$18,O278*(1-Premissas!$C$45)-Premissas!$C$46*MAX(0,O278*(1-Premissas!$C$45)-(SUM($W$5:$W$355)+Premissas!$C$26*Premissas!$C$60)),"")</f>
        <v>879166.982408792</v>
      </c>
      <c r="AA278" s="22" t="n">
        <f aca="false">IF($A278&gt;=Premissas!$C$18,Y278+Z278,"")</f>
        <v>1045584.71447012</v>
      </c>
      <c r="AB278" s="22" t="n">
        <f aca="false">AB277*(1+$P278)-X278</f>
        <v>1039046.26694717</v>
      </c>
      <c r="AC278" s="22" t="n">
        <f aca="false">AND($A278&gt;=Premissas!$C$16,$A278&lt;EDATE(Premissas!$C$16,3))*Premissas!$C$10/3*(1+Premissas!$C$56)^$C278</f>
        <v>0</v>
      </c>
      <c r="AD278" s="22" t="n">
        <f aca="false">L278-M278-N278-AC278</f>
        <v>3154.80572767749</v>
      </c>
      <c r="AE278" s="22" t="n">
        <f aca="false">AE277+AD278</f>
        <v>158797.268181302</v>
      </c>
      <c r="AF278" s="22" t="n">
        <f aca="false">IF($A278&gt;=Premissas!$C$18,O278*(1-Premissas!$C$45)-Premissas!$C$46*MAX(0,O278*(1-Premissas!$C$45)-(SUM($AC$5:$AC$355)+Premissas!$C$26*Premissas!$C$60)),"")</f>
        <v>880310.051990795</v>
      </c>
      <c r="AG278" s="22" t="n">
        <f aca="false">IF($A278&gt;=Premissas!$C$18,AE278+AF278,"")</f>
        <v>1039107.3201721</v>
      </c>
      <c r="AH278" s="22" t="n">
        <f aca="false">AH277*(1+$P278)-AD278</f>
        <v>1071623.22896579</v>
      </c>
      <c r="AI278" s="22" t="n">
        <f aca="false">($A278=Premissas!$C$16)*0.2*Premissas!$C$11+AND($A278&gt;Premissas!$C$16,$A278&lt;=EDATE(Premissas!$C$16,43))*0.8*Premissas!$C$11/43*(1+Premissas!$C$56)^$C278</f>
        <v>0</v>
      </c>
      <c r="AJ278" s="22" t="n">
        <f aca="false">L278-M278-N278-AI278</f>
        <v>3154.80572767749</v>
      </c>
      <c r="AK278" s="22" t="n">
        <f aca="false">AK277+AJ278</f>
        <v>112932.78276324</v>
      </c>
      <c r="AL278" s="22" t="n">
        <f aca="false">IF($A278&gt;=Premissas!$C$18,O278*(1-Premissas!$C$45)-Premissas!$C$46*MAX(0,O278*(1-Premissas!$C$45)-(SUM($AI$5:$AI$355)+Premissas!$C$26*Premissas!$C$60)),"")</f>
        <v>887189.724803505</v>
      </c>
      <c r="AM278" s="22" t="n">
        <f aca="false">IF($A278&gt;=Premissas!$C$18,AK278+AL278,"")</f>
        <v>1000122.50756674</v>
      </c>
      <c r="AN278" s="22" t="n">
        <f aca="false">AN277*(1+$P278)-AJ278</f>
        <v>1102019.39960781</v>
      </c>
      <c r="AO278" s="22" t="n">
        <f aca="false">V278+S278</f>
        <v>1032018.60066768</v>
      </c>
    </row>
    <row r="279" customFormat="false" ht="15" hidden="false" customHeight="false" outlineLevel="0" collapsed="false">
      <c r="A279" s="26" t="n">
        <f aca="false">DATE(YEAR(A278),MONTH(A278)+1,1)</f>
        <v>54636</v>
      </c>
      <c r="B279" s="22" t="str">
        <f aca="false">IF($A279&lt;Premissas!$C$18,"Obra",IF($A279&lt;Premissas!$C$20,"Entrega/mobília","Airbnb"))</f>
        <v>Airbnb</v>
      </c>
      <c r="C279" s="36" t="n">
        <f aca="false">(YEAR($A279)-YEAR(Premissas!$C$16))*12+MONTH($A279)-MONTH(Premissas!$C$16)</f>
        <v>274</v>
      </c>
      <c r="D279" s="33" t="n">
        <f aca="false">IF($A279&gt;=Premissas!$C$20,Premissas!$C$31*IF(((YEAR($A279)-YEAR(Premissas!$C$20))*12+MONTH($A279)-MONTH(Premissas!$C$20))&lt;Premissas!$C$33,Premissas!$C$34,1),0)</f>
        <v>0.62</v>
      </c>
      <c r="E279" s="22" t="n">
        <f aca="false">D279*Premissas!$C$30*Premissas!$C$32*(1+Premissas!$C$58)^$C279</f>
        <v>11386.2539797492</v>
      </c>
      <c r="F279" s="22" t="n">
        <f aca="false">E279*Premissas!$C$35</f>
        <v>1821.80063675987</v>
      </c>
      <c r="G279" s="22" t="n">
        <f aca="false">E279*Premissas!$C$36</f>
        <v>2277.25079594984</v>
      </c>
      <c r="H279" s="22" t="n">
        <f aca="false">IF($A279&gt;=Premissas!$C$18,Premissas!$C$37*(1+Premissas!$C$58)^$C279,0)</f>
        <v>1469.19406190312</v>
      </c>
      <c r="I279" s="22" t="n">
        <f aca="false">IF($A279&gt;=Premissas!$C$20,Premissas!$C$38*(1+Premissas!$C$58)^$C279,0)</f>
        <v>685.623895554791</v>
      </c>
      <c r="J279" s="22" t="n">
        <f aca="false">IF($A279&gt;=Premissas!$C$20,Premissas!$C$39*(1+Premissas!$C$58)^$C279,0)</f>
        <v>367.298515475781</v>
      </c>
      <c r="K279" s="22" t="n">
        <f aca="false">IF($A279&gt;=Premissas!$C$20,MAX(0,E279-F279-G279-H279)*Premissas!$C$41,0)</f>
        <v>1599.9523334125</v>
      </c>
      <c r="L279" s="22" t="n">
        <f aca="false">E279-F279-G279-H279-I279-J279-K279</f>
        <v>3165.13374069329</v>
      </c>
      <c r="M279" s="22" t="n">
        <f aca="false">($A279=Premissas!$C$18)*Premissas!$C$26*Premissas!$C$60</f>
        <v>0</v>
      </c>
      <c r="N279" s="22" t="n">
        <f aca="false">IF(AND($A279&gt;=Premissas!$C$18,$A279&lt;Premissas!$C$20),Premissas!$C$27/MAX(1,Premissas!$C$19),0)</f>
        <v>0</v>
      </c>
      <c r="O279" s="22" t="n">
        <f aca="false">IF($A279&gt;=Premissas!$C$18,Premissas!$C$60*(1+Premissas!$C$59)^((YEAR($A279)-YEAR(Premissas!$C$18))*12+MONTH($A279)-MONTH(Premissas!$C$18)),"")</f>
        <v>1048758.28002275</v>
      </c>
      <c r="P279" s="31" t="n">
        <f aca="false">(1+IF(YEAR($A279)&lt;=2026,Premissas!$C$49,IF(YEAR($A279)=2027,Premissas!$C$50,IF(YEAR($A279)=2028,Premissas!$C$51,Premissas!$C$52)))*(1-Premissas!$C$53))^(1/12)-1</f>
        <v>0.00682149336596227</v>
      </c>
      <c r="Q279" s="22" t="n">
        <f aca="false">($A279=Premissas!$C$16)*Premissas!$C$13</f>
        <v>0</v>
      </c>
      <c r="R279" s="22" t="n">
        <f aca="false">L279-M279-N279-Q279</f>
        <v>3165.13374069329</v>
      </c>
      <c r="S279" s="22" t="n">
        <f aca="false">S278+R279</f>
        <v>200510.86580202</v>
      </c>
      <c r="T279" s="22" t="n">
        <f aca="false">IF($A279&gt;=Premissas!$C$18,O279*(1-Premissas!$C$45)-Premissas!$C$46*MAX(0,O279*(1-Premissas!$C$45)-(SUM($Q$5:$Q$355)+Premissas!$C$26*Premissas!$C$60)),"")</f>
        <v>877927.874084926</v>
      </c>
      <c r="U279" s="22" t="n">
        <f aca="false">IF($A279&gt;=Premissas!$C$18,S279+T279,"")</f>
        <v>1078438.73988695</v>
      </c>
      <c r="V279" s="22" t="n">
        <f aca="false">V278*(1+$P279)-R279</f>
        <v>837201.450301605</v>
      </c>
      <c r="W279" s="22" t="n">
        <f aca="false">($A279=Premissas!$C$16)*Premissas!$C$9</f>
        <v>0</v>
      </c>
      <c r="X279" s="22" t="n">
        <f aca="false">L279-M279-N279-W279</f>
        <v>3165.13374069329</v>
      </c>
      <c r="Y279" s="22" t="n">
        <f aca="false">Y278+X279</f>
        <v>169582.86580202</v>
      </c>
      <c r="Z279" s="22" t="n">
        <f aca="false">IF($A279&gt;=Premissas!$C$18,O279*(1-Premissas!$C$45)-Premissas!$C$46*MAX(0,O279*(1-Premissas!$C$45)-(SUM($W$5:$W$355)+Premissas!$C$26*Premissas!$C$60)),"")</f>
        <v>882567.074084927</v>
      </c>
      <c r="AA279" s="22" t="n">
        <f aca="false">IF($A279&gt;=Premissas!$C$18,Y279+Z279,"")</f>
        <v>1052149.93988695</v>
      </c>
      <c r="AB279" s="22" t="n">
        <f aca="false">AB278*(1+$P279)-X279</f>
        <v>1042968.98042339</v>
      </c>
      <c r="AC279" s="22" t="n">
        <f aca="false">AND($A279&gt;=Premissas!$C$16,$A279&lt;EDATE(Premissas!$C$16,3))*Premissas!$C$10/3*(1+Premissas!$C$56)^$C279</f>
        <v>0</v>
      </c>
      <c r="AD279" s="22" t="n">
        <f aca="false">L279-M279-N279-AC279</f>
        <v>3165.13374069329</v>
      </c>
      <c r="AE279" s="22" t="n">
        <f aca="false">AE278+AD279</f>
        <v>161962.401921995</v>
      </c>
      <c r="AF279" s="22" t="n">
        <f aca="false">IF($A279&gt;=Premissas!$C$18,O279*(1-Premissas!$C$45)-Premissas!$C$46*MAX(0,O279*(1-Premissas!$C$45)-(SUM($AC$5:$AC$355)+Premissas!$C$26*Premissas!$C$60)),"")</f>
        <v>883710.14366693</v>
      </c>
      <c r="AG279" s="22" t="n">
        <f aca="false">IF($A279&gt;=Premissas!$C$18,AE279+AF279,"")</f>
        <v>1045672.54558893</v>
      </c>
      <c r="AH279" s="22" t="n">
        <f aca="false">AH278*(1+$P279)-AD279</f>
        <v>1075768.1659723</v>
      </c>
      <c r="AI279" s="22" t="n">
        <f aca="false">($A279=Premissas!$C$16)*0.2*Premissas!$C$11+AND($A279&gt;Premissas!$C$16,$A279&lt;=EDATE(Premissas!$C$16,43))*0.8*Premissas!$C$11/43*(1+Premissas!$C$56)^$C279</f>
        <v>0</v>
      </c>
      <c r="AJ279" s="22" t="n">
        <f aca="false">L279-M279-N279-AI279</f>
        <v>3165.13374069329</v>
      </c>
      <c r="AK279" s="22" t="n">
        <f aca="false">AK278+AJ279</f>
        <v>116097.916503933</v>
      </c>
      <c r="AL279" s="22" t="n">
        <f aca="false">IF($A279&gt;=Premissas!$C$18,O279*(1-Premissas!$C$45)-Premissas!$C$46*MAX(0,O279*(1-Premissas!$C$45)-(SUM($AI$5:$AI$355)+Premissas!$C$26*Premissas!$C$60)),"")</f>
        <v>890589.81647964</v>
      </c>
      <c r="AM279" s="22" t="n">
        <f aca="false">IF($A279&gt;=Premissas!$C$18,AK279+AL279,"")</f>
        <v>1006687.73298357</v>
      </c>
      <c r="AN279" s="22" t="n">
        <f aca="false">AN278*(1+$P279)-AJ279</f>
        <v>1106371.6838907</v>
      </c>
      <c r="AO279" s="22" t="n">
        <f aca="false">V279+S279</f>
        <v>1037712.31610362</v>
      </c>
    </row>
    <row r="280" customFormat="false" ht="15" hidden="false" customHeight="false" outlineLevel="0" collapsed="false">
      <c r="A280" s="26" t="n">
        <f aca="false">DATE(YEAR(A279),MONTH(A279)+1,1)</f>
        <v>54667</v>
      </c>
      <c r="B280" s="22" t="str">
        <f aca="false">IF($A280&lt;Premissas!$C$18,"Obra",IF($A280&lt;Premissas!$C$20,"Entrega/mobília","Airbnb"))</f>
        <v>Airbnb</v>
      </c>
      <c r="C280" s="36" t="n">
        <f aca="false">(YEAR($A280)-YEAR(Premissas!$C$16))*12+MONTH($A280)-MONTH(Premissas!$C$16)</f>
        <v>275</v>
      </c>
      <c r="D280" s="33" t="n">
        <f aca="false">IF($A280&gt;=Premissas!$C$20,Premissas!$C$31*IF(((YEAR($A280)-YEAR(Premissas!$C$20))*12+MONTH($A280)-MONTH(Premissas!$C$20))&lt;Premissas!$C$33,Premissas!$C$34,1),0)</f>
        <v>0.62</v>
      </c>
      <c r="E280" s="22" t="n">
        <f aca="false">D280*Premissas!$C$30*Premissas!$C$32*(1+Premissas!$C$58)^$C280</f>
        <v>11423.5296123729</v>
      </c>
      <c r="F280" s="22" t="n">
        <f aca="false">E280*Premissas!$C$35</f>
        <v>1827.76473797967</v>
      </c>
      <c r="G280" s="22" t="n">
        <f aca="false">E280*Premissas!$C$36</f>
        <v>2284.70592247459</v>
      </c>
      <c r="H280" s="22" t="n">
        <f aca="false">IF($A280&gt;=Premissas!$C$18,Premissas!$C$37*(1+Premissas!$C$58)^$C280,0)</f>
        <v>1474.00382095135</v>
      </c>
      <c r="I280" s="22" t="n">
        <f aca="false">IF($A280&gt;=Premissas!$C$20,Premissas!$C$38*(1+Premissas!$C$58)^$C280,0)</f>
        <v>687.868449777295</v>
      </c>
      <c r="J280" s="22" t="n">
        <f aca="false">IF($A280&gt;=Premissas!$C$20,Premissas!$C$39*(1+Premissas!$C$58)^$C280,0)</f>
        <v>368.500955237836</v>
      </c>
      <c r="K280" s="22" t="n">
        <f aca="false">IF($A280&gt;=Premissas!$C$20,MAX(0,E280-F280-G280-H280)*Premissas!$C$41,0)</f>
        <v>1605.19016101601</v>
      </c>
      <c r="L280" s="22" t="n">
        <f aca="false">E280-F280-G280-H280-I280-J280-K280</f>
        <v>3175.49556493618</v>
      </c>
      <c r="M280" s="22" t="n">
        <f aca="false">($A280=Premissas!$C$18)*Premissas!$C$26*Premissas!$C$60</f>
        <v>0</v>
      </c>
      <c r="N280" s="22" t="n">
        <f aca="false">IF(AND($A280&gt;=Premissas!$C$18,$A280&lt;Premissas!$C$20),Premissas!$C$27/MAX(1,Premissas!$C$19),0)</f>
        <v>0</v>
      </c>
      <c r="O280" s="22" t="n">
        <f aca="false">IF($A280&gt;=Premissas!$C$18,Premissas!$C$60*(1+Premissas!$C$59)^((YEAR($A280)-YEAR(Premissas!$C$18))*12+MONTH($A280)-MONTH(Premissas!$C$18)),"")</f>
        <v>1053031.05107469</v>
      </c>
      <c r="P280" s="31" t="n">
        <f aca="false">(1+IF(YEAR($A280)&lt;=2026,Premissas!$C$49,IF(YEAR($A280)=2027,Premissas!$C$50,IF(YEAR($A280)=2028,Premissas!$C$51,Premissas!$C$52)))*(1-Premissas!$C$53))^(1/12)-1</f>
        <v>0.00682149336596227</v>
      </c>
      <c r="Q280" s="22" t="n">
        <f aca="false">($A280=Premissas!$C$16)*Premissas!$C$13</f>
        <v>0</v>
      </c>
      <c r="R280" s="22" t="n">
        <f aca="false">L280-M280-N280-Q280</f>
        <v>3175.49556493618</v>
      </c>
      <c r="S280" s="22" t="n">
        <f aca="false">S279+R280</f>
        <v>203686.361366956</v>
      </c>
      <c r="T280" s="22" t="n">
        <f aca="false">IF($A280&gt;=Premissas!$C$18,O280*(1-Premissas!$C$45)-Premissas!$C$46*MAX(0,O280*(1-Premissas!$C$45)-(SUM($Q$5:$Q$355)+Premissas!$C$26*Premissas!$C$60)),"")</f>
        <v>881341.818155426</v>
      </c>
      <c r="U280" s="22" t="n">
        <f aca="false">IF($A280&gt;=Premissas!$C$18,S280+T280,"")</f>
        <v>1085028.17952238</v>
      </c>
      <c r="V280" s="22" t="n">
        <f aca="false">V279*(1+$P280)-R280</f>
        <v>839736.918875875</v>
      </c>
      <c r="W280" s="22" t="n">
        <f aca="false">($A280=Premissas!$C$16)*Premissas!$C$9</f>
        <v>0</v>
      </c>
      <c r="X280" s="22" t="n">
        <f aca="false">L280-M280-N280-W280</f>
        <v>3175.49556493618</v>
      </c>
      <c r="Y280" s="22" t="n">
        <f aca="false">Y279+X280</f>
        <v>172758.361366956</v>
      </c>
      <c r="Z280" s="22" t="n">
        <f aca="false">IF($A280&gt;=Premissas!$C$18,O280*(1-Premissas!$C$45)-Premissas!$C$46*MAX(0,O280*(1-Premissas!$C$45)-(SUM($W$5:$W$355)+Premissas!$C$26*Premissas!$C$60)),"")</f>
        <v>885981.018155426</v>
      </c>
      <c r="AA280" s="22" t="n">
        <f aca="false">IF($A280&gt;=Premissas!$C$18,Y280+Z280,"")</f>
        <v>1058739.37952238</v>
      </c>
      <c r="AB280" s="22" t="n">
        <f aca="false">AB279*(1+$P280)-X280</f>
        <v>1046908.09083931</v>
      </c>
      <c r="AC280" s="22" t="n">
        <f aca="false">AND($A280&gt;=Premissas!$C$16,$A280&lt;EDATE(Premissas!$C$16,3))*Premissas!$C$10/3*(1+Premissas!$C$56)^$C280</f>
        <v>0</v>
      </c>
      <c r="AD280" s="22" t="n">
        <f aca="false">L280-M280-N280-AC280</f>
        <v>3175.49556493618</v>
      </c>
      <c r="AE280" s="22" t="n">
        <f aca="false">AE279+AD280</f>
        <v>165137.897486931</v>
      </c>
      <c r="AF280" s="22" t="n">
        <f aca="false">IF($A280&gt;=Premissas!$C$18,O280*(1-Premissas!$C$45)-Premissas!$C$46*MAX(0,O280*(1-Premissas!$C$45)-(SUM($AC$5:$AC$355)+Premissas!$C$26*Premissas!$C$60)),"")</f>
        <v>887124.087737429</v>
      </c>
      <c r="AG280" s="22" t="n">
        <f aca="false">IF($A280&gt;=Premissas!$C$18,AE280+AF280,"")</f>
        <v>1052261.98522436</v>
      </c>
      <c r="AH280" s="22" t="n">
        <f aca="false">AH279*(1+$P280)-AD280</f>
        <v>1079931.01581485</v>
      </c>
      <c r="AI280" s="22" t="n">
        <f aca="false">($A280=Premissas!$C$16)*0.2*Premissas!$C$11+AND($A280&gt;Premissas!$C$16,$A280&lt;=EDATE(Premissas!$C$16,43))*0.8*Premissas!$C$11/43*(1+Premissas!$C$56)^$C280</f>
        <v>0</v>
      </c>
      <c r="AJ280" s="22" t="n">
        <f aca="false">L280-M280-N280-AI280</f>
        <v>3175.49556493618</v>
      </c>
      <c r="AK280" s="22" t="n">
        <f aca="false">AK279+AJ280</f>
        <v>119273.412068869</v>
      </c>
      <c r="AL280" s="22" t="n">
        <f aca="false">IF($A280&gt;=Premissas!$C$18,O280*(1-Premissas!$C$45)-Premissas!$C$46*MAX(0,O280*(1-Premissas!$C$45)-(SUM($AI$5:$AI$355)+Premissas!$C$26*Premissas!$C$60)),"")</f>
        <v>894003.760550139</v>
      </c>
      <c r="AM280" s="22" t="n">
        <f aca="false">IF($A280&gt;=Premissas!$C$18,AK280+AL280,"")</f>
        <v>1013277.17261901</v>
      </c>
      <c r="AN280" s="22" t="n">
        <f aca="false">AN279*(1+$P280)-AJ280</f>
        <v>1110743.29542771</v>
      </c>
      <c r="AO280" s="22" t="n">
        <f aca="false">V280+S280</f>
        <v>1043423.28024283</v>
      </c>
    </row>
    <row r="281" customFormat="false" ht="15" hidden="false" customHeight="false" outlineLevel="0" collapsed="false">
      <c r="A281" s="26" t="n">
        <f aca="false">DATE(YEAR(A280),MONTH(A280)+1,1)</f>
        <v>54697</v>
      </c>
      <c r="B281" s="22" t="str">
        <f aca="false">IF($A281&lt;Premissas!$C$18,"Obra",IF($A281&lt;Premissas!$C$20,"Entrega/mobília","Airbnb"))</f>
        <v>Airbnb</v>
      </c>
      <c r="C281" s="36" t="n">
        <f aca="false">(YEAR($A281)-YEAR(Premissas!$C$16))*12+MONTH($A281)-MONTH(Premissas!$C$16)</f>
        <v>276</v>
      </c>
      <c r="D281" s="33" t="n">
        <f aca="false">IF($A281&gt;=Premissas!$C$20,Premissas!$C$31*IF(((YEAR($A281)-YEAR(Premissas!$C$20))*12+MONTH($A281)-MONTH(Premissas!$C$20))&lt;Premissas!$C$33,Premissas!$C$34,1),0)</f>
        <v>0.62</v>
      </c>
      <c r="E281" s="22" t="n">
        <f aca="false">D281*Premissas!$C$30*Premissas!$C$32*(1+Premissas!$C$58)^$C281</f>
        <v>11460.9272757181</v>
      </c>
      <c r="F281" s="22" t="n">
        <f aca="false">E281*Premissas!$C$35</f>
        <v>1833.74836411489</v>
      </c>
      <c r="G281" s="22" t="n">
        <f aca="false">E281*Premissas!$C$36</f>
        <v>2292.18545514362</v>
      </c>
      <c r="H281" s="22" t="n">
        <f aca="false">IF($A281&gt;=Premissas!$C$18,Premissas!$C$37*(1+Premissas!$C$58)^$C281,0)</f>
        <v>1478.82932589911</v>
      </c>
      <c r="I281" s="22" t="n">
        <f aca="false">IF($A281&gt;=Premissas!$C$20,Premissas!$C$38*(1+Premissas!$C$58)^$C281,0)</f>
        <v>690.12035208625</v>
      </c>
      <c r="J281" s="22" t="n">
        <f aca="false">IF($A281&gt;=Premissas!$C$20,Premissas!$C$39*(1+Premissas!$C$58)^$C281,0)</f>
        <v>369.707331474777</v>
      </c>
      <c r="K281" s="22" t="n">
        <f aca="false">IF($A281&gt;=Premissas!$C$20,MAX(0,E281-F281-G281-H281)*Premissas!$C$41,0)</f>
        <v>1610.44513590413</v>
      </c>
      <c r="L281" s="22" t="n">
        <f aca="false">E281-F281-G281-H281-I281-J281-K281</f>
        <v>3185.89131109531</v>
      </c>
      <c r="M281" s="22" t="n">
        <f aca="false">($A281=Premissas!$C$18)*Premissas!$C$26*Premissas!$C$60</f>
        <v>0</v>
      </c>
      <c r="N281" s="22" t="n">
        <f aca="false">IF(AND($A281&gt;=Premissas!$C$18,$A281&lt;Premissas!$C$20),Premissas!$C$27/MAX(1,Premissas!$C$19),0)</f>
        <v>0</v>
      </c>
      <c r="O281" s="22" t="n">
        <f aca="false">IF($A281&gt;=Premissas!$C$18,Premissas!$C$60*(1+Premissas!$C$59)^((YEAR($A281)-YEAR(Premissas!$C$18))*12+MONTH($A281)-MONTH(Premissas!$C$18)),"")</f>
        <v>1057321.2299248</v>
      </c>
      <c r="P281" s="31" t="n">
        <f aca="false">(1+IF(YEAR($A281)&lt;=2026,Premissas!$C$49,IF(YEAR($A281)=2027,Premissas!$C$50,IF(YEAR($A281)=2028,Premissas!$C$51,Premissas!$C$52)))*(1-Premissas!$C$53))^(1/12)-1</f>
        <v>0.00682149336596227</v>
      </c>
      <c r="Q281" s="22" t="n">
        <f aca="false">($A281=Premissas!$C$16)*Premissas!$C$13</f>
        <v>0</v>
      </c>
      <c r="R281" s="22" t="n">
        <f aca="false">L281-M281-N281-Q281</f>
        <v>3185.89131109531</v>
      </c>
      <c r="S281" s="22" t="n">
        <f aca="false">S280+R281</f>
        <v>206872.252678051</v>
      </c>
      <c r="T281" s="22" t="n">
        <f aca="false">IF($A281&gt;=Premissas!$C$18,O281*(1-Premissas!$C$45)-Premissas!$C$46*MAX(0,O281*(1-Premissas!$C$45)-(SUM($Q$5:$Q$355)+Premissas!$C$26*Premissas!$C$60)),"")</f>
        <v>884769.671056659</v>
      </c>
      <c r="U281" s="22" t="n">
        <f aca="false">IF($A281&gt;=Premissas!$C$18,S281+T281,"")</f>
        <v>1091641.92373471</v>
      </c>
      <c r="V281" s="22" t="n">
        <f aca="false">V280*(1+$P281)-R281</f>
        <v>842279.287386045</v>
      </c>
      <c r="W281" s="22" t="n">
        <f aca="false">($A281=Premissas!$C$16)*Premissas!$C$9</f>
        <v>0</v>
      </c>
      <c r="X281" s="22" t="n">
        <f aca="false">L281-M281-N281-W281</f>
        <v>3185.89131109531</v>
      </c>
      <c r="Y281" s="22" t="n">
        <f aca="false">Y280+X281</f>
        <v>175944.252678051</v>
      </c>
      <c r="Z281" s="22" t="n">
        <f aca="false">IF($A281&gt;=Premissas!$C$18,O281*(1-Premissas!$C$45)-Premissas!$C$46*MAX(0,O281*(1-Premissas!$C$45)-(SUM($W$5:$W$355)+Premissas!$C$26*Premissas!$C$60)),"")</f>
        <v>889408.871056658</v>
      </c>
      <c r="AA281" s="22" t="n">
        <f aca="false">IF($A281&gt;=Premissas!$C$18,Y281+Z281,"")</f>
        <v>1065353.12373471</v>
      </c>
      <c r="AB281" s="22" t="n">
        <f aca="false">AB280*(1+$P281)-X281</f>
        <v>1050863.67612465</v>
      </c>
      <c r="AC281" s="22" t="n">
        <f aca="false">AND($A281&gt;=Premissas!$C$16,$A281&lt;EDATE(Premissas!$C$16,3))*Premissas!$C$10/3*(1+Premissas!$C$56)^$C281</f>
        <v>0</v>
      </c>
      <c r="AD281" s="22" t="n">
        <f aca="false">L281-M281-N281-AC281</f>
        <v>3185.89131109531</v>
      </c>
      <c r="AE281" s="22" t="n">
        <f aca="false">AE280+AD281</f>
        <v>168323.788798027</v>
      </c>
      <c r="AF281" s="22" t="n">
        <f aca="false">IF($A281&gt;=Premissas!$C$18,O281*(1-Premissas!$C$45)-Premissas!$C$46*MAX(0,O281*(1-Premissas!$C$45)-(SUM($AC$5:$AC$355)+Premissas!$C$26*Premissas!$C$60)),"")</f>
        <v>890551.940638662</v>
      </c>
      <c r="AG281" s="22" t="n">
        <f aca="false">IF($A281&gt;=Premissas!$C$18,AE281+AF281,"")</f>
        <v>1058875.72943669</v>
      </c>
      <c r="AH281" s="22" t="n">
        <f aca="false">AH280*(1+$P281)-AD281</f>
        <v>1084111.86676384</v>
      </c>
      <c r="AI281" s="22" t="n">
        <f aca="false">($A281=Premissas!$C$16)*0.2*Premissas!$C$11+AND($A281&gt;Premissas!$C$16,$A281&lt;=EDATE(Premissas!$C$16,43))*0.8*Premissas!$C$11/43*(1+Premissas!$C$56)^$C281</f>
        <v>0</v>
      </c>
      <c r="AJ281" s="22" t="n">
        <f aca="false">L281-M281-N281-AI281</f>
        <v>3185.89131109531</v>
      </c>
      <c r="AK281" s="22" t="n">
        <f aca="false">AK280+AJ281</f>
        <v>122459.303379965</v>
      </c>
      <c r="AL281" s="22" t="n">
        <f aca="false">IF($A281&gt;=Premissas!$C$18,O281*(1-Premissas!$C$45)-Premissas!$C$46*MAX(0,O281*(1-Premissas!$C$45)-(SUM($AI$5:$AI$355)+Premissas!$C$26*Premissas!$C$60)),"")</f>
        <v>897431.613451371</v>
      </c>
      <c r="AM281" s="22" t="n">
        <f aca="false">IF($A281&gt;=Premissas!$C$18,AK281+AL281,"")</f>
        <v>1019890.91683134</v>
      </c>
      <c r="AN281" s="22" t="n">
        <f aca="false">AN280*(1+$P281)-AJ281</f>
        <v>1115134.33213766</v>
      </c>
      <c r="AO281" s="22" t="n">
        <f aca="false">V281+S281</f>
        <v>1049151.5400641</v>
      </c>
    </row>
    <row r="282" customFormat="false" ht="15" hidden="false" customHeight="false" outlineLevel="0" collapsed="false">
      <c r="A282" s="26" t="n">
        <f aca="false">DATE(YEAR(A281),MONTH(A281)+1,1)</f>
        <v>54728</v>
      </c>
      <c r="B282" s="22" t="str">
        <f aca="false">IF($A282&lt;Premissas!$C$18,"Obra",IF($A282&lt;Premissas!$C$20,"Entrega/mobília","Airbnb"))</f>
        <v>Airbnb</v>
      </c>
      <c r="C282" s="36" t="n">
        <f aca="false">(YEAR($A282)-YEAR(Premissas!$C$16))*12+MONTH($A282)-MONTH(Premissas!$C$16)</f>
        <v>277</v>
      </c>
      <c r="D282" s="33" t="n">
        <f aca="false">IF($A282&gt;=Premissas!$C$20,Premissas!$C$31*IF(((YEAR($A282)-YEAR(Premissas!$C$20))*12+MONTH($A282)-MONTH(Premissas!$C$20))&lt;Premissas!$C$33,Premissas!$C$34,1),0)</f>
        <v>0.62</v>
      </c>
      <c r="E282" s="22" t="n">
        <f aca="false">D282*Premissas!$C$30*Premissas!$C$32*(1+Premissas!$C$58)^$C282</f>
        <v>11498.4473692815</v>
      </c>
      <c r="F282" s="22" t="n">
        <f aca="false">E282*Premissas!$C$35</f>
        <v>1839.75157908504</v>
      </c>
      <c r="G282" s="22" t="n">
        <f aca="false">E282*Premissas!$C$36</f>
        <v>2299.6894738563</v>
      </c>
      <c r="H282" s="22" t="n">
        <f aca="false">IF($A282&gt;=Premissas!$C$18,Premissas!$C$37*(1+Premissas!$C$58)^$C282,0)</f>
        <v>1483.67062829439</v>
      </c>
      <c r="I282" s="22" t="n">
        <f aca="false">IF($A282&gt;=Premissas!$C$20,Premissas!$C$38*(1+Premissas!$C$58)^$C282,0)</f>
        <v>692.37962653738</v>
      </c>
      <c r="J282" s="22" t="n">
        <f aca="false">IF($A282&gt;=Premissas!$C$20,Premissas!$C$39*(1+Premissas!$C$58)^$C282,0)</f>
        <v>370.917657073596</v>
      </c>
      <c r="K282" s="22" t="n">
        <f aca="false">IF($A282&gt;=Premissas!$C$20,MAX(0,E282-F282-G282-H282)*Premissas!$C$41,0)</f>
        <v>1615.71731421259</v>
      </c>
      <c r="L282" s="22" t="n">
        <f aca="false">E282-F282-G282-H282-I282-J282-K282</f>
        <v>3196.3210902222</v>
      </c>
      <c r="M282" s="22" t="n">
        <f aca="false">($A282=Premissas!$C$18)*Premissas!$C$26*Premissas!$C$60</f>
        <v>0</v>
      </c>
      <c r="N282" s="22" t="n">
        <f aca="false">IF(AND($A282&gt;=Premissas!$C$18,$A282&lt;Premissas!$C$20),Premissas!$C$27/MAX(1,Premissas!$C$19),0)</f>
        <v>0</v>
      </c>
      <c r="O282" s="22" t="n">
        <f aca="false">IF($A282&gt;=Premissas!$C$18,Premissas!$C$60*(1+Premissas!$C$59)^((YEAR($A282)-YEAR(Premissas!$C$18))*12+MONTH($A282)-MONTH(Premissas!$C$18)),"")</f>
        <v>1061628.88749459</v>
      </c>
      <c r="P282" s="31" t="n">
        <f aca="false">(1+IF(YEAR($A282)&lt;=2026,Premissas!$C$49,IF(YEAR($A282)=2027,Premissas!$C$50,IF(YEAR($A282)=2028,Premissas!$C$51,Premissas!$C$52)))*(1-Premissas!$C$53))^(1/12)-1</f>
        <v>0.00682149336596227</v>
      </c>
      <c r="Q282" s="22" t="n">
        <f aca="false">($A282=Premissas!$C$16)*Premissas!$C$13</f>
        <v>0</v>
      </c>
      <c r="R282" s="22" t="n">
        <f aca="false">L282-M282-N282-Q282</f>
        <v>3196.3210902222</v>
      </c>
      <c r="S282" s="22" t="n">
        <f aca="false">S281+R282</f>
        <v>210068.573768273</v>
      </c>
      <c r="T282" s="22" t="n">
        <f aca="false">IF($A282&gt;=Premissas!$C$18,O282*(1-Premissas!$C$45)-Premissas!$C$46*MAX(0,O282*(1-Premissas!$C$45)-(SUM($Q$5:$Q$355)+Premissas!$C$26*Premissas!$C$60)),"")</f>
        <v>888211.489454923</v>
      </c>
      <c r="U282" s="22" t="n">
        <f aca="false">IF($A282&gt;=Premissas!$C$18,S282+T282,"")</f>
        <v>1098280.0632232</v>
      </c>
      <c r="V282" s="22" t="n">
        <f aca="false">V281*(1+$P282)-R282</f>
        <v>844828.568867014</v>
      </c>
      <c r="W282" s="22" t="n">
        <f aca="false">($A282=Premissas!$C$16)*Premissas!$C$9</f>
        <v>0</v>
      </c>
      <c r="X282" s="22" t="n">
        <f aca="false">L282-M282-N282-W282</f>
        <v>3196.3210902222</v>
      </c>
      <c r="Y282" s="22" t="n">
        <f aca="false">Y281+X282</f>
        <v>179140.573768274</v>
      </c>
      <c r="Z282" s="22" t="n">
        <f aca="false">IF($A282&gt;=Premissas!$C$18,O282*(1-Premissas!$C$45)-Premissas!$C$46*MAX(0,O282*(1-Premissas!$C$45)-(SUM($W$5:$W$355)+Premissas!$C$26*Premissas!$C$60)),"")</f>
        <v>892850.689454923</v>
      </c>
      <c r="AA282" s="22" t="n">
        <f aca="false">IF($A282&gt;=Premissas!$C$18,Y282+Z282,"")</f>
        <v>1071991.2632232</v>
      </c>
      <c r="AB282" s="22" t="n">
        <f aca="false">AB281*(1+$P282)-X282</f>
        <v>1054835.81462964</v>
      </c>
      <c r="AC282" s="22" t="n">
        <f aca="false">AND($A282&gt;=Premissas!$C$16,$A282&lt;EDATE(Premissas!$C$16,3))*Premissas!$C$10/3*(1+Premissas!$C$56)^$C282</f>
        <v>0</v>
      </c>
      <c r="AD282" s="22" t="n">
        <f aca="false">L282-M282-N282-AC282</f>
        <v>3196.3210902222</v>
      </c>
      <c r="AE282" s="22" t="n">
        <f aca="false">AE281+AD282</f>
        <v>171520.109888249</v>
      </c>
      <c r="AF282" s="22" t="n">
        <f aca="false">IF($A282&gt;=Premissas!$C$18,O282*(1-Premissas!$C$45)-Premissas!$C$46*MAX(0,O282*(1-Premissas!$C$45)-(SUM($AC$5:$AC$355)+Premissas!$C$26*Premissas!$C$60)),"")</f>
        <v>893993.759036927</v>
      </c>
      <c r="AG282" s="22" t="n">
        <f aca="false">IF($A282&gt;=Premissas!$C$18,AE282+AF282,"")</f>
        <v>1065513.86892518</v>
      </c>
      <c r="AH282" s="22" t="n">
        <f aca="false">AH281*(1+$P282)-AD282</f>
        <v>1088310.80758071</v>
      </c>
      <c r="AI282" s="22" t="n">
        <f aca="false">($A282=Premissas!$C$16)*0.2*Premissas!$C$11+AND($A282&gt;Premissas!$C$16,$A282&lt;=EDATE(Premissas!$C$16,43))*0.8*Premissas!$C$11/43*(1+Premissas!$C$56)^$C282</f>
        <v>0</v>
      </c>
      <c r="AJ282" s="22" t="n">
        <f aca="false">L282-M282-N282-AI282</f>
        <v>3196.3210902222</v>
      </c>
      <c r="AK282" s="22" t="n">
        <f aca="false">AK281+AJ282</f>
        <v>125655.624470187</v>
      </c>
      <c r="AL282" s="22" t="n">
        <f aca="false">IF($A282&gt;=Premissas!$C$18,O282*(1-Premissas!$C$45)-Premissas!$C$46*MAX(0,O282*(1-Premissas!$C$45)-(SUM($AI$5:$AI$355)+Premissas!$C$26*Premissas!$C$60)),"")</f>
        <v>900873.431849636</v>
      </c>
      <c r="AM282" s="22" t="n">
        <f aca="false">IF($A282&gt;=Premissas!$C$18,AK282+AL282,"")</f>
        <v>1026529.05631982</v>
      </c>
      <c r="AN282" s="22" t="n">
        <f aca="false">AN281*(1+$P282)-AJ282</f>
        <v>1119544.89249627</v>
      </c>
      <c r="AO282" s="22" t="n">
        <f aca="false">V282+S282</f>
        <v>1054897.14263529</v>
      </c>
    </row>
    <row r="283" customFormat="false" ht="15" hidden="false" customHeight="false" outlineLevel="0" collapsed="false">
      <c r="A283" s="26" t="n">
        <f aca="false">DATE(YEAR(A282),MONTH(A282)+1,1)</f>
        <v>54758</v>
      </c>
      <c r="B283" s="22" t="str">
        <f aca="false">IF($A283&lt;Premissas!$C$18,"Obra",IF($A283&lt;Premissas!$C$20,"Entrega/mobília","Airbnb"))</f>
        <v>Airbnb</v>
      </c>
      <c r="C283" s="36" t="n">
        <f aca="false">(YEAR($A283)-YEAR(Premissas!$C$16))*12+MONTH($A283)-MONTH(Premissas!$C$16)</f>
        <v>278</v>
      </c>
      <c r="D283" s="33" t="n">
        <f aca="false">IF($A283&gt;=Premissas!$C$20,Premissas!$C$31*IF(((YEAR($A283)-YEAR(Premissas!$C$20))*12+MONTH($A283)-MONTH(Premissas!$C$20))&lt;Premissas!$C$33,Premissas!$C$34,1),0)</f>
        <v>0.62</v>
      </c>
      <c r="E283" s="22" t="n">
        <f aca="false">D283*Premissas!$C$30*Premissas!$C$32*(1+Premissas!$C$58)^$C283</f>
        <v>11536.0902938678</v>
      </c>
      <c r="F283" s="22" t="n">
        <f aca="false">E283*Premissas!$C$35</f>
        <v>1845.77444701885</v>
      </c>
      <c r="G283" s="22" t="n">
        <f aca="false">E283*Premissas!$C$36</f>
        <v>2307.21805877357</v>
      </c>
      <c r="H283" s="22" t="n">
        <f aca="false">IF($A283&gt;=Premissas!$C$18,Premissas!$C$37*(1+Premissas!$C$58)^$C283,0)</f>
        <v>1488.52777985391</v>
      </c>
      <c r="I283" s="22" t="n">
        <f aca="false">IF($A283&gt;=Premissas!$C$20,Premissas!$C$38*(1+Premissas!$C$58)^$C283,0)</f>
        <v>694.646297265159</v>
      </c>
      <c r="J283" s="22" t="n">
        <f aca="false">IF($A283&gt;=Premissas!$C$20,Premissas!$C$39*(1+Premissas!$C$58)^$C283,0)</f>
        <v>372.131944963478</v>
      </c>
      <c r="K283" s="22" t="n">
        <f aca="false">IF($A283&gt;=Premissas!$C$20,MAX(0,E283-F283-G283-H283)*Premissas!$C$41,0)</f>
        <v>1621.00675226091</v>
      </c>
      <c r="L283" s="22" t="n">
        <f aca="false">E283-F283-G283-H283-I283-J283-K283</f>
        <v>3206.78501373195</v>
      </c>
      <c r="M283" s="22" t="n">
        <f aca="false">($A283=Premissas!$C$18)*Premissas!$C$26*Premissas!$C$60</f>
        <v>0</v>
      </c>
      <c r="N283" s="22" t="n">
        <f aca="false">IF(AND($A283&gt;=Premissas!$C$18,$A283&lt;Premissas!$C$20),Premissas!$C$27/MAX(1,Premissas!$C$19),0)</f>
        <v>0</v>
      </c>
      <c r="O283" s="22" t="n">
        <f aca="false">IF($A283&gt;=Premissas!$C$18,Premissas!$C$60*(1+Premissas!$C$59)^((YEAR($A283)-YEAR(Premissas!$C$18))*12+MONTH($A283)-MONTH(Premissas!$C$18)),"")</f>
        <v>1065954.09499454</v>
      </c>
      <c r="P283" s="31" t="n">
        <f aca="false">(1+IF(YEAR($A283)&lt;=2026,Premissas!$C$49,IF(YEAR($A283)=2027,Premissas!$C$50,IF(YEAR($A283)=2028,Premissas!$C$51,Premissas!$C$52)))*(1-Premissas!$C$53))^(1/12)-1</f>
        <v>0.00682149336596227</v>
      </c>
      <c r="Q283" s="22" t="n">
        <f aca="false">($A283=Premissas!$C$16)*Premissas!$C$13</f>
        <v>0</v>
      </c>
      <c r="R283" s="22" t="n">
        <f aca="false">L283-M283-N283-Q283</f>
        <v>3206.78501373195</v>
      </c>
      <c r="S283" s="22" t="n">
        <f aca="false">S282+R283</f>
        <v>213275.358782005</v>
      </c>
      <c r="T283" s="22" t="n">
        <f aca="false">IF($A283&gt;=Premissas!$C$18,O283*(1-Premissas!$C$45)-Premissas!$C$46*MAX(0,O283*(1-Premissas!$C$45)-(SUM($Q$5:$Q$355)+Premissas!$C$26*Premissas!$C$60)),"")</f>
        <v>891667.330247383</v>
      </c>
      <c r="U283" s="22" t="n">
        <f aca="false">IF($A283&gt;=Premissas!$C$18,S283+T283,"")</f>
        <v>1104942.68902939</v>
      </c>
      <c r="V283" s="22" t="n">
        <f aca="false">V282*(1+$P283)-R283</f>
        <v>847384.776331184</v>
      </c>
      <c r="W283" s="22" t="n">
        <f aca="false">($A283=Premissas!$C$16)*Premissas!$C$9</f>
        <v>0</v>
      </c>
      <c r="X283" s="22" t="n">
        <f aca="false">L283-M283-N283-W283</f>
        <v>3206.78501373195</v>
      </c>
      <c r="Y283" s="22" t="n">
        <f aca="false">Y282+X283</f>
        <v>182347.358782006</v>
      </c>
      <c r="Z283" s="22" t="n">
        <f aca="false">IF($A283&gt;=Premissas!$C$18,O283*(1-Premissas!$C$45)-Premissas!$C$46*MAX(0,O283*(1-Premissas!$C$45)-(SUM($W$5:$W$355)+Premissas!$C$26*Premissas!$C$60)),"")</f>
        <v>896306.530247383</v>
      </c>
      <c r="AA283" s="22" t="n">
        <f aca="false">IF($A283&gt;=Premissas!$C$18,Y283+Z283,"")</f>
        <v>1078653.88902939</v>
      </c>
      <c r="AB283" s="22" t="n">
        <f aca="false">AB282*(1+$P283)-X283</f>
        <v>1058824.58512759</v>
      </c>
      <c r="AC283" s="22" t="n">
        <f aca="false">AND($A283&gt;=Premissas!$C$16,$A283&lt;EDATE(Premissas!$C$16,3))*Premissas!$C$10/3*(1+Premissas!$C$56)^$C283</f>
        <v>0</v>
      </c>
      <c r="AD283" s="22" t="n">
        <f aca="false">L283-M283-N283-AC283</f>
        <v>3206.78501373195</v>
      </c>
      <c r="AE283" s="22" t="n">
        <f aca="false">AE282+AD283</f>
        <v>174726.894901981</v>
      </c>
      <c r="AF283" s="22" t="n">
        <f aca="false">IF($A283&gt;=Premissas!$C$18,O283*(1-Premissas!$C$45)-Premissas!$C$46*MAX(0,O283*(1-Premissas!$C$45)-(SUM($AC$5:$AC$355)+Premissas!$C$26*Premissas!$C$60)),"")</f>
        <v>897449.599829387</v>
      </c>
      <c r="AG283" s="22" t="n">
        <f aca="false">IF($A283&gt;=Premissas!$C$18,AE283+AF283,"")</f>
        <v>1072176.49473137</v>
      </c>
      <c r="AH283" s="22" t="n">
        <f aca="false">AH282*(1+$P283)-AD283</f>
        <v>1092527.92752099</v>
      </c>
      <c r="AI283" s="22" t="n">
        <f aca="false">($A283=Premissas!$C$16)*0.2*Premissas!$C$11+AND($A283&gt;Premissas!$C$16,$A283&lt;=EDATE(Premissas!$C$16,43))*0.8*Premissas!$C$11/43*(1+Premissas!$C$56)^$C283</f>
        <v>0</v>
      </c>
      <c r="AJ283" s="22" t="n">
        <f aca="false">L283-M283-N283-AI283</f>
        <v>3206.78501373195</v>
      </c>
      <c r="AK283" s="22" t="n">
        <f aca="false">AK282+AJ283</f>
        <v>128862.409483919</v>
      </c>
      <c r="AL283" s="22" t="n">
        <f aca="false">IF($A283&gt;=Premissas!$C$18,O283*(1-Premissas!$C$45)-Premissas!$C$46*MAX(0,O283*(1-Premissas!$C$45)-(SUM($AI$5:$AI$355)+Premissas!$C$26*Premissas!$C$60)),"")</f>
        <v>904329.272642096</v>
      </c>
      <c r="AM283" s="22" t="n">
        <f aca="false">IF($A283&gt;=Premissas!$C$18,AK283+AL283,"")</f>
        <v>1033191.68212601</v>
      </c>
      <c r="AN283" s="22" t="n">
        <f aca="false">AN282*(1+$P283)-AJ283</f>
        <v>1123975.0755396</v>
      </c>
      <c r="AO283" s="22" t="n">
        <f aca="false">V283+S283</f>
        <v>1060660.13511319</v>
      </c>
    </row>
    <row r="284" customFormat="false" ht="15" hidden="false" customHeight="false" outlineLevel="0" collapsed="false">
      <c r="A284" s="26" t="n">
        <f aca="false">DATE(YEAR(A283),MONTH(A283)+1,1)</f>
        <v>54789</v>
      </c>
      <c r="B284" s="22" t="str">
        <f aca="false">IF($A284&lt;Premissas!$C$18,"Obra",IF($A284&lt;Premissas!$C$20,"Entrega/mobília","Airbnb"))</f>
        <v>Airbnb</v>
      </c>
      <c r="C284" s="36" t="n">
        <f aca="false">(YEAR($A284)-YEAR(Premissas!$C$16))*12+MONTH($A284)-MONTH(Premissas!$C$16)</f>
        <v>279</v>
      </c>
      <c r="D284" s="33" t="n">
        <f aca="false">IF($A284&gt;=Premissas!$C$20,Premissas!$C$31*IF(((YEAR($A284)-YEAR(Premissas!$C$20))*12+MONTH($A284)-MONTH(Premissas!$C$20))&lt;Premissas!$C$33,Premissas!$C$34,1),0)</f>
        <v>0.62</v>
      </c>
      <c r="E284" s="22" t="n">
        <f aca="false">D284*Premissas!$C$30*Premissas!$C$32*(1+Premissas!$C$58)^$C284</f>
        <v>11573.8564515939</v>
      </c>
      <c r="F284" s="22" t="n">
        <f aca="false">E284*Premissas!$C$35</f>
        <v>1851.81703225502</v>
      </c>
      <c r="G284" s="22" t="n">
        <f aca="false">E284*Premissas!$C$36</f>
        <v>2314.77129031878</v>
      </c>
      <c r="H284" s="22" t="n">
        <f aca="false">IF($A284&gt;=Premissas!$C$18,Premissas!$C$37*(1+Premissas!$C$58)^$C284,0)</f>
        <v>1493.40083246373</v>
      </c>
      <c r="I284" s="22" t="n">
        <f aca="false">IF($A284&gt;=Premissas!$C$20,Premissas!$C$38*(1+Premissas!$C$58)^$C284,0)</f>
        <v>696.920388483074</v>
      </c>
      <c r="J284" s="22" t="n">
        <f aca="false">IF($A284&gt;=Premissas!$C$20,Premissas!$C$39*(1+Premissas!$C$58)^$C284,0)</f>
        <v>373.350208115932</v>
      </c>
      <c r="K284" s="22" t="n">
        <f aca="false">IF($A284&gt;=Premissas!$C$20,MAX(0,E284-F284-G284-H284)*Premissas!$C$41,0)</f>
        <v>1626.313506553</v>
      </c>
      <c r="L284" s="22" t="n">
        <f aca="false">E284-F284-G284-H284-I284-J284-K284</f>
        <v>3217.28319340436</v>
      </c>
      <c r="M284" s="22" t="n">
        <f aca="false">($A284=Premissas!$C$18)*Premissas!$C$26*Premissas!$C$60</f>
        <v>0</v>
      </c>
      <c r="N284" s="22" t="n">
        <f aca="false">IF(AND($A284&gt;=Premissas!$C$18,$A284&lt;Premissas!$C$20),Premissas!$C$27/MAX(1,Premissas!$C$19),0)</f>
        <v>0</v>
      </c>
      <c r="O284" s="22" t="n">
        <f aca="false">IF($A284&gt;=Premissas!$C$18,Premissas!$C$60*(1+Premissas!$C$59)^((YEAR($A284)-YEAR(Premissas!$C$18))*12+MONTH($A284)-MONTH(Premissas!$C$18)),"")</f>
        <v>1070296.92392523</v>
      </c>
      <c r="P284" s="31" t="n">
        <f aca="false">(1+IF(YEAR($A284)&lt;=2026,Premissas!$C$49,IF(YEAR($A284)=2027,Premissas!$C$50,IF(YEAR($A284)=2028,Premissas!$C$51,Premissas!$C$52)))*(1-Premissas!$C$53))^(1/12)-1</f>
        <v>0.00682149336596227</v>
      </c>
      <c r="Q284" s="22" t="n">
        <f aca="false">($A284=Premissas!$C$16)*Premissas!$C$13</f>
        <v>0</v>
      </c>
      <c r="R284" s="22" t="n">
        <f aca="false">L284-M284-N284-Q284</f>
        <v>3217.28319340436</v>
      </c>
      <c r="S284" s="22" t="n">
        <f aca="false">S283+R284</f>
        <v>216492.64197541</v>
      </c>
      <c r="T284" s="22" t="n">
        <f aca="false">IF($A284&gt;=Premissas!$C$18,O284*(1-Premissas!$C$45)-Premissas!$C$46*MAX(0,O284*(1-Premissas!$C$45)-(SUM($Q$5:$Q$355)+Premissas!$C$26*Premissas!$C$60)),"")</f>
        <v>895137.250563008</v>
      </c>
      <c r="U284" s="22" t="n">
        <f aca="false">IF($A284&gt;=Premissas!$C$18,S284+T284,"")</f>
        <v>1111629.89253842</v>
      </c>
      <c r="V284" s="22" t="n">
        <f aca="false">V283*(1+$P284)-R284</f>
        <v>849947.92276794</v>
      </c>
      <c r="W284" s="22" t="n">
        <f aca="false">($A284=Premissas!$C$16)*Premissas!$C$9</f>
        <v>0</v>
      </c>
      <c r="X284" s="22" t="n">
        <f aca="false">L284-M284-N284-W284</f>
        <v>3217.28319340436</v>
      </c>
      <c r="Y284" s="22" t="n">
        <f aca="false">Y283+X284</f>
        <v>185564.64197541</v>
      </c>
      <c r="Z284" s="22" t="n">
        <f aca="false">IF($A284&gt;=Premissas!$C$18,O284*(1-Premissas!$C$45)-Premissas!$C$46*MAX(0,O284*(1-Premissas!$C$45)-(SUM($W$5:$W$355)+Premissas!$C$26*Premissas!$C$60)),"")</f>
        <v>899776.450563008</v>
      </c>
      <c r="AA284" s="22" t="n">
        <f aca="false">IF($A284&gt;=Premissas!$C$18,Y284+Z284,"")</f>
        <v>1085341.09253842</v>
      </c>
      <c r="AB284" s="22" t="n">
        <f aca="false">AB283*(1+$P284)-X284</f>
        <v>1062830.06681735</v>
      </c>
      <c r="AC284" s="22" t="n">
        <f aca="false">AND($A284&gt;=Premissas!$C$16,$A284&lt;EDATE(Premissas!$C$16,3))*Premissas!$C$10/3*(1+Premissas!$C$56)^$C284</f>
        <v>0</v>
      </c>
      <c r="AD284" s="22" t="n">
        <f aca="false">L284-M284-N284-AC284</f>
        <v>3217.28319340436</v>
      </c>
      <c r="AE284" s="22" t="n">
        <f aca="false">AE283+AD284</f>
        <v>177944.178095385</v>
      </c>
      <c r="AF284" s="22" t="n">
        <f aca="false">IF($A284&gt;=Premissas!$C$18,O284*(1-Premissas!$C$45)-Premissas!$C$46*MAX(0,O284*(1-Premissas!$C$45)-(SUM($AC$5:$AC$355)+Premissas!$C$26*Premissas!$C$60)),"")</f>
        <v>900919.520145012</v>
      </c>
      <c r="AG284" s="22" t="n">
        <f aca="false">IF($A284&gt;=Premissas!$C$18,AE284+AF284,"")</f>
        <v>1078863.6982404</v>
      </c>
      <c r="AH284" s="22" t="n">
        <f aca="false">AH283*(1+$P284)-AD284</f>
        <v>1096763.3163373</v>
      </c>
      <c r="AI284" s="22" t="n">
        <f aca="false">($A284=Premissas!$C$16)*0.2*Premissas!$C$11+AND($A284&gt;Premissas!$C$16,$A284&lt;=EDATE(Premissas!$C$16,43))*0.8*Premissas!$C$11/43*(1+Premissas!$C$56)^$C284</f>
        <v>0</v>
      </c>
      <c r="AJ284" s="22" t="n">
        <f aca="false">L284-M284-N284-AI284</f>
        <v>3217.28319340436</v>
      </c>
      <c r="AK284" s="22" t="n">
        <f aca="false">AK283+AJ284</f>
        <v>132079.692677323</v>
      </c>
      <c r="AL284" s="22" t="n">
        <f aca="false">IF($A284&gt;=Premissas!$C$18,O284*(1-Premissas!$C$45)-Premissas!$C$46*MAX(0,O284*(1-Premissas!$C$45)-(SUM($AI$5:$AI$355)+Premissas!$C$26*Premissas!$C$60)),"")</f>
        <v>907799.192957721</v>
      </c>
      <c r="AM284" s="22" t="n">
        <f aca="false">IF($A284&gt;=Premissas!$C$18,AK284+AL284,"")</f>
        <v>1039878.88563504</v>
      </c>
      <c r="AN284" s="22" t="n">
        <f aca="false">AN283*(1+$P284)-AJ284</f>
        <v>1128424.9808675</v>
      </c>
      <c r="AO284" s="22" t="n">
        <f aca="false">V284+S284</f>
        <v>1066440.56474335</v>
      </c>
    </row>
    <row r="285" customFormat="false" ht="15" hidden="false" customHeight="false" outlineLevel="0" collapsed="false">
      <c r="A285" s="26" t="n">
        <f aca="false">DATE(YEAR(A284),MONTH(A284)+1,1)</f>
        <v>54820</v>
      </c>
      <c r="B285" s="22" t="str">
        <f aca="false">IF($A285&lt;Premissas!$C$18,"Obra",IF($A285&lt;Premissas!$C$20,"Entrega/mobília","Airbnb"))</f>
        <v>Airbnb</v>
      </c>
      <c r="C285" s="36" t="n">
        <f aca="false">(YEAR($A285)-YEAR(Premissas!$C$16))*12+MONTH($A285)-MONTH(Premissas!$C$16)</f>
        <v>280</v>
      </c>
      <c r="D285" s="33" t="n">
        <f aca="false">IF($A285&gt;=Premissas!$C$20,Premissas!$C$31*IF(((YEAR($A285)-YEAR(Premissas!$C$20))*12+MONTH($A285)-MONTH(Premissas!$C$20))&lt;Premissas!$C$33,Premissas!$C$34,1),0)</f>
        <v>0.62</v>
      </c>
      <c r="E285" s="22" t="n">
        <f aca="false">D285*Premissas!$C$30*Premissas!$C$32*(1+Premissas!$C$58)^$C285</f>
        <v>11611.7462458929</v>
      </c>
      <c r="F285" s="22" t="n">
        <f aca="false">E285*Premissas!$C$35</f>
        <v>1857.87939934287</v>
      </c>
      <c r="G285" s="22" t="n">
        <f aca="false">E285*Premissas!$C$36</f>
        <v>2322.34924917859</v>
      </c>
      <c r="H285" s="22" t="n">
        <f aca="false">IF($A285&gt;=Premissas!$C$18,Premissas!$C$37*(1+Premissas!$C$58)^$C285,0)</f>
        <v>1498.28983817973</v>
      </c>
      <c r="I285" s="22" t="n">
        <f aca="false">IF($A285&gt;=Premissas!$C$20,Premissas!$C$38*(1+Premissas!$C$58)^$C285,0)</f>
        <v>699.201924483876</v>
      </c>
      <c r="J285" s="22" t="n">
        <f aca="false">IF($A285&gt;=Premissas!$C$20,Premissas!$C$39*(1+Premissas!$C$58)^$C285,0)</f>
        <v>374.572459544934</v>
      </c>
      <c r="K285" s="22" t="n">
        <f aca="false">IF($A285&gt;=Premissas!$C$20,MAX(0,E285-F285-G285-H285)*Premissas!$C$41,0)</f>
        <v>1631.63763377773</v>
      </c>
      <c r="L285" s="22" t="n">
        <f aca="false">E285-F285-G285-H285-I285-J285-K285</f>
        <v>3227.81574138521</v>
      </c>
      <c r="M285" s="22" t="n">
        <f aca="false">($A285=Premissas!$C$18)*Premissas!$C$26*Premissas!$C$60</f>
        <v>0</v>
      </c>
      <c r="N285" s="22" t="n">
        <f aca="false">IF(AND($A285&gt;=Premissas!$C$18,$A285&lt;Premissas!$C$20),Premissas!$C$27/MAX(1,Premissas!$C$19),0)</f>
        <v>0</v>
      </c>
      <c r="O285" s="22" t="n">
        <f aca="false">IF($A285&gt;=Premissas!$C$18,Premissas!$C$60*(1+Premissas!$C$59)^((YEAR($A285)-YEAR(Premissas!$C$18))*12+MONTH($A285)-MONTH(Premissas!$C$18)),"")</f>
        <v>1074657.44607856</v>
      </c>
      <c r="P285" s="31" t="n">
        <f aca="false">(1+IF(YEAR($A285)&lt;=2026,Premissas!$C$49,IF(YEAR($A285)=2027,Premissas!$C$50,IF(YEAR($A285)=2028,Premissas!$C$51,Premissas!$C$52)))*(1-Premissas!$C$53))^(1/12)-1</f>
        <v>0.00682149336596227</v>
      </c>
      <c r="Q285" s="22" t="n">
        <f aca="false">($A285=Premissas!$C$16)*Premissas!$C$13</f>
        <v>0</v>
      </c>
      <c r="R285" s="22" t="n">
        <f aca="false">L285-M285-N285-Q285</f>
        <v>3227.81574138521</v>
      </c>
      <c r="S285" s="22" t="n">
        <f aca="false">S284+R285</f>
        <v>219720.457716795</v>
      </c>
      <c r="T285" s="22" t="n">
        <f aca="false">IF($A285&gt;=Premissas!$C$18,O285*(1-Premissas!$C$45)-Premissas!$C$46*MAX(0,O285*(1-Premissas!$C$45)-(SUM($Q$5:$Q$355)+Premissas!$C$26*Premissas!$C$60)),"")</f>
        <v>898621.307763518</v>
      </c>
      <c r="U285" s="22" t="n">
        <f aca="false">IF($A285&gt;=Premissas!$C$18,S285+T285,"")</f>
        <v>1118341.76548031</v>
      </c>
      <c r="V285" s="22" t="n">
        <f aca="false">V284*(1+$P285)-R285</f>
        <v>852518.02114313</v>
      </c>
      <c r="W285" s="22" t="n">
        <f aca="false">($A285=Premissas!$C$16)*Premissas!$C$9</f>
        <v>0</v>
      </c>
      <c r="X285" s="22" t="n">
        <f aca="false">L285-M285-N285-W285</f>
        <v>3227.81574138521</v>
      </c>
      <c r="Y285" s="22" t="n">
        <f aca="false">Y284+X285</f>
        <v>188792.457716795</v>
      </c>
      <c r="Z285" s="22" t="n">
        <f aca="false">IF($A285&gt;=Premissas!$C$18,O285*(1-Premissas!$C$45)-Premissas!$C$46*MAX(0,O285*(1-Premissas!$C$45)-(SUM($W$5:$W$355)+Premissas!$C$26*Premissas!$C$60)),"")</f>
        <v>903260.507763518</v>
      </c>
      <c r="AA285" s="22" t="n">
        <f aca="false">IF($A285&gt;=Premissas!$C$18,Y285+Z285,"")</f>
        <v>1092052.96548031</v>
      </c>
      <c r="AB285" s="22" t="n">
        <f aca="false">AB284*(1+$P285)-X285</f>
        <v>1066852.3393259</v>
      </c>
      <c r="AC285" s="22" t="n">
        <f aca="false">AND($A285&gt;=Premissas!$C$16,$A285&lt;EDATE(Premissas!$C$16,3))*Premissas!$C$10/3*(1+Premissas!$C$56)^$C285</f>
        <v>0</v>
      </c>
      <c r="AD285" s="22" t="n">
        <f aca="false">L285-M285-N285-AC285</f>
        <v>3227.81574138521</v>
      </c>
      <c r="AE285" s="22" t="n">
        <f aca="false">AE284+AD285</f>
        <v>181171.99383677</v>
      </c>
      <c r="AF285" s="22" t="n">
        <f aca="false">IF($A285&gt;=Premissas!$C$18,O285*(1-Premissas!$C$45)-Premissas!$C$46*MAX(0,O285*(1-Premissas!$C$45)-(SUM($AC$5:$AC$355)+Premissas!$C$26*Premissas!$C$60)),"")</f>
        <v>904403.577345522</v>
      </c>
      <c r="AG285" s="22" t="n">
        <f aca="false">IF($A285&gt;=Premissas!$C$18,AE285+AF285,"")</f>
        <v>1085575.57118229</v>
      </c>
      <c r="AH285" s="22" t="n">
        <f aca="false">AH284*(1+$P285)-AD285</f>
        <v>1101017.06428234</v>
      </c>
      <c r="AI285" s="22" t="n">
        <f aca="false">($A285=Premissas!$C$16)*0.2*Premissas!$C$11+AND($A285&gt;Premissas!$C$16,$A285&lt;=EDATE(Premissas!$C$16,43))*0.8*Premissas!$C$11/43*(1+Premissas!$C$56)^$C285</f>
        <v>0</v>
      </c>
      <c r="AJ285" s="22" t="n">
        <f aca="false">L285-M285-N285-AI285</f>
        <v>3227.81574138521</v>
      </c>
      <c r="AK285" s="22" t="n">
        <f aca="false">AK284+AJ285</f>
        <v>135307.508418708</v>
      </c>
      <c r="AL285" s="22" t="n">
        <f aca="false">IF($A285&gt;=Premissas!$C$18,O285*(1-Premissas!$C$45)-Premissas!$C$46*MAX(0,O285*(1-Premissas!$C$45)-(SUM($AI$5:$AI$355)+Premissas!$C$26*Premissas!$C$60)),"")</f>
        <v>911283.250158231</v>
      </c>
      <c r="AM285" s="22" t="n">
        <f aca="false">IF($A285&gt;=Premissas!$C$18,AK285+AL285,"")</f>
        <v>1046590.75857694</v>
      </c>
      <c r="AN285" s="22" t="n">
        <f aca="false">AN284*(1+$P285)-AJ285</f>
        <v>1132894.70864709</v>
      </c>
      <c r="AO285" s="22" t="n">
        <f aca="false">V285+S285</f>
        <v>1072238.47885993</v>
      </c>
    </row>
    <row r="286" customFormat="false" ht="15" hidden="false" customHeight="false" outlineLevel="0" collapsed="false">
      <c r="A286" s="26" t="n">
        <f aca="false">DATE(YEAR(A285),MONTH(A285)+1,1)</f>
        <v>54848</v>
      </c>
      <c r="B286" s="22" t="str">
        <f aca="false">IF($A286&lt;Premissas!$C$18,"Obra",IF($A286&lt;Premissas!$C$20,"Entrega/mobília","Airbnb"))</f>
        <v>Airbnb</v>
      </c>
      <c r="C286" s="36" t="n">
        <f aca="false">(YEAR($A286)-YEAR(Premissas!$C$16))*12+MONTH($A286)-MONTH(Premissas!$C$16)</f>
        <v>281</v>
      </c>
      <c r="D286" s="33" t="n">
        <f aca="false">IF($A286&gt;=Premissas!$C$20,Premissas!$C$31*IF(((YEAR($A286)-YEAR(Premissas!$C$20))*12+MONTH($A286)-MONTH(Premissas!$C$20))&lt;Premissas!$C$33,Premissas!$C$34,1),0)</f>
        <v>0.62</v>
      </c>
      <c r="E286" s="22" t="n">
        <f aca="false">D286*Premissas!$C$30*Premissas!$C$32*(1+Premissas!$C$58)^$C286</f>
        <v>11649.7600815189</v>
      </c>
      <c r="F286" s="22" t="n">
        <f aca="false">E286*Premissas!$C$35</f>
        <v>1863.96161304303</v>
      </c>
      <c r="G286" s="22" t="n">
        <f aca="false">E286*Premissas!$C$36</f>
        <v>2329.95201630378</v>
      </c>
      <c r="H286" s="22" t="n">
        <f aca="false">IF($A286&gt;=Premissas!$C$18,Premissas!$C$37*(1+Premissas!$C$58)^$C286,0)</f>
        <v>1503.19484922825</v>
      </c>
      <c r="I286" s="22" t="n">
        <f aca="false">IF($A286&gt;=Premissas!$C$20,Premissas!$C$38*(1+Premissas!$C$58)^$C286,0)</f>
        <v>701.490929639849</v>
      </c>
      <c r="J286" s="22" t="n">
        <f aca="false">IF($A286&gt;=Premissas!$C$20,Premissas!$C$39*(1+Premissas!$C$58)^$C286,0)</f>
        <v>375.798712307062</v>
      </c>
      <c r="K286" s="22" t="n">
        <f aca="false">IF($A286&gt;=Premissas!$C$20,MAX(0,E286-F286-G286-H286)*Premissas!$C$41,0)</f>
        <v>1636.97919080956</v>
      </c>
      <c r="L286" s="22" t="n">
        <f aca="false">E286-F286-G286-H286-I286-J286-K286</f>
        <v>3238.38277018739</v>
      </c>
      <c r="M286" s="22" t="n">
        <f aca="false">($A286=Premissas!$C$18)*Premissas!$C$26*Premissas!$C$60</f>
        <v>0</v>
      </c>
      <c r="N286" s="22" t="n">
        <f aca="false">IF(AND($A286&gt;=Premissas!$C$18,$A286&lt;Premissas!$C$20),Premissas!$C$27/MAX(1,Premissas!$C$19),0)</f>
        <v>0</v>
      </c>
      <c r="O286" s="22" t="n">
        <f aca="false">IF($A286&gt;=Premissas!$C$18,Premissas!$C$60*(1+Premissas!$C$59)^((YEAR($A286)-YEAR(Premissas!$C$18))*12+MONTH($A286)-MONTH(Premissas!$C$18)),"")</f>
        <v>1079035.73353891</v>
      </c>
      <c r="P286" s="31" t="n">
        <f aca="false">(1+IF(YEAR($A286)&lt;=2026,Premissas!$C$49,IF(YEAR($A286)=2027,Premissas!$C$50,IF(YEAR($A286)=2028,Premissas!$C$51,Premissas!$C$52)))*(1-Premissas!$C$53))^(1/12)-1</f>
        <v>0.00682149336596227</v>
      </c>
      <c r="Q286" s="22" t="n">
        <f aca="false">($A286=Premissas!$C$16)*Premissas!$C$13</f>
        <v>0</v>
      </c>
      <c r="R286" s="22" t="n">
        <f aca="false">L286-M286-N286-Q286</f>
        <v>3238.38277018739</v>
      </c>
      <c r="S286" s="22" t="n">
        <f aca="false">S285+R286</f>
        <v>222958.840486982</v>
      </c>
      <c r="T286" s="22" t="n">
        <f aca="false">IF($A286&gt;=Premissas!$C$18,O286*(1-Premissas!$C$45)-Premissas!$C$46*MAX(0,O286*(1-Premissas!$C$45)-(SUM($Q$5:$Q$355)+Premissas!$C$26*Premissas!$C$60)),"")</f>
        <v>902119.559444333</v>
      </c>
      <c r="U286" s="22" t="n">
        <f aca="false">IF($A286&gt;=Premissas!$C$18,S286+T286,"")</f>
        <v>1125078.39993131</v>
      </c>
      <c r="V286" s="22" t="n">
        <f aca="false">V285*(1+$P286)-R286</f>
        <v>855095.084398534</v>
      </c>
      <c r="W286" s="22" t="n">
        <f aca="false">($A286=Premissas!$C$16)*Premissas!$C$9</f>
        <v>0</v>
      </c>
      <c r="X286" s="22" t="n">
        <f aca="false">L286-M286-N286-W286</f>
        <v>3238.38277018739</v>
      </c>
      <c r="Y286" s="22" t="n">
        <f aca="false">Y285+X286</f>
        <v>192030.840486983</v>
      </c>
      <c r="Z286" s="22" t="n">
        <f aca="false">IF($A286&gt;=Premissas!$C$18,O286*(1-Premissas!$C$45)-Premissas!$C$46*MAX(0,O286*(1-Premissas!$C$45)-(SUM($W$5:$W$355)+Premissas!$C$26*Premissas!$C$60)),"")</f>
        <v>906758.759444332</v>
      </c>
      <c r="AA286" s="22" t="n">
        <f aca="false">IF($A286&gt;=Premissas!$C$18,Y286+Z286,"")</f>
        <v>1098789.59993132</v>
      </c>
      <c r="AB286" s="22" t="n">
        <f aca="false">AB285*(1+$P286)-X286</f>
        <v>1070891.48271089</v>
      </c>
      <c r="AC286" s="22" t="n">
        <f aca="false">AND($A286&gt;=Premissas!$C$16,$A286&lt;EDATE(Premissas!$C$16,3))*Premissas!$C$10/3*(1+Premissas!$C$56)^$C286</f>
        <v>0</v>
      </c>
      <c r="AD286" s="22" t="n">
        <f aca="false">L286-M286-N286-AC286</f>
        <v>3238.38277018739</v>
      </c>
      <c r="AE286" s="22" t="n">
        <f aca="false">AE285+AD286</f>
        <v>184410.376606958</v>
      </c>
      <c r="AF286" s="22" t="n">
        <f aca="false">IF($A286&gt;=Premissas!$C$18,O286*(1-Premissas!$C$45)-Premissas!$C$46*MAX(0,O286*(1-Premissas!$C$45)-(SUM($AC$5:$AC$355)+Premissas!$C$26*Premissas!$C$60)),"")</f>
        <v>907901.829026336</v>
      </c>
      <c r="AG286" s="22" t="n">
        <f aca="false">IF($A286&gt;=Premissas!$C$18,AE286+AF286,"")</f>
        <v>1092312.20563329</v>
      </c>
      <c r="AH286" s="22" t="n">
        <f aca="false">AH285*(1+$P286)-AD286</f>
        <v>1105289.26211197</v>
      </c>
      <c r="AI286" s="22" t="n">
        <f aca="false">($A286=Premissas!$C$16)*0.2*Premissas!$C$11+AND($A286&gt;Premissas!$C$16,$A286&lt;=EDATE(Premissas!$C$16,43))*0.8*Premissas!$C$11/43*(1+Premissas!$C$56)^$C286</f>
        <v>0</v>
      </c>
      <c r="AJ286" s="22" t="n">
        <f aca="false">L286-M286-N286-AI286</f>
        <v>3238.38277018739</v>
      </c>
      <c r="AK286" s="22" t="n">
        <f aca="false">AK285+AJ286</f>
        <v>138545.891188896</v>
      </c>
      <c r="AL286" s="22" t="n">
        <f aca="false">IF($A286&gt;=Premissas!$C$18,O286*(1-Premissas!$C$45)-Premissas!$C$46*MAX(0,O286*(1-Premissas!$C$45)-(SUM($AI$5:$AI$355)+Premissas!$C$26*Premissas!$C$60)),"")</f>
        <v>914781.501839045</v>
      </c>
      <c r="AM286" s="22" t="n">
        <f aca="false">IF($A286&gt;=Premissas!$C$18,AK286+AL286,"")</f>
        <v>1053327.39302794</v>
      </c>
      <c r="AN286" s="22" t="n">
        <f aca="false">AN285*(1+$P286)-AJ286</f>
        <v>1137384.35961627</v>
      </c>
      <c r="AO286" s="22" t="n">
        <f aca="false">V286+S286</f>
        <v>1078053.92488552</v>
      </c>
    </row>
    <row r="287" customFormat="false" ht="15" hidden="false" customHeight="false" outlineLevel="0" collapsed="false">
      <c r="A287" s="26" t="n">
        <f aca="false">DATE(YEAR(A286),MONTH(A286)+1,1)</f>
        <v>54879</v>
      </c>
      <c r="B287" s="22" t="str">
        <f aca="false">IF($A287&lt;Premissas!$C$18,"Obra",IF($A287&lt;Premissas!$C$20,"Entrega/mobília","Airbnb"))</f>
        <v>Airbnb</v>
      </c>
      <c r="C287" s="36" t="n">
        <f aca="false">(YEAR($A287)-YEAR(Premissas!$C$16))*12+MONTH($A287)-MONTH(Premissas!$C$16)</f>
        <v>282</v>
      </c>
      <c r="D287" s="33" t="n">
        <f aca="false">IF($A287&gt;=Premissas!$C$20,Premissas!$C$31*IF(((YEAR($A287)-YEAR(Premissas!$C$20))*12+MONTH($A287)-MONTH(Premissas!$C$20))&lt;Premissas!$C$33,Premissas!$C$34,1),0)</f>
        <v>0.62</v>
      </c>
      <c r="E287" s="22" t="n">
        <f aca="false">D287*Premissas!$C$30*Premissas!$C$32*(1+Premissas!$C$58)^$C287</f>
        <v>11687.8983645509</v>
      </c>
      <c r="F287" s="22" t="n">
        <f aca="false">E287*Premissas!$C$35</f>
        <v>1870.06373832814</v>
      </c>
      <c r="G287" s="22" t="n">
        <f aca="false">E287*Premissas!$C$36</f>
        <v>2337.57967291017</v>
      </c>
      <c r="H287" s="22" t="n">
        <f aca="false">IF($A287&gt;=Premissas!$C$18,Premissas!$C$37*(1+Premissas!$C$58)^$C287,0)</f>
        <v>1508.11591800656</v>
      </c>
      <c r="I287" s="22" t="n">
        <f aca="false">IF($A287&gt;=Premissas!$C$20,Premissas!$C$38*(1+Premissas!$C$58)^$C287,0)</f>
        <v>703.787428403063</v>
      </c>
      <c r="J287" s="22" t="n">
        <f aca="false">IF($A287&gt;=Premissas!$C$20,Premissas!$C$39*(1+Premissas!$C$58)^$C287,0)</f>
        <v>377.028979501641</v>
      </c>
      <c r="K287" s="22" t="n">
        <f aca="false">IF($A287&gt;=Premissas!$C$20,MAX(0,E287-F287-G287-H287)*Premissas!$C$41,0)</f>
        <v>1642.33823470915</v>
      </c>
      <c r="L287" s="22" t="n">
        <f aca="false">E287-F287-G287-H287-I287-J287-K287</f>
        <v>3248.98439269214</v>
      </c>
      <c r="M287" s="22" t="n">
        <f aca="false">($A287=Premissas!$C$18)*Premissas!$C$26*Premissas!$C$60</f>
        <v>0</v>
      </c>
      <c r="N287" s="22" t="n">
        <f aca="false">IF(AND($A287&gt;=Premissas!$C$18,$A287&lt;Premissas!$C$20),Premissas!$C$27/MAX(1,Premissas!$C$19),0)</f>
        <v>0</v>
      </c>
      <c r="O287" s="22" t="n">
        <f aca="false">IF($A287&gt;=Premissas!$C$18,Premissas!$C$60*(1+Premissas!$C$59)^((YEAR($A287)-YEAR(Premissas!$C$18))*12+MONTH($A287)-MONTH(Premissas!$C$18)),"")</f>
        <v>1083431.85868432</v>
      </c>
      <c r="P287" s="31" t="n">
        <f aca="false">(1+IF(YEAR($A287)&lt;=2026,Premissas!$C$49,IF(YEAR($A287)=2027,Premissas!$C$50,IF(YEAR($A287)=2028,Premissas!$C$51,Premissas!$C$52)))*(1-Premissas!$C$53))^(1/12)-1</f>
        <v>0.00682149336596227</v>
      </c>
      <c r="Q287" s="22" t="n">
        <f aca="false">($A287=Premissas!$C$16)*Premissas!$C$13</f>
        <v>0</v>
      </c>
      <c r="R287" s="22" t="n">
        <f aca="false">L287-M287-N287-Q287</f>
        <v>3248.98439269214</v>
      </c>
      <c r="S287" s="22" t="n">
        <f aca="false">S286+R287</f>
        <v>226207.824879675</v>
      </c>
      <c r="T287" s="22" t="n">
        <f aca="false">IF($A287&gt;=Premissas!$C$18,O287*(1-Premissas!$C$45)-Premissas!$C$46*MAX(0,O287*(1-Premissas!$C$45)-(SUM($Q$5:$Q$355)+Premissas!$C$26*Premissas!$C$60)),"")</f>
        <v>905632.063435521</v>
      </c>
      <c r="U287" s="22" t="n">
        <f aca="false">IF($A287&gt;=Premissas!$C$18,S287+T287,"")</f>
        <v>1131839.8883152</v>
      </c>
      <c r="V287" s="22" t="n">
        <f aca="false">V286*(1+$P287)-R287</f>
        <v>857679.125451333</v>
      </c>
      <c r="W287" s="22" t="n">
        <f aca="false">($A287=Premissas!$C$16)*Premissas!$C$9</f>
        <v>0</v>
      </c>
      <c r="X287" s="22" t="n">
        <f aca="false">L287-M287-N287-W287</f>
        <v>3248.98439269214</v>
      </c>
      <c r="Y287" s="22" t="n">
        <f aca="false">Y286+X287</f>
        <v>195279.824879675</v>
      </c>
      <c r="Z287" s="22" t="n">
        <f aca="false">IF($A287&gt;=Premissas!$C$18,O287*(1-Premissas!$C$45)-Premissas!$C$46*MAX(0,O287*(1-Premissas!$C$45)-(SUM($W$5:$W$355)+Premissas!$C$26*Premissas!$C$60)),"")</f>
        <v>910271.263435521</v>
      </c>
      <c r="AA287" s="22" t="n">
        <f aca="false">IF($A287&gt;=Premissas!$C$18,Y287+Z287,"")</f>
        <v>1105551.0883152</v>
      </c>
      <c r="AB287" s="22" t="n">
        <f aca="false">AB286*(1+$P287)-X287</f>
        <v>1074947.57746317</v>
      </c>
      <c r="AC287" s="22" t="n">
        <f aca="false">AND($A287&gt;=Premissas!$C$16,$A287&lt;EDATE(Premissas!$C$16,3))*Premissas!$C$10/3*(1+Premissas!$C$56)^$C287</f>
        <v>0</v>
      </c>
      <c r="AD287" s="22" t="n">
        <f aca="false">L287-M287-N287-AC287</f>
        <v>3248.98439269214</v>
      </c>
      <c r="AE287" s="22" t="n">
        <f aca="false">AE286+AD287</f>
        <v>187659.36099965</v>
      </c>
      <c r="AF287" s="22" t="n">
        <f aca="false">IF($A287&gt;=Premissas!$C$18,O287*(1-Premissas!$C$45)-Premissas!$C$46*MAX(0,O287*(1-Premissas!$C$45)-(SUM($AC$5:$AC$355)+Premissas!$C$26*Premissas!$C$60)),"")</f>
        <v>911414.333017525</v>
      </c>
      <c r="AG287" s="22" t="n">
        <f aca="false">IF($A287&gt;=Premissas!$C$18,AE287+AF287,"")</f>
        <v>1099073.69401717</v>
      </c>
      <c r="AH287" s="22" t="n">
        <f aca="false">AH286*(1+$P287)-AD287</f>
        <v>1109580.00108824</v>
      </c>
      <c r="AI287" s="22" t="n">
        <f aca="false">($A287=Premissas!$C$16)*0.2*Premissas!$C$11+AND($A287&gt;Premissas!$C$16,$A287&lt;=EDATE(Premissas!$C$16,43))*0.8*Premissas!$C$11/43*(1+Premissas!$C$56)^$C287</f>
        <v>0</v>
      </c>
      <c r="AJ287" s="22" t="n">
        <f aca="false">L287-M287-N287-AI287</f>
        <v>3248.98439269214</v>
      </c>
      <c r="AK287" s="22" t="n">
        <f aca="false">AK286+AJ287</f>
        <v>141794.875581588</v>
      </c>
      <c r="AL287" s="22" t="n">
        <f aca="false">IF($A287&gt;=Premissas!$C$18,O287*(1-Premissas!$C$45)-Premissas!$C$46*MAX(0,O287*(1-Premissas!$C$45)-(SUM($AI$5:$AI$355)+Premissas!$C$26*Premissas!$C$60)),"")</f>
        <v>918294.005830234</v>
      </c>
      <c r="AM287" s="22" t="n">
        <f aca="false">IF($A287&gt;=Premissas!$C$18,AK287+AL287,"")</f>
        <v>1060088.88141182</v>
      </c>
      <c r="AN287" s="22" t="n">
        <f aca="false">AN286*(1+$P287)-AJ287</f>
        <v>1141894.03508725</v>
      </c>
      <c r="AO287" s="22" t="n">
        <f aca="false">V287+S287</f>
        <v>1083886.95033101</v>
      </c>
    </row>
    <row r="288" customFormat="false" ht="15" hidden="false" customHeight="false" outlineLevel="0" collapsed="false">
      <c r="A288" s="26" t="n">
        <f aca="false">DATE(YEAR(A287),MONTH(A287)+1,1)</f>
        <v>54909</v>
      </c>
      <c r="B288" s="22" t="str">
        <f aca="false">IF($A288&lt;Premissas!$C$18,"Obra",IF($A288&lt;Premissas!$C$20,"Entrega/mobília","Airbnb"))</f>
        <v>Airbnb</v>
      </c>
      <c r="C288" s="36" t="n">
        <f aca="false">(YEAR($A288)-YEAR(Premissas!$C$16))*12+MONTH($A288)-MONTH(Premissas!$C$16)</f>
        <v>283</v>
      </c>
      <c r="D288" s="33" t="n">
        <f aca="false">IF($A288&gt;=Premissas!$C$20,Premissas!$C$31*IF(((YEAR($A288)-YEAR(Premissas!$C$20))*12+MONTH($A288)-MONTH(Premissas!$C$20))&lt;Premissas!$C$33,Premissas!$C$34,1),0)</f>
        <v>0.62</v>
      </c>
      <c r="E288" s="22" t="n">
        <f aca="false">D288*Premissas!$C$30*Premissas!$C$32*(1+Premissas!$C$58)^$C288</f>
        <v>11726.1615023972</v>
      </c>
      <c r="F288" s="22" t="n">
        <f aca="false">E288*Premissas!$C$35</f>
        <v>1876.18584038355</v>
      </c>
      <c r="G288" s="22" t="n">
        <f aca="false">E288*Premissas!$C$36</f>
        <v>2345.23230047944</v>
      </c>
      <c r="H288" s="22" t="n">
        <f aca="false">IF($A288&gt;=Premissas!$C$18,Premissas!$C$37*(1+Premissas!$C$58)^$C288,0)</f>
        <v>1513.05309708351</v>
      </c>
      <c r="I288" s="22" t="n">
        <f aca="false">IF($A288&gt;=Premissas!$C$20,Premissas!$C$38*(1+Premissas!$C$58)^$C288,0)</f>
        <v>706.091445305637</v>
      </c>
      <c r="J288" s="22" t="n">
        <f aca="false">IF($A288&gt;=Premissas!$C$20,Premissas!$C$39*(1+Premissas!$C$58)^$C288,0)</f>
        <v>378.263274270877</v>
      </c>
      <c r="K288" s="22" t="n">
        <f aca="false">IF($A288&gt;=Premissas!$C$20,MAX(0,E288-F288-G288-H288)*Premissas!$C$41,0)</f>
        <v>1647.71482272394</v>
      </c>
      <c r="L288" s="22" t="n">
        <f aca="false">E288-F288-G288-H288-I288-J288-K288</f>
        <v>3259.62072215024</v>
      </c>
      <c r="M288" s="22" t="n">
        <f aca="false">($A288=Premissas!$C$18)*Premissas!$C$26*Premissas!$C$60</f>
        <v>0</v>
      </c>
      <c r="N288" s="22" t="n">
        <f aca="false">IF(AND($A288&gt;=Premissas!$C$18,$A288&lt;Premissas!$C$20),Premissas!$C$27/MAX(1,Premissas!$C$19),0)</f>
        <v>0</v>
      </c>
      <c r="O288" s="22" t="n">
        <f aca="false">IF($A288&gt;=Premissas!$C$18,Premissas!$C$60*(1+Premissas!$C$59)^((YEAR($A288)-YEAR(Premissas!$C$18))*12+MONTH($A288)-MONTH(Premissas!$C$18)),"")</f>
        <v>1087845.89418775</v>
      </c>
      <c r="P288" s="31" t="n">
        <f aca="false">(1+IF(YEAR($A288)&lt;=2026,Premissas!$C$49,IF(YEAR($A288)=2027,Premissas!$C$50,IF(YEAR($A288)=2028,Premissas!$C$51,Premissas!$C$52)))*(1-Premissas!$C$53))^(1/12)-1</f>
        <v>0.00682149336596227</v>
      </c>
      <c r="Q288" s="22" t="n">
        <f aca="false">($A288=Premissas!$C$16)*Premissas!$C$13</f>
        <v>0</v>
      </c>
      <c r="R288" s="22" t="n">
        <f aca="false">L288-M288-N288-Q288</f>
        <v>3259.62072215024</v>
      </c>
      <c r="S288" s="22" t="n">
        <f aca="false">S287+R288</f>
        <v>229467.445601825</v>
      </c>
      <c r="T288" s="22" t="n">
        <f aca="false">IF($A288&gt;=Premissas!$C$18,O288*(1-Premissas!$C$45)-Premissas!$C$46*MAX(0,O288*(1-Premissas!$C$45)-(SUM($Q$5:$Q$355)+Premissas!$C$26*Premissas!$C$60)),"")</f>
        <v>909158.87780276</v>
      </c>
      <c r="U288" s="22" t="n">
        <f aca="false">IF($A288&gt;=Premissas!$C$18,S288+T288,"")</f>
        <v>1138626.32340458</v>
      </c>
      <c r="V288" s="22" t="n">
        <f aca="false">V287*(1+$P288)-R288</f>
        <v>860270.157193574</v>
      </c>
      <c r="W288" s="22" t="n">
        <f aca="false">($A288=Premissas!$C$16)*Premissas!$C$9</f>
        <v>0</v>
      </c>
      <c r="X288" s="22" t="n">
        <f aca="false">L288-M288-N288-W288</f>
        <v>3259.62072215024</v>
      </c>
      <c r="Y288" s="22" t="n">
        <f aca="false">Y287+X288</f>
        <v>198539.445601825</v>
      </c>
      <c r="Z288" s="22" t="n">
        <f aca="false">IF($A288&gt;=Premissas!$C$18,O288*(1-Premissas!$C$45)-Premissas!$C$46*MAX(0,O288*(1-Premissas!$C$45)-(SUM($W$5:$W$355)+Premissas!$C$26*Premissas!$C$60)),"")</f>
        <v>913798.07780276</v>
      </c>
      <c r="AA288" s="22" t="n">
        <f aca="false">IF($A288&gt;=Premissas!$C$18,Y288+Z288,"")</f>
        <v>1112337.52340458</v>
      </c>
      <c r="AB288" s="22" t="n">
        <f aca="false">AB287*(1+$P288)-X288</f>
        <v>1079020.70450945</v>
      </c>
      <c r="AC288" s="22" t="n">
        <f aca="false">AND($A288&gt;=Premissas!$C$16,$A288&lt;EDATE(Premissas!$C$16,3))*Premissas!$C$10/3*(1+Premissas!$C$56)^$C288</f>
        <v>0</v>
      </c>
      <c r="AD288" s="22" t="n">
        <f aca="false">L288-M288-N288-AC288</f>
        <v>3259.62072215024</v>
      </c>
      <c r="AE288" s="22" t="n">
        <f aca="false">AE287+AD288</f>
        <v>190918.9817218</v>
      </c>
      <c r="AF288" s="22" t="n">
        <f aca="false">IF($A288&gt;=Premissas!$C$18,O288*(1-Premissas!$C$45)-Premissas!$C$46*MAX(0,O288*(1-Premissas!$C$45)-(SUM($AC$5:$AC$355)+Premissas!$C$26*Premissas!$C$60)),"")</f>
        <v>914941.147384764</v>
      </c>
      <c r="AG288" s="22" t="n">
        <f aca="false">IF($A288&gt;=Premissas!$C$18,AE288+AF288,"")</f>
        <v>1105860.12910656</v>
      </c>
      <c r="AH288" s="22" t="n">
        <f aca="false">AH287*(1+$P288)-AD288</f>
        <v>1113889.37298252</v>
      </c>
      <c r="AI288" s="22" t="n">
        <f aca="false">($A288=Premissas!$C$16)*0.2*Premissas!$C$11+AND($A288&gt;Premissas!$C$16,$A288&lt;=EDATE(Premissas!$C$16,43))*0.8*Premissas!$C$11/43*(1+Premissas!$C$56)^$C288</f>
        <v>0</v>
      </c>
      <c r="AJ288" s="22" t="n">
        <f aca="false">L288-M288-N288-AI288</f>
        <v>3259.62072215024</v>
      </c>
      <c r="AK288" s="22" t="n">
        <f aca="false">AK287+AJ288</f>
        <v>145054.496303738</v>
      </c>
      <c r="AL288" s="22" t="n">
        <f aca="false">IF($A288&gt;=Premissas!$C$18,O288*(1-Premissas!$C$45)-Premissas!$C$46*MAX(0,O288*(1-Premissas!$C$45)-(SUM($AI$5:$AI$355)+Premissas!$C$26*Premissas!$C$60)),"")</f>
        <v>921820.820197473</v>
      </c>
      <c r="AM288" s="22" t="n">
        <f aca="false">IF($A288&gt;=Premissas!$C$18,AK288+AL288,"")</f>
        <v>1066875.31650121</v>
      </c>
      <c r="AN288" s="22" t="n">
        <f aca="false">AN287*(1+$P288)-AJ288</f>
        <v>1146423.83695008</v>
      </c>
      <c r="AO288" s="22" t="n">
        <f aca="false">V288+S288</f>
        <v>1089737.6027954</v>
      </c>
    </row>
    <row r="289" customFormat="false" ht="15" hidden="false" customHeight="false" outlineLevel="0" collapsed="false">
      <c r="A289" s="26" t="n">
        <f aca="false">DATE(YEAR(A288),MONTH(A288)+1,1)</f>
        <v>54940</v>
      </c>
      <c r="B289" s="22" t="str">
        <f aca="false">IF($A289&lt;Premissas!$C$18,"Obra",IF($A289&lt;Premissas!$C$20,"Entrega/mobília","Airbnb"))</f>
        <v>Airbnb</v>
      </c>
      <c r="C289" s="36" t="n">
        <f aca="false">(YEAR($A289)-YEAR(Premissas!$C$16))*12+MONTH($A289)-MONTH(Premissas!$C$16)</f>
        <v>284</v>
      </c>
      <c r="D289" s="33" t="n">
        <f aca="false">IF($A289&gt;=Premissas!$C$20,Premissas!$C$31*IF(((YEAR($A289)-YEAR(Premissas!$C$20))*12+MONTH($A289)-MONTH(Premissas!$C$20))&lt;Premissas!$C$33,Premissas!$C$34,1),0)</f>
        <v>0.62</v>
      </c>
      <c r="E289" s="22" t="n">
        <f aca="false">D289*Premissas!$C$30*Premissas!$C$32*(1+Premissas!$C$58)^$C289</f>
        <v>11764.5499038001</v>
      </c>
      <c r="F289" s="22" t="n">
        <f aca="false">E289*Premissas!$C$35</f>
        <v>1882.32798460801</v>
      </c>
      <c r="G289" s="22" t="n">
        <f aca="false">E289*Premissas!$C$36</f>
        <v>2352.90998076002</v>
      </c>
      <c r="H289" s="22" t="n">
        <f aca="false">IF($A289&gt;=Premissas!$C$18,Premissas!$C$37*(1+Premissas!$C$58)^$C289,0)</f>
        <v>1518.00643920001</v>
      </c>
      <c r="I289" s="22" t="n">
        <f aca="false">IF($A289&gt;=Premissas!$C$20,Premissas!$C$38*(1+Premissas!$C$58)^$C289,0)</f>
        <v>708.403004960005</v>
      </c>
      <c r="J289" s="22" t="n">
        <f aca="false">IF($A289&gt;=Premissas!$C$20,Premissas!$C$39*(1+Premissas!$C$58)^$C289,0)</f>
        <v>379.501609800003</v>
      </c>
      <c r="K289" s="22" t="n">
        <f aca="false">IF($A289&gt;=Premissas!$C$20,MAX(0,E289-F289-G289-H289)*Premissas!$C$41,0)</f>
        <v>1653.10901228881</v>
      </c>
      <c r="L289" s="22" t="n">
        <f aca="false">E289-F289-G289-H289-I289-J289-K289</f>
        <v>3270.29187218322</v>
      </c>
      <c r="M289" s="22" t="n">
        <f aca="false">($A289=Premissas!$C$18)*Premissas!$C$26*Premissas!$C$60</f>
        <v>0</v>
      </c>
      <c r="N289" s="22" t="n">
        <f aca="false">IF(AND($A289&gt;=Premissas!$C$18,$A289&lt;Premissas!$C$20),Premissas!$C$27/MAX(1,Premissas!$C$19),0)</f>
        <v>0</v>
      </c>
      <c r="O289" s="22" t="n">
        <f aca="false">IF($A289&gt;=Premissas!$C$18,Premissas!$C$60*(1+Premissas!$C$59)^((YEAR($A289)-YEAR(Premissas!$C$18))*12+MONTH($A289)-MONTH(Premissas!$C$18)),"")</f>
        <v>1092277.91301821</v>
      </c>
      <c r="P289" s="31" t="n">
        <f aca="false">(1+IF(YEAR($A289)&lt;=2026,Premissas!$C$49,IF(YEAR($A289)=2027,Premissas!$C$50,IF(YEAR($A289)=2028,Premissas!$C$51,Premissas!$C$52)))*(1-Premissas!$C$53))^(1/12)-1</f>
        <v>0.00682149336596227</v>
      </c>
      <c r="Q289" s="22" t="n">
        <f aca="false">($A289=Premissas!$C$16)*Premissas!$C$13</f>
        <v>0</v>
      </c>
      <c r="R289" s="22" t="n">
        <f aca="false">L289-M289-N289-Q289</f>
        <v>3270.29187218322</v>
      </c>
      <c r="S289" s="22" t="n">
        <f aca="false">S288+R289</f>
        <v>232737.737474008</v>
      </c>
      <c r="T289" s="22" t="n">
        <f aca="false">IF($A289&gt;=Premissas!$C$18,O289*(1-Premissas!$C$45)-Premissas!$C$46*MAX(0,O289*(1-Premissas!$C$45)-(SUM($Q$5:$Q$355)+Premissas!$C$26*Premissas!$C$60)),"")</f>
        <v>912700.060848293</v>
      </c>
      <c r="U289" s="22" t="n">
        <f aca="false">IF($A289&gt;=Premissas!$C$18,S289+T289,"")</f>
        <v>1145437.7983223</v>
      </c>
      <c r="V289" s="22" t="n">
        <f aca="false">V288*(1+$P289)-R289</f>
        <v>862868.192491622</v>
      </c>
      <c r="W289" s="22" t="n">
        <f aca="false">($A289=Premissas!$C$16)*Premissas!$C$9</f>
        <v>0</v>
      </c>
      <c r="X289" s="22" t="n">
        <f aca="false">L289-M289-N289-W289</f>
        <v>3270.29187218322</v>
      </c>
      <c r="Y289" s="22" t="n">
        <f aca="false">Y288+X289</f>
        <v>201809.737474008</v>
      </c>
      <c r="Z289" s="22" t="n">
        <f aca="false">IF($A289&gt;=Premissas!$C$18,O289*(1-Premissas!$C$45)-Premissas!$C$46*MAX(0,O289*(1-Premissas!$C$45)-(SUM($W$5:$W$355)+Premissas!$C$26*Premissas!$C$60)),"")</f>
        <v>917339.260848293</v>
      </c>
      <c r="AA289" s="22" t="n">
        <f aca="false">IF($A289&gt;=Premissas!$C$18,Y289+Z289,"")</f>
        <v>1119148.9983223</v>
      </c>
      <c r="AB289" s="22" t="n">
        <f aca="false">AB288*(1+$P289)-X289</f>
        <v>1083110.94521481</v>
      </c>
      <c r="AC289" s="22" t="n">
        <f aca="false">AND($A289&gt;=Premissas!$C$16,$A289&lt;EDATE(Premissas!$C$16,3))*Premissas!$C$10/3*(1+Premissas!$C$56)^$C289</f>
        <v>0</v>
      </c>
      <c r="AD289" s="22" t="n">
        <f aca="false">L289-M289-N289-AC289</f>
        <v>3270.29187218322</v>
      </c>
      <c r="AE289" s="22" t="n">
        <f aca="false">AE288+AD289</f>
        <v>194189.273593983</v>
      </c>
      <c r="AF289" s="22" t="n">
        <f aca="false">IF($A289&gt;=Premissas!$C$18,O289*(1-Premissas!$C$45)-Premissas!$C$46*MAX(0,O289*(1-Premissas!$C$45)-(SUM($AC$5:$AC$355)+Premissas!$C$26*Premissas!$C$60)),"")</f>
        <v>918482.330430297</v>
      </c>
      <c r="AG289" s="22" t="n">
        <f aca="false">IF($A289&gt;=Premissas!$C$18,AE289+AF289,"")</f>
        <v>1112671.60402428</v>
      </c>
      <c r="AH289" s="22" t="n">
        <f aca="false">AH288*(1+$P289)-AD289</f>
        <v>1118217.47007855</v>
      </c>
      <c r="AI289" s="22" t="n">
        <f aca="false">($A289=Premissas!$C$16)*0.2*Premissas!$C$11+AND($A289&gt;Premissas!$C$16,$A289&lt;=EDATE(Premissas!$C$16,43))*0.8*Premissas!$C$11/43*(1+Premissas!$C$56)^$C289</f>
        <v>0</v>
      </c>
      <c r="AJ289" s="22" t="n">
        <f aca="false">L289-M289-N289-AI289</f>
        <v>3270.29187218322</v>
      </c>
      <c r="AK289" s="22" t="n">
        <f aca="false">AK288+AJ289</f>
        <v>148324.788175921</v>
      </c>
      <c r="AL289" s="22" t="n">
        <f aca="false">IF($A289&gt;=Premissas!$C$18,O289*(1-Premissas!$C$45)-Premissas!$C$46*MAX(0,O289*(1-Premissas!$C$45)-(SUM($AI$5:$AI$355)+Premissas!$C$26*Premissas!$C$60)),"")</f>
        <v>925362.003243006</v>
      </c>
      <c r="AM289" s="22" t="n">
        <f aca="false">IF($A289&gt;=Premissas!$C$18,AK289+AL289,"")</f>
        <v>1073686.79141893</v>
      </c>
      <c r="AN289" s="22" t="n">
        <f aca="false">AN288*(1+$P289)-AJ289</f>
        <v>1150973.86767623</v>
      </c>
      <c r="AO289" s="22" t="n">
        <f aca="false">V289+S289</f>
        <v>1095605.92996563</v>
      </c>
    </row>
    <row r="290" customFormat="false" ht="15" hidden="false" customHeight="false" outlineLevel="0" collapsed="false">
      <c r="A290" s="26" t="n">
        <f aca="false">DATE(YEAR(A289),MONTH(A289)+1,1)</f>
        <v>54970</v>
      </c>
      <c r="B290" s="22" t="str">
        <f aca="false">IF($A290&lt;Premissas!$C$18,"Obra",IF($A290&lt;Premissas!$C$20,"Entrega/mobília","Airbnb"))</f>
        <v>Airbnb</v>
      </c>
      <c r="C290" s="36" t="n">
        <f aca="false">(YEAR($A290)-YEAR(Premissas!$C$16))*12+MONTH($A290)-MONTH(Premissas!$C$16)</f>
        <v>285</v>
      </c>
      <c r="D290" s="33" t="n">
        <f aca="false">IF($A290&gt;=Premissas!$C$20,Premissas!$C$31*IF(((YEAR($A290)-YEAR(Premissas!$C$20))*12+MONTH($A290)-MONTH(Premissas!$C$20))&lt;Premissas!$C$33,Premissas!$C$34,1),0)</f>
        <v>0.62</v>
      </c>
      <c r="E290" s="22" t="n">
        <f aca="false">D290*Premissas!$C$30*Premissas!$C$32*(1+Premissas!$C$58)^$C290</f>
        <v>11803.0639788398</v>
      </c>
      <c r="F290" s="22" t="n">
        <f aca="false">E290*Premissas!$C$35</f>
        <v>1888.49023661437</v>
      </c>
      <c r="G290" s="22" t="n">
        <f aca="false">E290*Premissas!$C$36</f>
        <v>2360.61279576796</v>
      </c>
      <c r="H290" s="22" t="n">
        <f aca="false">IF($A290&gt;=Premissas!$C$18,Premissas!$C$37*(1+Premissas!$C$58)^$C290,0)</f>
        <v>1522.97599726965</v>
      </c>
      <c r="I290" s="22" t="n">
        <f aca="false">IF($A290&gt;=Premissas!$C$20,Premissas!$C$38*(1+Premissas!$C$58)^$C290,0)</f>
        <v>710.722132059171</v>
      </c>
      <c r="J290" s="22" t="n">
        <f aca="false">IF($A290&gt;=Premissas!$C$20,Premissas!$C$39*(1+Premissas!$C$58)^$C290,0)</f>
        <v>380.743999317413</v>
      </c>
      <c r="K290" s="22" t="n">
        <f aca="false">IF($A290&gt;=Premissas!$C$20,MAX(0,E290-F290-G290-H290)*Premissas!$C$41,0)</f>
        <v>1658.52086102665</v>
      </c>
      <c r="L290" s="22" t="n">
        <f aca="false">E290-F290-G290-H290-I290-J290-K290</f>
        <v>3280.99795678459</v>
      </c>
      <c r="M290" s="22" t="n">
        <f aca="false">($A290=Premissas!$C$18)*Premissas!$C$26*Premissas!$C$60</f>
        <v>0</v>
      </c>
      <c r="N290" s="22" t="n">
        <f aca="false">IF(AND($A290&gt;=Premissas!$C$18,$A290&lt;Premissas!$C$20),Premissas!$C$27/MAX(1,Premissas!$C$19),0)</f>
        <v>0</v>
      </c>
      <c r="O290" s="22" t="n">
        <f aca="false">IF($A290&gt;=Premissas!$C$18,Premissas!$C$60*(1+Premissas!$C$59)^((YEAR($A290)-YEAR(Premissas!$C$18))*12+MONTH($A290)-MONTH(Premissas!$C$18)),"")</f>
        <v>1096727.98844199</v>
      </c>
      <c r="P290" s="31" t="n">
        <f aca="false">(1+IF(YEAR($A290)&lt;=2026,Premissas!$C$49,IF(YEAR($A290)=2027,Premissas!$C$50,IF(YEAR($A290)=2028,Premissas!$C$51,Premissas!$C$52)))*(1-Premissas!$C$53))^(1/12)-1</f>
        <v>0.00682149336596227</v>
      </c>
      <c r="Q290" s="22" t="n">
        <f aca="false">($A290=Premissas!$C$16)*Premissas!$C$13</f>
        <v>0</v>
      </c>
      <c r="R290" s="22" t="n">
        <f aca="false">L290-M290-N290-Q290</f>
        <v>3280.99795678459</v>
      </c>
      <c r="S290" s="22" t="n">
        <f aca="false">S289+R290</f>
        <v>236018.735430793</v>
      </c>
      <c r="T290" s="22" t="n">
        <f aca="false">IF($A290&gt;=Premissas!$C$18,O290*(1-Premissas!$C$45)-Premissas!$C$46*MAX(0,O290*(1-Premissas!$C$45)-(SUM($Q$5:$Q$355)+Premissas!$C$26*Premissas!$C$60)),"")</f>
        <v>916255.671111894</v>
      </c>
      <c r="U290" s="22" t="n">
        <f aca="false">IF($A290&gt;=Premissas!$C$18,S290+T290,"")</f>
        <v>1152274.40654269</v>
      </c>
      <c r="V290" s="22" t="n">
        <f aca="false">V289*(1+$P290)-R290</f>
        <v>865473.244185619</v>
      </c>
      <c r="W290" s="22" t="n">
        <f aca="false">($A290=Premissas!$C$16)*Premissas!$C$9</f>
        <v>0</v>
      </c>
      <c r="X290" s="22" t="n">
        <f aca="false">L290-M290-N290-W290</f>
        <v>3280.99795678459</v>
      </c>
      <c r="Y290" s="22" t="n">
        <f aca="false">Y289+X290</f>
        <v>205090.735430793</v>
      </c>
      <c r="Z290" s="22" t="n">
        <f aca="false">IF($A290&gt;=Premissas!$C$18,O290*(1-Premissas!$C$45)-Premissas!$C$46*MAX(0,O290*(1-Premissas!$C$45)-(SUM($W$5:$W$355)+Premissas!$C$26*Premissas!$C$60)),"")</f>
        <v>920894.871111895</v>
      </c>
      <c r="AA290" s="22" t="n">
        <f aca="false">IF($A290&gt;=Premissas!$C$18,Y290+Z290,"")</f>
        <v>1125985.60654269</v>
      </c>
      <c r="AB290" s="22" t="n">
        <f aca="false">AB289*(1+$P290)-X290</f>
        <v>1087218.38138541</v>
      </c>
      <c r="AC290" s="22" t="n">
        <f aca="false">AND($A290&gt;=Premissas!$C$16,$A290&lt;EDATE(Premissas!$C$16,3))*Premissas!$C$10/3*(1+Premissas!$C$56)^$C290</f>
        <v>0</v>
      </c>
      <c r="AD290" s="22" t="n">
        <f aca="false">L290-M290-N290-AC290</f>
        <v>3280.99795678459</v>
      </c>
      <c r="AE290" s="22" t="n">
        <f aca="false">AE289+AD290</f>
        <v>197470.271550768</v>
      </c>
      <c r="AF290" s="22" t="n">
        <f aca="false">IF($A290&gt;=Premissas!$C$18,O290*(1-Premissas!$C$45)-Premissas!$C$46*MAX(0,O290*(1-Premissas!$C$45)-(SUM($AC$5:$AC$355)+Premissas!$C$26*Premissas!$C$60)),"")</f>
        <v>922037.940693898</v>
      </c>
      <c r="AG290" s="22" t="n">
        <f aca="false">IF($A290&gt;=Premissas!$C$18,AE290+AF290,"")</f>
        <v>1119508.21224467</v>
      </c>
      <c r="AH290" s="22" t="n">
        <f aca="false">AH289*(1+$P290)-AD290</f>
        <v>1122564.38517561</v>
      </c>
      <c r="AI290" s="22" t="n">
        <f aca="false">($A290=Premissas!$C$16)*0.2*Premissas!$C$11+AND($A290&gt;Premissas!$C$16,$A290&lt;=EDATE(Premissas!$C$16,43))*0.8*Premissas!$C$11/43*(1+Premissas!$C$56)^$C290</f>
        <v>0</v>
      </c>
      <c r="AJ290" s="22" t="n">
        <f aca="false">L290-M290-N290-AI290</f>
        <v>3280.99795678459</v>
      </c>
      <c r="AK290" s="22" t="n">
        <f aca="false">AK289+AJ290</f>
        <v>151605.786132706</v>
      </c>
      <c r="AL290" s="22" t="n">
        <f aca="false">IF($A290&gt;=Premissas!$C$18,O290*(1-Premissas!$C$45)-Premissas!$C$46*MAX(0,O290*(1-Premissas!$C$45)-(SUM($AI$5:$AI$355)+Premissas!$C$26*Premissas!$C$60)),"")</f>
        <v>928917.613506608</v>
      </c>
      <c r="AM290" s="22" t="n">
        <f aca="false">IF($A290&gt;=Premissas!$C$18,AK290+AL290,"")</f>
        <v>1080523.39963931</v>
      </c>
      <c r="AN290" s="22" t="n">
        <f aca="false">AN289*(1+$P290)-AJ290</f>
        <v>1155544.2303222</v>
      </c>
      <c r="AO290" s="22" t="n">
        <f aca="false">V290+S290</f>
        <v>1101491.97961641</v>
      </c>
    </row>
    <row r="291" customFormat="false" ht="15" hidden="false" customHeight="false" outlineLevel="0" collapsed="false">
      <c r="A291" s="26" t="n">
        <f aca="false">DATE(YEAR(A290),MONTH(A290)+1,1)</f>
        <v>55001</v>
      </c>
      <c r="B291" s="22" t="str">
        <f aca="false">IF($A291&lt;Premissas!$C$18,"Obra",IF($A291&lt;Premissas!$C$20,"Entrega/mobília","Airbnb"))</f>
        <v>Airbnb</v>
      </c>
      <c r="C291" s="36" t="n">
        <f aca="false">(YEAR($A291)-YEAR(Premissas!$C$16))*12+MONTH($A291)-MONTH(Premissas!$C$16)</f>
        <v>286</v>
      </c>
      <c r="D291" s="33" t="n">
        <f aca="false">IF($A291&gt;=Premissas!$C$20,Premissas!$C$31*IF(((YEAR($A291)-YEAR(Premissas!$C$20))*12+MONTH($A291)-MONTH(Premissas!$C$20))&lt;Premissas!$C$33,Premissas!$C$34,1),0)</f>
        <v>0.62</v>
      </c>
      <c r="E291" s="22" t="n">
        <f aca="false">D291*Premissas!$C$30*Premissas!$C$32*(1+Premissas!$C$58)^$C291</f>
        <v>11841.7041389392</v>
      </c>
      <c r="F291" s="22" t="n">
        <f aca="false">E291*Premissas!$C$35</f>
        <v>1894.67266223027</v>
      </c>
      <c r="G291" s="22" t="n">
        <f aca="false">E291*Premissas!$C$36</f>
        <v>2368.34082778784</v>
      </c>
      <c r="H291" s="22" t="n">
        <f aca="false">IF($A291&gt;=Premissas!$C$18,Premissas!$C$37*(1+Premissas!$C$58)^$C291,0)</f>
        <v>1527.96182437925</v>
      </c>
      <c r="I291" s="22" t="n">
        <f aca="false">IF($A291&gt;=Premissas!$C$20,Premissas!$C$38*(1+Premissas!$C$58)^$C291,0)</f>
        <v>713.048851376983</v>
      </c>
      <c r="J291" s="22" t="n">
        <f aca="false">IF($A291&gt;=Premissas!$C$20,Premissas!$C$39*(1+Premissas!$C$58)^$C291,0)</f>
        <v>381.990456094812</v>
      </c>
      <c r="K291" s="22" t="n">
        <f aca="false">IF($A291&gt;=Premissas!$C$20,MAX(0,E291-F291-G291-H291)*Premissas!$C$41,0)</f>
        <v>1663.950426749</v>
      </c>
      <c r="L291" s="22" t="n">
        <f aca="false">E291-F291-G291-H291-I291-J291-K291</f>
        <v>3291.73909032103</v>
      </c>
      <c r="M291" s="22" t="n">
        <f aca="false">($A291=Premissas!$C$18)*Premissas!$C$26*Premissas!$C$60</f>
        <v>0</v>
      </c>
      <c r="N291" s="22" t="n">
        <f aca="false">IF(AND($A291&gt;=Premissas!$C$18,$A291&lt;Premissas!$C$20),Premissas!$C$27/MAX(1,Premissas!$C$19),0)</f>
        <v>0</v>
      </c>
      <c r="O291" s="22" t="n">
        <f aca="false">IF($A291&gt;=Premissas!$C$18,Premissas!$C$60*(1+Premissas!$C$59)^((YEAR($A291)-YEAR(Premissas!$C$18))*12+MONTH($A291)-MONTH(Premissas!$C$18)),"")</f>
        <v>1101196.19402389</v>
      </c>
      <c r="P291" s="31" t="n">
        <f aca="false">(1+IF(YEAR($A291)&lt;=2026,Premissas!$C$49,IF(YEAR($A291)=2027,Premissas!$C$50,IF(YEAR($A291)=2028,Premissas!$C$51,Premissas!$C$52)))*(1-Premissas!$C$53))^(1/12)-1</f>
        <v>0.00682149336596227</v>
      </c>
      <c r="Q291" s="22" t="n">
        <f aca="false">($A291=Premissas!$C$16)*Premissas!$C$13</f>
        <v>0</v>
      </c>
      <c r="R291" s="22" t="n">
        <f aca="false">L291-M291-N291-Q291</f>
        <v>3291.73909032103</v>
      </c>
      <c r="S291" s="22" t="n">
        <f aca="false">S290+R291</f>
        <v>239310.474521114</v>
      </c>
      <c r="T291" s="22" t="n">
        <f aca="false">IF($A291&gt;=Premissas!$C$18,O291*(1-Premissas!$C$45)-Premissas!$C$46*MAX(0,O291*(1-Premissas!$C$45)-(SUM($Q$5:$Q$355)+Premissas!$C$26*Premissas!$C$60)),"")</f>
        <v>919825.767371836</v>
      </c>
      <c r="U291" s="22" t="n">
        <f aca="false">IF($A291&gt;=Premissas!$C$18,S291+T291,"")</f>
        <v>1159136.24189295</v>
      </c>
      <c r="V291" s="22" t="n">
        <f aca="false">V290*(1+$P291)-R291</f>
        <v>868085.325088928</v>
      </c>
      <c r="W291" s="22" t="n">
        <f aca="false">($A291=Premissas!$C$16)*Premissas!$C$9</f>
        <v>0</v>
      </c>
      <c r="X291" s="22" t="n">
        <f aca="false">L291-M291-N291-W291</f>
        <v>3291.73909032103</v>
      </c>
      <c r="Y291" s="22" t="n">
        <f aca="false">Y290+X291</f>
        <v>208382.474521114</v>
      </c>
      <c r="Z291" s="22" t="n">
        <f aca="false">IF($A291&gt;=Premissas!$C$18,O291*(1-Premissas!$C$45)-Premissas!$C$46*MAX(0,O291*(1-Premissas!$C$45)-(SUM($W$5:$W$355)+Premissas!$C$26*Premissas!$C$60)),"")</f>
        <v>924464.967371836</v>
      </c>
      <c r="AA291" s="22" t="n">
        <f aca="false">IF($A291&gt;=Premissas!$C$18,Y291+Z291,"")</f>
        <v>1132847.44189295</v>
      </c>
      <c r="AB291" s="22" t="n">
        <f aca="false">AB290*(1+$P291)-X291</f>
        <v>1091343.09527106</v>
      </c>
      <c r="AC291" s="22" t="n">
        <f aca="false">AND($A291&gt;=Premissas!$C$16,$A291&lt;EDATE(Premissas!$C$16,3))*Premissas!$C$10/3*(1+Premissas!$C$56)^$C291</f>
        <v>0</v>
      </c>
      <c r="AD291" s="22" t="n">
        <f aca="false">L291-M291-N291-AC291</f>
        <v>3291.73909032103</v>
      </c>
      <c r="AE291" s="22" t="n">
        <f aca="false">AE290+AD291</f>
        <v>200762.010641089</v>
      </c>
      <c r="AF291" s="22" t="n">
        <f aca="false">IF($A291&gt;=Premissas!$C$18,O291*(1-Premissas!$C$45)-Premissas!$C$46*MAX(0,O291*(1-Premissas!$C$45)-(SUM($AC$5:$AC$355)+Premissas!$C$26*Premissas!$C$60)),"")</f>
        <v>925608.03695384</v>
      </c>
      <c r="AG291" s="22" t="n">
        <f aca="false">IF($A291&gt;=Premissas!$C$18,AE291+AF291,"")</f>
        <v>1126370.04759493</v>
      </c>
      <c r="AH291" s="22" t="n">
        <f aca="false">AH290*(1+$P291)-AD291</f>
        <v>1126930.21159163</v>
      </c>
      <c r="AI291" s="22" t="n">
        <f aca="false">($A291=Premissas!$C$16)*0.2*Premissas!$C$11+AND($A291&gt;Premissas!$C$16,$A291&lt;=EDATE(Premissas!$C$16,43))*0.8*Premissas!$C$11/43*(1+Premissas!$C$56)^$C291</f>
        <v>0</v>
      </c>
      <c r="AJ291" s="22" t="n">
        <f aca="false">L291-M291-N291-AI291</f>
        <v>3291.73909032103</v>
      </c>
      <c r="AK291" s="22" t="n">
        <f aca="false">AK290+AJ291</f>
        <v>154897.525223027</v>
      </c>
      <c r="AL291" s="22" t="n">
        <f aca="false">IF($A291&gt;=Premissas!$C$18,O291*(1-Premissas!$C$45)-Premissas!$C$46*MAX(0,O291*(1-Premissas!$C$45)-(SUM($AI$5:$AI$355)+Premissas!$C$26*Premissas!$C$60)),"")</f>
        <v>932487.709766549</v>
      </c>
      <c r="AM291" s="22" t="n">
        <f aca="false">IF($A291&gt;=Premissas!$C$18,AK291+AL291,"")</f>
        <v>1087385.23498958</v>
      </c>
      <c r="AN291" s="22" t="n">
        <f aca="false">AN290*(1+$P291)-AJ291</f>
        <v>1160135.02853309</v>
      </c>
      <c r="AO291" s="22" t="n">
        <f aca="false">V291+S291</f>
        <v>1107395.79961004</v>
      </c>
    </row>
    <row r="292" customFormat="false" ht="15" hidden="false" customHeight="false" outlineLevel="0" collapsed="false">
      <c r="A292" s="26" t="n">
        <f aca="false">DATE(YEAR(A291),MONTH(A291)+1,1)</f>
        <v>55032</v>
      </c>
      <c r="B292" s="22" t="str">
        <f aca="false">IF($A292&lt;Premissas!$C$18,"Obra",IF($A292&lt;Premissas!$C$20,"Entrega/mobília","Airbnb"))</f>
        <v>Airbnb</v>
      </c>
      <c r="C292" s="36" t="n">
        <f aca="false">(YEAR($A292)-YEAR(Premissas!$C$16))*12+MONTH($A292)-MONTH(Premissas!$C$16)</f>
        <v>287</v>
      </c>
      <c r="D292" s="33" t="n">
        <f aca="false">IF($A292&gt;=Premissas!$C$20,Premissas!$C$31*IF(((YEAR($A292)-YEAR(Premissas!$C$20))*12+MONTH($A292)-MONTH(Premissas!$C$20))&lt;Premissas!$C$33,Premissas!$C$34,1),0)</f>
        <v>0.62</v>
      </c>
      <c r="E292" s="22" t="n">
        <f aca="false">D292*Premissas!$C$30*Premissas!$C$32*(1+Premissas!$C$58)^$C292</f>
        <v>11880.4707968679</v>
      </c>
      <c r="F292" s="22" t="n">
        <f aca="false">E292*Premissas!$C$35</f>
        <v>1900.87532749886</v>
      </c>
      <c r="G292" s="22" t="n">
        <f aca="false">E292*Premissas!$C$36</f>
        <v>2376.09415937357</v>
      </c>
      <c r="H292" s="22" t="n">
        <f aca="false">IF($A292&gt;=Premissas!$C$18,Premissas!$C$37*(1+Premissas!$C$58)^$C292,0)</f>
        <v>1532.9639737894</v>
      </c>
      <c r="I292" s="22" t="n">
        <f aca="false">IF($A292&gt;=Premissas!$C$20,Premissas!$C$38*(1+Premissas!$C$58)^$C292,0)</f>
        <v>715.383187768387</v>
      </c>
      <c r="J292" s="22" t="n">
        <f aca="false">IF($A292&gt;=Premissas!$C$20,Premissas!$C$39*(1+Premissas!$C$58)^$C292,0)</f>
        <v>383.24099344735</v>
      </c>
      <c r="K292" s="22" t="n">
        <f aca="false">IF($A292&gt;=Premissas!$C$20,MAX(0,E292-F292-G292-H292)*Premissas!$C$41,0)</f>
        <v>1669.39776745666</v>
      </c>
      <c r="L292" s="22" t="n">
        <f aca="false">E292-F292-G292-H292-I292-J292-K292</f>
        <v>3302.51538753363</v>
      </c>
      <c r="M292" s="22" t="n">
        <f aca="false">($A292=Premissas!$C$18)*Premissas!$C$26*Premissas!$C$60</f>
        <v>0</v>
      </c>
      <c r="N292" s="22" t="n">
        <f aca="false">IF(AND($A292&gt;=Premissas!$C$18,$A292&lt;Premissas!$C$20),Premissas!$C$27/MAX(1,Premissas!$C$19),0)</f>
        <v>0</v>
      </c>
      <c r="O292" s="22" t="n">
        <f aca="false">IF($A292&gt;=Premissas!$C$18,Premissas!$C$60*(1+Premissas!$C$59)^((YEAR($A292)-YEAR(Premissas!$C$18))*12+MONTH($A292)-MONTH(Premissas!$C$18)),"")</f>
        <v>1105682.60362843</v>
      </c>
      <c r="P292" s="31" t="n">
        <f aca="false">(1+IF(YEAR($A292)&lt;=2026,Premissas!$C$49,IF(YEAR($A292)=2027,Premissas!$C$50,IF(YEAR($A292)=2028,Premissas!$C$51,Premissas!$C$52)))*(1-Premissas!$C$53))^(1/12)-1</f>
        <v>0.00682149336596227</v>
      </c>
      <c r="Q292" s="22" t="n">
        <f aca="false">($A292=Premissas!$C$16)*Premissas!$C$13</f>
        <v>0</v>
      </c>
      <c r="R292" s="22" t="n">
        <f aca="false">L292-M292-N292-Q292</f>
        <v>3302.51538753363</v>
      </c>
      <c r="S292" s="22" t="n">
        <f aca="false">S291+R292</f>
        <v>242612.989908647</v>
      </c>
      <c r="T292" s="22" t="n">
        <f aca="false">IF($A292&gt;=Premissas!$C$18,O292*(1-Premissas!$C$45)-Premissas!$C$46*MAX(0,O292*(1-Premissas!$C$45)-(SUM($Q$5:$Q$355)+Premissas!$C$26*Premissas!$C$60)),"")</f>
        <v>923410.40864586</v>
      </c>
      <c r="U292" s="22" t="n">
        <f aca="false">IF($A292&gt;=Premissas!$C$18,S292+T292,"")</f>
        <v>1166023.39855451</v>
      </c>
      <c r="V292" s="22" t="n">
        <f aca="false">V291*(1+$P292)-R292</f>
        <v>870704.447987578</v>
      </c>
      <c r="W292" s="22" t="n">
        <f aca="false">($A292=Premissas!$C$16)*Premissas!$C$9</f>
        <v>0</v>
      </c>
      <c r="X292" s="22" t="n">
        <f aca="false">L292-M292-N292-W292</f>
        <v>3302.51538753363</v>
      </c>
      <c r="Y292" s="22" t="n">
        <f aca="false">Y291+X292</f>
        <v>211684.989908647</v>
      </c>
      <c r="Z292" s="22" t="n">
        <f aca="false">IF($A292&gt;=Premissas!$C$18,O292*(1-Premissas!$C$45)-Premissas!$C$46*MAX(0,O292*(1-Premissas!$C$45)-(SUM($W$5:$W$355)+Premissas!$C$26*Premissas!$C$60)),"")</f>
        <v>928049.60864586</v>
      </c>
      <c r="AA292" s="22" t="n">
        <f aca="false">IF($A292&gt;=Premissas!$C$18,Y292+Z292,"")</f>
        <v>1139734.59855451</v>
      </c>
      <c r="AB292" s="22" t="n">
        <f aca="false">AB291*(1+$P292)-X292</f>
        <v>1095485.16956791</v>
      </c>
      <c r="AC292" s="22" t="n">
        <f aca="false">AND($A292&gt;=Premissas!$C$16,$A292&lt;EDATE(Premissas!$C$16,3))*Premissas!$C$10/3*(1+Premissas!$C$56)^$C292</f>
        <v>0</v>
      </c>
      <c r="AD292" s="22" t="n">
        <f aca="false">L292-M292-N292-AC292</f>
        <v>3302.51538753363</v>
      </c>
      <c r="AE292" s="22" t="n">
        <f aca="false">AE291+AD292</f>
        <v>204064.526028622</v>
      </c>
      <c r="AF292" s="22" t="n">
        <f aca="false">IF($A292&gt;=Premissas!$C$18,O292*(1-Premissas!$C$45)-Premissas!$C$46*MAX(0,O292*(1-Premissas!$C$45)-(SUM($AC$5:$AC$355)+Premissas!$C$26*Premissas!$C$60)),"")</f>
        <v>929192.678227864</v>
      </c>
      <c r="AG292" s="22" t="n">
        <f aca="false">IF($A292&gt;=Premissas!$C$18,AE292+AF292,"")</f>
        <v>1133257.20425649</v>
      </c>
      <c r="AH292" s="22" t="n">
        <f aca="false">AH291*(1+$P292)-AD292</f>
        <v>1131315.04316637</v>
      </c>
      <c r="AI292" s="22" t="n">
        <f aca="false">($A292=Premissas!$C$16)*0.2*Premissas!$C$11+AND($A292&gt;Premissas!$C$16,$A292&lt;=EDATE(Premissas!$C$16,43))*0.8*Premissas!$C$11/43*(1+Premissas!$C$56)^$C292</f>
        <v>0</v>
      </c>
      <c r="AJ292" s="22" t="n">
        <f aca="false">L292-M292-N292-AI292</f>
        <v>3302.51538753363</v>
      </c>
      <c r="AK292" s="22" t="n">
        <f aca="false">AK291+AJ292</f>
        <v>158200.040610561</v>
      </c>
      <c r="AL292" s="22" t="n">
        <f aca="false">IF($A292&gt;=Premissas!$C$18,O292*(1-Premissas!$C$45)-Premissas!$C$46*MAX(0,O292*(1-Premissas!$C$45)-(SUM($AI$5:$AI$355)+Premissas!$C$26*Premissas!$C$60)),"")</f>
        <v>936072.351040573</v>
      </c>
      <c r="AM292" s="22" t="n">
        <f aca="false">IF($A292&gt;=Premissas!$C$18,AK292+AL292,"")</f>
        <v>1094272.39165113</v>
      </c>
      <c r="AN292" s="22" t="n">
        <f aca="false">AN291*(1+$P292)-AJ292</f>
        <v>1164746.36654632</v>
      </c>
      <c r="AO292" s="22" t="n">
        <f aca="false">V292+S292</f>
        <v>1113317.43789622</v>
      </c>
    </row>
    <row r="293" customFormat="false" ht="15" hidden="false" customHeight="false" outlineLevel="0" collapsed="false">
      <c r="A293" s="26" t="n">
        <f aca="false">DATE(YEAR(A292),MONTH(A292)+1,1)</f>
        <v>55062</v>
      </c>
      <c r="B293" s="22" t="str">
        <f aca="false">IF($A293&lt;Premissas!$C$18,"Obra",IF($A293&lt;Premissas!$C$20,"Entrega/mobília","Airbnb"))</f>
        <v>Airbnb</v>
      </c>
      <c r="C293" s="36" t="n">
        <f aca="false">(YEAR($A293)-YEAR(Premissas!$C$16))*12+MONTH($A293)-MONTH(Premissas!$C$16)</f>
        <v>288</v>
      </c>
      <c r="D293" s="33" t="n">
        <f aca="false">IF($A293&gt;=Premissas!$C$20,Premissas!$C$31*IF(((YEAR($A293)-YEAR(Premissas!$C$20))*12+MONTH($A293)-MONTH(Premissas!$C$20))&lt;Premissas!$C$33,Premissas!$C$34,1),0)</f>
        <v>0.62</v>
      </c>
      <c r="E293" s="22" t="n">
        <f aca="false">D293*Premissas!$C$30*Premissas!$C$32*(1+Premissas!$C$58)^$C293</f>
        <v>11919.3643667468</v>
      </c>
      <c r="F293" s="22" t="n">
        <f aca="false">E293*Premissas!$C$35</f>
        <v>1907.09829867949</v>
      </c>
      <c r="G293" s="22" t="n">
        <f aca="false">E293*Premissas!$C$36</f>
        <v>2383.87287334936</v>
      </c>
      <c r="H293" s="22" t="n">
        <f aca="false">IF($A293&gt;=Premissas!$C$18,Premissas!$C$37*(1+Premissas!$C$58)^$C293,0)</f>
        <v>1537.98249893507</v>
      </c>
      <c r="I293" s="22" t="n">
        <f aca="false">IF($A293&gt;=Premissas!$C$20,Premissas!$C$38*(1+Premissas!$C$58)^$C293,0)</f>
        <v>717.725166169701</v>
      </c>
      <c r="J293" s="22" t="n">
        <f aca="false">IF($A293&gt;=Premissas!$C$20,Premissas!$C$39*(1+Premissas!$C$58)^$C293,0)</f>
        <v>384.495624733768</v>
      </c>
      <c r="K293" s="22" t="n">
        <f aca="false">IF($A293&gt;=Premissas!$C$20,MAX(0,E293-F293-G293-H293)*Premissas!$C$41,0)</f>
        <v>1674.86294134029</v>
      </c>
      <c r="L293" s="22" t="n">
        <f aca="false">E293-F293-G293-H293-I293-J293-K293</f>
        <v>3313.32696353912</v>
      </c>
      <c r="M293" s="22" t="n">
        <f aca="false">($A293=Premissas!$C$18)*Premissas!$C$26*Premissas!$C$60</f>
        <v>0</v>
      </c>
      <c r="N293" s="22" t="n">
        <f aca="false">IF(AND($A293&gt;=Premissas!$C$18,$A293&lt;Premissas!$C$20),Premissas!$C$27/MAX(1,Premissas!$C$19),0)</f>
        <v>0</v>
      </c>
      <c r="O293" s="22" t="n">
        <f aca="false">IF($A293&gt;=Premissas!$C$18,Premissas!$C$60*(1+Premissas!$C$59)^((YEAR($A293)-YEAR(Premissas!$C$18))*12+MONTH($A293)-MONTH(Premissas!$C$18)),"")</f>
        <v>1110187.29142104</v>
      </c>
      <c r="P293" s="31" t="n">
        <f aca="false">(1+IF(YEAR($A293)&lt;=2026,Premissas!$C$49,IF(YEAR($A293)=2027,Premissas!$C$50,IF(YEAR($A293)=2028,Premissas!$C$51,Premissas!$C$52)))*(1-Premissas!$C$53))^(1/12)-1</f>
        <v>0.00682149336596227</v>
      </c>
      <c r="Q293" s="22" t="n">
        <f aca="false">($A293=Premissas!$C$16)*Premissas!$C$13</f>
        <v>0</v>
      </c>
      <c r="R293" s="22" t="n">
        <f aca="false">L293-M293-N293-Q293</f>
        <v>3313.32696353912</v>
      </c>
      <c r="S293" s="22" t="n">
        <f aca="false">S292+R293</f>
        <v>245926.316872186</v>
      </c>
      <c r="T293" s="22" t="n">
        <f aca="false">IF($A293&gt;=Premissas!$C$18,O293*(1-Premissas!$C$45)-Premissas!$C$46*MAX(0,O293*(1-Premissas!$C$45)-(SUM($Q$5:$Q$355)+Premissas!$C$26*Premissas!$C$60)),"")</f>
        <v>927009.654192155</v>
      </c>
      <c r="U293" s="22" t="n">
        <f aca="false">IF($A293&gt;=Premissas!$C$18,S293+T293,"")</f>
        <v>1172935.97106434</v>
      </c>
      <c r="V293" s="22" t="n">
        <f aca="false">V292*(1+$P293)-R293</f>
        <v>873330.6256397</v>
      </c>
      <c r="W293" s="22" t="n">
        <f aca="false">($A293=Premissas!$C$16)*Premissas!$C$9</f>
        <v>0</v>
      </c>
      <c r="X293" s="22" t="n">
        <f aca="false">L293-M293-N293-W293</f>
        <v>3313.32696353912</v>
      </c>
      <c r="Y293" s="22" t="n">
        <f aca="false">Y292+X293</f>
        <v>214998.316872186</v>
      </c>
      <c r="Z293" s="22" t="n">
        <f aca="false">IF($A293&gt;=Premissas!$C$18,O293*(1-Premissas!$C$45)-Premissas!$C$46*MAX(0,O293*(1-Premissas!$C$45)-(SUM($W$5:$W$355)+Premissas!$C$26*Premissas!$C$60)),"")</f>
        <v>931648.854192155</v>
      </c>
      <c r="AA293" s="22" t="n">
        <f aca="false">IF($A293&gt;=Premissas!$C$18,Y293+Z293,"")</f>
        <v>1146647.17106434</v>
      </c>
      <c r="AB293" s="22" t="n">
        <f aca="false">AB292*(1+$P293)-X293</f>
        <v>1099644.68742109</v>
      </c>
      <c r="AC293" s="22" t="n">
        <f aca="false">AND($A293&gt;=Premissas!$C$16,$A293&lt;EDATE(Premissas!$C$16,3))*Premissas!$C$10/3*(1+Premissas!$C$56)^$C293</f>
        <v>0</v>
      </c>
      <c r="AD293" s="22" t="n">
        <f aca="false">L293-M293-N293-AC293</f>
        <v>3313.32696353912</v>
      </c>
      <c r="AE293" s="22" t="n">
        <f aca="false">AE292+AD293</f>
        <v>207377.852992162</v>
      </c>
      <c r="AF293" s="22" t="n">
        <f aca="false">IF($A293&gt;=Premissas!$C$18,O293*(1-Premissas!$C$45)-Premissas!$C$46*MAX(0,O293*(1-Premissas!$C$45)-(SUM($AC$5:$AC$355)+Premissas!$C$26*Premissas!$C$60)),"")</f>
        <v>932791.923774158</v>
      </c>
      <c r="AG293" s="22" t="n">
        <f aca="false">IF($A293&gt;=Premissas!$C$18,AE293+AF293,"")</f>
        <v>1140169.77676632</v>
      </c>
      <c r="AH293" s="22" t="n">
        <f aca="false">AH292*(1+$P293)-AD293</f>
        <v>1135718.9742646</v>
      </c>
      <c r="AI293" s="22" t="n">
        <f aca="false">($A293=Premissas!$C$16)*0.2*Premissas!$C$11+AND($A293&gt;Premissas!$C$16,$A293&lt;=EDATE(Premissas!$C$16,43))*0.8*Premissas!$C$11/43*(1+Premissas!$C$56)^$C293</f>
        <v>0</v>
      </c>
      <c r="AJ293" s="22" t="n">
        <f aca="false">L293-M293-N293-AI293</f>
        <v>3313.32696353912</v>
      </c>
      <c r="AK293" s="22" t="n">
        <f aca="false">AK292+AJ293</f>
        <v>161513.3675741</v>
      </c>
      <c r="AL293" s="22" t="n">
        <f aca="false">IF($A293&gt;=Premissas!$C$18,O293*(1-Premissas!$C$45)-Premissas!$C$46*MAX(0,O293*(1-Premissas!$C$45)-(SUM($AI$5:$AI$355)+Premissas!$C$26*Premissas!$C$60)),"")</f>
        <v>939671.596586868</v>
      </c>
      <c r="AM293" s="22" t="n">
        <f aca="false">IF($A293&gt;=Premissas!$C$18,AK293+AL293,"")</f>
        <v>1101184.96416097</v>
      </c>
      <c r="AN293" s="22" t="n">
        <f aca="false">AN292*(1+$P293)-AJ293</f>
        <v>1169378.3491952</v>
      </c>
      <c r="AO293" s="22" t="n">
        <f aca="false">V293+S293</f>
        <v>1119256.94251189</v>
      </c>
    </row>
    <row r="294" customFormat="false" ht="15" hidden="false" customHeight="false" outlineLevel="0" collapsed="false">
      <c r="A294" s="26" t="n">
        <f aca="false">DATE(YEAR(A293),MONTH(A293)+1,1)</f>
        <v>55093</v>
      </c>
      <c r="B294" s="22" t="str">
        <f aca="false">IF($A294&lt;Premissas!$C$18,"Obra",IF($A294&lt;Premissas!$C$20,"Entrega/mobília","Airbnb"))</f>
        <v>Airbnb</v>
      </c>
      <c r="C294" s="36" t="n">
        <f aca="false">(YEAR($A294)-YEAR(Premissas!$C$16))*12+MONTH($A294)-MONTH(Premissas!$C$16)</f>
        <v>289</v>
      </c>
      <c r="D294" s="33" t="n">
        <f aca="false">IF($A294&gt;=Premissas!$C$20,Premissas!$C$31*IF(((YEAR($A294)-YEAR(Premissas!$C$20))*12+MONTH($A294)-MONTH(Premissas!$C$20))&lt;Premissas!$C$33,Premissas!$C$34,1),0)</f>
        <v>0.62</v>
      </c>
      <c r="E294" s="22" t="n">
        <f aca="false">D294*Premissas!$C$30*Premissas!$C$32*(1+Premissas!$C$58)^$C294</f>
        <v>11958.3852640528</v>
      </c>
      <c r="F294" s="22" t="n">
        <f aca="false">E294*Premissas!$C$35</f>
        <v>1913.34164224844</v>
      </c>
      <c r="G294" s="22" t="n">
        <f aca="false">E294*Premissas!$C$36</f>
        <v>2391.67705281055</v>
      </c>
      <c r="H294" s="22" t="n">
        <f aca="false">IF($A294&gt;=Premissas!$C$18,Premissas!$C$37*(1+Premissas!$C$58)^$C294,0)</f>
        <v>1543.01745342616</v>
      </c>
      <c r="I294" s="22" t="n">
        <f aca="false">IF($A294&gt;=Premissas!$C$20,Premissas!$C$38*(1+Premissas!$C$58)^$C294,0)</f>
        <v>720.074811598876</v>
      </c>
      <c r="J294" s="22" t="n">
        <f aca="false">IF($A294&gt;=Premissas!$C$20,Premissas!$C$39*(1+Premissas!$C$58)^$C294,0)</f>
        <v>385.75436335654</v>
      </c>
      <c r="K294" s="22" t="n">
        <f aca="false">IF($A294&gt;=Premissas!$C$20,MAX(0,E294-F294-G294-H294)*Premissas!$C$41,0)</f>
        <v>1680.34600678109</v>
      </c>
      <c r="L294" s="22" t="n">
        <f aca="false">E294-F294-G294-H294-I294-J294-K294</f>
        <v>3324.17393383109</v>
      </c>
      <c r="M294" s="22" t="n">
        <f aca="false">($A294=Premissas!$C$18)*Premissas!$C$26*Premissas!$C$60</f>
        <v>0</v>
      </c>
      <c r="N294" s="22" t="n">
        <f aca="false">IF(AND($A294&gt;=Premissas!$C$18,$A294&lt;Premissas!$C$20),Premissas!$C$27/MAX(1,Premissas!$C$19),0)</f>
        <v>0</v>
      </c>
      <c r="O294" s="22" t="n">
        <f aca="false">IF($A294&gt;=Premissas!$C$18,Premissas!$C$60*(1+Premissas!$C$59)^((YEAR($A294)-YEAR(Premissas!$C$18))*12+MONTH($A294)-MONTH(Premissas!$C$18)),"")</f>
        <v>1114710.33186932</v>
      </c>
      <c r="P294" s="31" t="n">
        <f aca="false">(1+IF(YEAR($A294)&lt;=2026,Premissas!$C$49,IF(YEAR($A294)=2027,Premissas!$C$50,IF(YEAR($A294)=2028,Premissas!$C$51,Premissas!$C$52)))*(1-Premissas!$C$53))^(1/12)-1</f>
        <v>0.00682149336596227</v>
      </c>
      <c r="Q294" s="22" t="n">
        <f aca="false">($A294=Premissas!$C$16)*Premissas!$C$13</f>
        <v>0</v>
      </c>
      <c r="R294" s="22" t="n">
        <f aca="false">L294-M294-N294-Q294</f>
        <v>3324.17393383109</v>
      </c>
      <c r="S294" s="22" t="n">
        <f aca="false">S293+R294</f>
        <v>249250.490806017</v>
      </c>
      <c r="T294" s="22" t="n">
        <f aca="false">IF($A294&gt;=Premissas!$C$18,O294*(1-Premissas!$C$45)-Premissas!$C$46*MAX(0,O294*(1-Premissas!$C$45)-(SUM($Q$5:$Q$355)+Premissas!$C$26*Premissas!$C$60)),"")</f>
        <v>930623.563510332</v>
      </c>
      <c r="U294" s="22" t="n">
        <f aca="false">IF($A294&gt;=Premissas!$C$18,S294+T294,"")</f>
        <v>1179874.05431635</v>
      </c>
      <c r="V294" s="22" t="n">
        <f aca="false">V293*(1+$P294)-R294</f>
        <v>875963.870774961</v>
      </c>
      <c r="W294" s="22" t="n">
        <f aca="false">($A294=Premissas!$C$16)*Premissas!$C$9</f>
        <v>0</v>
      </c>
      <c r="X294" s="22" t="n">
        <f aca="false">L294-M294-N294-W294</f>
        <v>3324.17393383109</v>
      </c>
      <c r="Y294" s="22" t="n">
        <f aca="false">Y293+X294</f>
        <v>218322.490806018</v>
      </c>
      <c r="Z294" s="22" t="n">
        <f aca="false">IF($A294&gt;=Premissas!$C$18,O294*(1-Premissas!$C$45)-Premissas!$C$46*MAX(0,O294*(1-Premissas!$C$45)-(SUM($W$5:$W$355)+Premissas!$C$26*Premissas!$C$60)),"")</f>
        <v>935262.763510332</v>
      </c>
      <c r="AA294" s="22" t="n">
        <f aca="false">IF($A294&gt;=Premissas!$C$18,Y294+Z294,"")</f>
        <v>1153585.25431635</v>
      </c>
      <c r="AB294" s="22" t="n">
        <f aca="false">AB293*(1+$P294)-X294</f>
        <v>1103821.73242741</v>
      </c>
      <c r="AC294" s="22" t="n">
        <f aca="false">AND($A294&gt;=Premissas!$C$16,$A294&lt;EDATE(Premissas!$C$16,3))*Premissas!$C$10/3*(1+Premissas!$C$56)^$C294</f>
        <v>0</v>
      </c>
      <c r="AD294" s="22" t="n">
        <f aca="false">L294-M294-N294-AC294</f>
        <v>3324.17393383109</v>
      </c>
      <c r="AE294" s="22" t="n">
        <f aca="false">AE293+AD294</f>
        <v>210702.026925993</v>
      </c>
      <c r="AF294" s="22" t="n">
        <f aca="false">IF($A294&gt;=Premissas!$C$18,O294*(1-Premissas!$C$45)-Premissas!$C$46*MAX(0,O294*(1-Premissas!$C$45)-(SUM($AC$5:$AC$355)+Premissas!$C$26*Premissas!$C$60)),"")</f>
        <v>936405.833092336</v>
      </c>
      <c r="AG294" s="22" t="n">
        <f aca="false">IF($A294&gt;=Premissas!$C$18,AE294+AF294,"")</f>
        <v>1147107.86001833</v>
      </c>
      <c r="AH294" s="22" t="n">
        <f aca="false">AH293*(1+$P294)-AD294</f>
        <v>1140142.09977932</v>
      </c>
      <c r="AI294" s="22" t="n">
        <f aca="false">($A294=Premissas!$C$16)*0.2*Premissas!$C$11+AND($A294&gt;Premissas!$C$16,$A294&lt;=EDATE(Premissas!$C$16,43))*0.8*Premissas!$C$11/43*(1+Premissas!$C$56)^$C294</f>
        <v>0</v>
      </c>
      <c r="AJ294" s="22" t="n">
        <f aca="false">L294-M294-N294-AI294</f>
        <v>3324.17393383109</v>
      </c>
      <c r="AK294" s="22" t="n">
        <f aca="false">AK293+AJ294</f>
        <v>164837.541507931</v>
      </c>
      <c r="AL294" s="22" t="n">
        <f aca="false">IF($A294&gt;=Premissas!$C$18,O294*(1-Premissas!$C$45)-Premissas!$C$46*MAX(0,O294*(1-Premissas!$C$45)-(SUM($AI$5:$AI$355)+Premissas!$C$26*Premissas!$C$60)),"")</f>
        <v>943285.505905045</v>
      </c>
      <c r="AM294" s="22" t="n">
        <f aca="false">IF($A294&gt;=Premissas!$C$18,AK294+AL294,"")</f>
        <v>1108123.04741298</v>
      </c>
      <c r="AN294" s="22" t="n">
        <f aca="false">AN293*(1+$P294)-AJ294</f>
        <v>1174031.08191271</v>
      </c>
      <c r="AO294" s="22" t="n">
        <f aca="false">V294+S294</f>
        <v>1125214.36158098</v>
      </c>
    </row>
    <row r="295" customFormat="false" ht="15" hidden="false" customHeight="false" outlineLevel="0" collapsed="false">
      <c r="A295" s="26" t="n">
        <f aca="false">DATE(YEAR(A294),MONTH(A294)+1,1)</f>
        <v>55123</v>
      </c>
      <c r="B295" s="22" t="str">
        <f aca="false">IF($A295&lt;Premissas!$C$18,"Obra",IF($A295&lt;Premissas!$C$20,"Entrega/mobília","Airbnb"))</f>
        <v>Airbnb</v>
      </c>
      <c r="C295" s="36" t="n">
        <f aca="false">(YEAR($A295)-YEAR(Premissas!$C$16))*12+MONTH($A295)-MONTH(Premissas!$C$16)</f>
        <v>290</v>
      </c>
      <c r="D295" s="33" t="n">
        <f aca="false">IF($A295&gt;=Premissas!$C$20,Premissas!$C$31*IF(((YEAR($A295)-YEAR(Premissas!$C$20))*12+MONTH($A295)-MONTH(Premissas!$C$20))&lt;Premissas!$C$33,Premissas!$C$34,1),0)</f>
        <v>0.62</v>
      </c>
      <c r="E295" s="22" t="n">
        <f aca="false">D295*Premissas!$C$30*Premissas!$C$32*(1+Premissas!$C$58)^$C295</f>
        <v>11997.5339056225</v>
      </c>
      <c r="F295" s="22" t="n">
        <f aca="false">E295*Premissas!$C$35</f>
        <v>1919.60542489961</v>
      </c>
      <c r="G295" s="22" t="n">
        <f aca="false">E295*Premissas!$C$36</f>
        <v>2399.50678112451</v>
      </c>
      <c r="H295" s="22" t="n">
        <f aca="false">IF($A295&gt;=Premissas!$C$18,Premissas!$C$37*(1+Premissas!$C$58)^$C295,0)</f>
        <v>1548.06889104807</v>
      </c>
      <c r="I295" s="22" t="n">
        <f aca="false">IF($A295&gt;=Premissas!$C$20,Premissas!$C$38*(1+Premissas!$C$58)^$C295,0)</f>
        <v>722.432149155766</v>
      </c>
      <c r="J295" s="22" t="n">
        <f aca="false">IF($A295&gt;=Premissas!$C$20,Premissas!$C$39*(1+Premissas!$C$58)^$C295,0)</f>
        <v>387.017222762018</v>
      </c>
      <c r="K295" s="22" t="n">
        <f aca="false">IF($A295&gt;=Premissas!$C$20,MAX(0,E295-F295-G295-H295)*Premissas!$C$41,0)</f>
        <v>1685.84702235135</v>
      </c>
      <c r="L295" s="22" t="n">
        <f aca="false">E295-F295-G295-H295-I295-J295-K295</f>
        <v>3335.05641428123</v>
      </c>
      <c r="M295" s="22" t="n">
        <f aca="false">($A295=Premissas!$C$18)*Premissas!$C$26*Premissas!$C$60</f>
        <v>0</v>
      </c>
      <c r="N295" s="22" t="n">
        <f aca="false">IF(AND($A295&gt;=Premissas!$C$18,$A295&lt;Premissas!$C$20),Premissas!$C$27/MAX(1,Premissas!$C$19),0)</f>
        <v>0</v>
      </c>
      <c r="O295" s="22" t="n">
        <f aca="false">IF($A295&gt;=Premissas!$C$18,Premissas!$C$60*(1+Premissas!$C$59)^((YEAR($A295)-YEAR(Premissas!$C$18))*12+MONTH($A295)-MONTH(Premissas!$C$18)),"")</f>
        <v>1119251.79974427</v>
      </c>
      <c r="P295" s="31" t="n">
        <f aca="false">(1+IF(YEAR($A295)&lt;=2026,Premissas!$C$49,IF(YEAR($A295)=2027,Premissas!$C$50,IF(YEAR($A295)=2028,Premissas!$C$51,Premissas!$C$52)))*(1-Premissas!$C$53))^(1/12)-1</f>
        <v>0.00682149336596227</v>
      </c>
      <c r="Q295" s="22" t="n">
        <f aca="false">($A295=Premissas!$C$16)*Premissas!$C$13</f>
        <v>0</v>
      </c>
      <c r="R295" s="22" t="n">
        <f aca="false">L295-M295-N295-Q295</f>
        <v>3335.05641428123</v>
      </c>
      <c r="S295" s="22" t="n">
        <f aca="false">S294+R295</f>
        <v>252585.547220299</v>
      </c>
      <c r="T295" s="22" t="n">
        <f aca="false">IF($A295&gt;=Premissas!$C$18,O295*(1-Premissas!$C$45)-Premissas!$C$46*MAX(0,O295*(1-Premissas!$C$45)-(SUM($Q$5:$Q$355)+Premissas!$C$26*Premissas!$C$60)),"")</f>
        <v>934252.196342415</v>
      </c>
      <c r="U295" s="22" t="n">
        <f aca="false">IF($A295&gt;=Premissas!$C$18,S295+T295,"")</f>
        <v>1186837.74356271</v>
      </c>
      <c r="V295" s="22" t="n">
        <f aca="false">V294*(1+$P295)-R295</f>
        <v>878604.196093994</v>
      </c>
      <c r="W295" s="22" t="n">
        <f aca="false">($A295=Premissas!$C$16)*Premissas!$C$9</f>
        <v>0</v>
      </c>
      <c r="X295" s="22" t="n">
        <f aca="false">L295-M295-N295-W295</f>
        <v>3335.05641428123</v>
      </c>
      <c r="Y295" s="22" t="n">
        <f aca="false">Y294+X295</f>
        <v>221657.547220299</v>
      </c>
      <c r="Z295" s="22" t="n">
        <f aca="false">IF($A295&gt;=Premissas!$C$18,O295*(1-Premissas!$C$45)-Premissas!$C$46*MAX(0,O295*(1-Premissas!$C$45)-(SUM($W$5:$W$355)+Premissas!$C$26*Premissas!$C$60)),"")</f>
        <v>938891.396342415</v>
      </c>
      <c r="AA295" s="22" t="n">
        <f aca="false">IF($A295&gt;=Premissas!$C$18,Y295+Z295,"")</f>
        <v>1160548.94356271</v>
      </c>
      <c r="AB295" s="22" t="n">
        <f aca="false">AB294*(1+$P295)-X295</f>
        <v>1108016.38863809</v>
      </c>
      <c r="AC295" s="22" t="n">
        <f aca="false">AND($A295&gt;=Premissas!$C$16,$A295&lt;EDATE(Premissas!$C$16,3))*Premissas!$C$10/3*(1+Premissas!$C$56)^$C295</f>
        <v>0</v>
      </c>
      <c r="AD295" s="22" t="n">
        <f aca="false">L295-M295-N295-AC295</f>
        <v>3335.05641428123</v>
      </c>
      <c r="AE295" s="22" t="n">
        <f aca="false">AE294+AD295</f>
        <v>214037.083340274</v>
      </c>
      <c r="AF295" s="22" t="n">
        <f aca="false">IF($A295&gt;=Premissas!$C$18,O295*(1-Premissas!$C$45)-Premissas!$C$46*MAX(0,O295*(1-Premissas!$C$45)-(SUM($AC$5:$AC$355)+Premissas!$C$26*Premissas!$C$60)),"")</f>
        <v>940034.465924419</v>
      </c>
      <c r="AG295" s="22" t="n">
        <f aca="false">IF($A295&gt;=Premissas!$C$18,AE295+AF295,"")</f>
        <v>1154071.54926469</v>
      </c>
      <c r="AH295" s="22" t="n">
        <f aca="false">AH294*(1+$P295)-AD295</f>
        <v>1144584.51513493</v>
      </c>
      <c r="AI295" s="22" t="n">
        <f aca="false">($A295=Premissas!$C$16)*0.2*Premissas!$C$11+AND($A295&gt;Premissas!$C$16,$A295&lt;=EDATE(Premissas!$C$16,43))*0.8*Premissas!$C$11/43*(1+Premissas!$C$56)^$C295</f>
        <v>0</v>
      </c>
      <c r="AJ295" s="22" t="n">
        <f aca="false">L295-M295-N295-AI295</f>
        <v>3335.05641428123</v>
      </c>
      <c r="AK295" s="22" t="n">
        <f aca="false">AK294+AJ295</f>
        <v>168172.597922212</v>
      </c>
      <c r="AL295" s="22" t="n">
        <f aca="false">IF($A295&gt;=Premissas!$C$18,O295*(1-Premissas!$C$45)-Premissas!$C$46*MAX(0,O295*(1-Premissas!$C$45)-(SUM($AI$5:$AI$355)+Premissas!$C$26*Premissas!$C$60)),"")</f>
        <v>946914.138737128</v>
      </c>
      <c r="AM295" s="22" t="n">
        <f aca="false">IF($A295&gt;=Premissas!$C$18,AK295+AL295,"")</f>
        <v>1115086.73665934</v>
      </c>
      <c r="AN295" s="22" t="n">
        <f aca="false">AN294*(1+$P295)-AJ295</f>
        <v>1178704.67073513</v>
      </c>
      <c r="AO295" s="22" t="n">
        <f aca="false">V295+S295</f>
        <v>1131189.74331429</v>
      </c>
    </row>
    <row r="296" customFormat="false" ht="15" hidden="false" customHeight="false" outlineLevel="0" collapsed="false">
      <c r="A296" s="26" t="n">
        <f aca="false">DATE(YEAR(A295),MONTH(A295)+1,1)</f>
        <v>55154</v>
      </c>
      <c r="B296" s="22" t="str">
        <f aca="false">IF($A296&lt;Premissas!$C$18,"Obra",IF($A296&lt;Premissas!$C$20,"Entrega/mobília","Airbnb"))</f>
        <v>Airbnb</v>
      </c>
      <c r="C296" s="36" t="n">
        <f aca="false">(YEAR($A296)-YEAR(Premissas!$C$16))*12+MONTH($A296)-MONTH(Premissas!$C$16)</f>
        <v>291</v>
      </c>
      <c r="D296" s="33" t="n">
        <f aca="false">IF($A296&gt;=Premissas!$C$20,Premissas!$C$31*IF(((YEAR($A296)-YEAR(Premissas!$C$20))*12+MONTH($A296)-MONTH(Premissas!$C$20))&lt;Premissas!$C$33,Premissas!$C$34,1),0)</f>
        <v>0.62</v>
      </c>
      <c r="E296" s="22" t="n">
        <f aca="false">D296*Premissas!$C$30*Premissas!$C$32*(1+Premissas!$C$58)^$C296</f>
        <v>12036.8107096577</v>
      </c>
      <c r="F296" s="22" t="n">
        <f aca="false">E296*Premissas!$C$35</f>
        <v>1925.88971354523</v>
      </c>
      <c r="G296" s="22" t="n">
        <f aca="false">E296*Premissas!$C$36</f>
        <v>2407.36214193153</v>
      </c>
      <c r="H296" s="22" t="n">
        <f aca="false">IF($A296&gt;=Premissas!$C$18,Premissas!$C$37*(1+Premissas!$C$58)^$C296,0)</f>
        <v>1553.13686576228</v>
      </c>
      <c r="I296" s="22" t="n">
        <f aca="false">IF($A296&gt;=Premissas!$C$20,Premissas!$C$38*(1+Premissas!$C$58)^$C296,0)</f>
        <v>724.797204022397</v>
      </c>
      <c r="J296" s="22" t="n">
        <f aca="false">IF($A296&gt;=Premissas!$C$20,Premissas!$C$39*(1+Premissas!$C$58)^$C296,0)</f>
        <v>388.28421644057</v>
      </c>
      <c r="K296" s="22" t="n">
        <f aca="false">IF($A296&gt;=Premissas!$C$20,MAX(0,E296-F296-G296-H296)*Premissas!$C$41,0)</f>
        <v>1691.36604681512</v>
      </c>
      <c r="L296" s="22" t="n">
        <f aca="false">E296-F296-G296-H296-I296-J296-K296</f>
        <v>3345.97452114053</v>
      </c>
      <c r="M296" s="22" t="n">
        <f aca="false">($A296=Premissas!$C$18)*Premissas!$C$26*Premissas!$C$60</f>
        <v>0</v>
      </c>
      <c r="N296" s="22" t="n">
        <f aca="false">IF(AND($A296&gt;=Premissas!$C$18,$A296&lt;Premissas!$C$20),Premissas!$C$27/MAX(1,Premissas!$C$19),0)</f>
        <v>0</v>
      </c>
      <c r="O296" s="22" t="n">
        <f aca="false">IF($A296&gt;=Premissas!$C$18,Premissas!$C$60*(1+Premissas!$C$59)^((YEAR($A296)-YEAR(Premissas!$C$18))*12+MONTH($A296)-MONTH(Premissas!$C$18)),"")</f>
        <v>1123811.7701215</v>
      </c>
      <c r="P296" s="31" t="n">
        <f aca="false">(1+IF(YEAR($A296)&lt;=2026,Premissas!$C$49,IF(YEAR($A296)=2027,Premissas!$C$50,IF(YEAR($A296)=2028,Premissas!$C$51,Premissas!$C$52)))*(1-Premissas!$C$53))^(1/12)-1</f>
        <v>0.00682149336596227</v>
      </c>
      <c r="Q296" s="22" t="n">
        <f aca="false">($A296=Premissas!$C$16)*Premissas!$C$13</f>
        <v>0</v>
      </c>
      <c r="R296" s="22" t="n">
        <f aca="false">L296-M296-N296-Q296</f>
        <v>3345.97452114053</v>
      </c>
      <c r="S296" s="22" t="n">
        <f aca="false">S295+R296</f>
        <v>255931.521741439</v>
      </c>
      <c r="T296" s="22" t="n">
        <f aca="false">IF($A296&gt;=Premissas!$C$18,O296*(1-Premissas!$C$45)-Premissas!$C$46*MAX(0,O296*(1-Premissas!$C$45)-(SUM($Q$5:$Q$355)+Premissas!$C$26*Premissas!$C$60)),"")</f>
        <v>937895.612673822</v>
      </c>
      <c r="U296" s="22" t="n">
        <f aca="false">IF($A296&gt;=Premissas!$C$18,S296+T296,"")</f>
        <v>1193827.13441526</v>
      </c>
      <c r="V296" s="22" t="n">
        <f aca="false">V295*(1+$P296)-R296</f>
        <v>881251.614267815</v>
      </c>
      <c r="W296" s="22" t="n">
        <f aca="false">($A296=Premissas!$C$16)*Premissas!$C$9</f>
        <v>0</v>
      </c>
      <c r="X296" s="22" t="n">
        <f aca="false">L296-M296-N296-W296</f>
        <v>3345.97452114053</v>
      </c>
      <c r="Y296" s="22" t="n">
        <f aca="false">Y295+X296</f>
        <v>225003.521741439</v>
      </c>
      <c r="Z296" s="22" t="n">
        <f aca="false">IF($A296&gt;=Premissas!$C$18,O296*(1-Premissas!$C$45)-Premissas!$C$46*MAX(0,O296*(1-Premissas!$C$45)-(SUM($W$5:$W$355)+Premissas!$C$26*Premissas!$C$60)),"")</f>
        <v>942534.812673822</v>
      </c>
      <c r="AA296" s="22" t="n">
        <f aca="false">IF($A296&gt;=Premissas!$C$18,Y296+Z296,"")</f>
        <v>1167538.33441526</v>
      </c>
      <c r="AB296" s="22" t="n">
        <f aca="false">AB295*(1+$P296)-X296</f>
        <v>1112228.74056142</v>
      </c>
      <c r="AC296" s="22" t="n">
        <f aca="false">AND($A296&gt;=Premissas!$C$16,$A296&lt;EDATE(Premissas!$C$16,3))*Premissas!$C$10/3*(1+Premissas!$C$56)^$C296</f>
        <v>0</v>
      </c>
      <c r="AD296" s="22" t="n">
        <f aca="false">L296-M296-N296-AC296</f>
        <v>3345.97452114053</v>
      </c>
      <c r="AE296" s="22" t="n">
        <f aca="false">AE295+AD296</f>
        <v>217383.057861414</v>
      </c>
      <c r="AF296" s="22" t="n">
        <f aca="false">IF($A296&gt;=Premissas!$C$18,O296*(1-Premissas!$C$45)-Premissas!$C$46*MAX(0,O296*(1-Premissas!$C$45)-(SUM($AC$5:$AC$355)+Premissas!$C$26*Premissas!$C$60)),"")</f>
        <v>943677.882255825</v>
      </c>
      <c r="AG296" s="22" t="n">
        <f aca="false">IF($A296&gt;=Premissas!$C$18,AE296+AF296,"")</f>
        <v>1161060.94011724</v>
      </c>
      <c r="AH296" s="22" t="n">
        <f aca="false">AH295*(1+$P296)-AD296</f>
        <v>1149046.31629057</v>
      </c>
      <c r="AI296" s="22" t="n">
        <f aca="false">($A296=Premissas!$C$16)*0.2*Premissas!$C$11+AND($A296&gt;Premissas!$C$16,$A296&lt;=EDATE(Premissas!$C$16,43))*0.8*Premissas!$C$11/43*(1+Premissas!$C$56)^$C296</f>
        <v>0</v>
      </c>
      <c r="AJ296" s="22" t="n">
        <f aca="false">L296-M296-N296-AI296</f>
        <v>3345.97452114053</v>
      </c>
      <c r="AK296" s="22" t="n">
        <f aca="false">AK295+AJ296</f>
        <v>171518.572443353</v>
      </c>
      <c r="AL296" s="22" t="n">
        <f aca="false">IF($A296&gt;=Premissas!$C$18,O296*(1-Premissas!$C$45)-Premissas!$C$46*MAX(0,O296*(1-Premissas!$C$45)-(SUM($AI$5:$AI$355)+Premissas!$C$26*Premissas!$C$60)),"")</f>
        <v>950557.555068535</v>
      </c>
      <c r="AM296" s="22" t="n">
        <f aca="false">IF($A296&gt;=Premissas!$C$18,AK296+AL296,"")</f>
        <v>1122076.12751189</v>
      </c>
      <c r="AN296" s="22" t="n">
        <f aca="false">AN295*(1+$P296)-AJ296</f>
        <v>1183399.22230584</v>
      </c>
      <c r="AO296" s="22" t="n">
        <f aca="false">V296+S296</f>
        <v>1137183.13600925</v>
      </c>
    </row>
    <row r="297" customFormat="false" ht="15" hidden="false" customHeight="false" outlineLevel="0" collapsed="false">
      <c r="A297" s="26" t="n">
        <f aca="false">DATE(YEAR(A296),MONTH(A296)+1,1)</f>
        <v>55185</v>
      </c>
      <c r="B297" s="22" t="str">
        <f aca="false">IF($A297&lt;Premissas!$C$18,"Obra",IF($A297&lt;Premissas!$C$20,"Entrega/mobília","Airbnb"))</f>
        <v>Airbnb</v>
      </c>
      <c r="C297" s="36" t="n">
        <f aca="false">(YEAR($A297)-YEAR(Premissas!$C$16))*12+MONTH($A297)-MONTH(Premissas!$C$16)</f>
        <v>292</v>
      </c>
      <c r="D297" s="33" t="n">
        <f aca="false">IF($A297&gt;=Premissas!$C$20,Premissas!$C$31*IF(((YEAR($A297)-YEAR(Premissas!$C$20))*12+MONTH($A297)-MONTH(Premissas!$C$20))&lt;Premissas!$C$33,Premissas!$C$34,1),0)</f>
        <v>0.62</v>
      </c>
      <c r="E297" s="22" t="n">
        <f aca="false">D297*Premissas!$C$30*Premissas!$C$32*(1+Premissas!$C$58)^$C297</f>
        <v>12076.2160957287</v>
      </c>
      <c r="F297" s="22" t="n">
        <f aca="false">E297*Premissas!$C$35</f>
        <v>1932.19457531659</v>
      </c>
      <c r="G297" s="22" t="n">
        <f aca="false">E297*Premissas!$C$36</f>
        <v>2415.24321914573</v>
      </c>
      <c r="H297" s="22" t="n">
        <f aca="false">IF($A297&gt;=Premissas!$C$18,Premissas!$C$37*(1+Premissas!$C$58)^$C297,0)</f>
        <v>1558.22143170692</v>
      </c>
      <c r="I297" s="22" t="n">
        <f aca="false">IF($A297&gt;=Premissas!$C$20,Premissas!$C$38*(1+Premissas!$C$58)^$C297,0)</f>
        <v>727.170001463232</v>
      </c>
      <c r="J297" s="22" t="n">
        <f aca="false">IF($A297&gt;=Premissas!$C$20,Premissas!$C$39*(1+Premissas!$C$58)^$C297,0)</f>
        <v>389.555357926731</v>
      </c>
      <c r="K297" s="22" t="n">
        <f aca="false">IF($A297&gt;=Premissas!$C$20,MAX(0,E297-F297-G297-H297)*Premissas!$C$41,0)</f>
        <v>1696.90313912884</v>
      </c>
      <c r="L297" s="22" t="n">
        <f aca="false">E297-F297-G297-H297-I297-J297-K297</f>
        <v>3356.92837104062</v>
      </c>
      <c r="M297" s="22" t="n">
        <f aca="false">($A297=Premissas!$C$18)*Premissas!$C$26*Premissas!$C$60</f>
        <v>0</v>
      </c>
      <c r="N297" s="22" t="n">
        <f aca="false">IF(AND($A297&gt;=Premissas!$C$18,$A297&lt;Premissas!$C$20),Premissas!$C$27/MAX(1,Premissas!$C$19),0)</f>
        <v>0</v>
      </c>
      <c r="O297" s="22" t="n">
        <f aca="false">IF($A297&gt;=Premissas!$C$18,Premissas!$C$60*(1+Premissas!$C$59)^((YEAR($A297)-YEAR(Premissas!$C$18))*12+MONTH($A297)-MONTH(Premissas!$C$18)),"")</f>
        <v>1128390.31838249</v>
      </c>
      <c r="P297" s="31" t="n">
        <f aca="false">(1+IF(YEAR($A297)&lt;=2026,Premissas!$C$49,IF(YEAR($A297)=2027,Premissas!$C$50,IF(YEAR($A297)=2028,Premissas!$C$51,Premissas!$C$52)))*(1-Premissas!$C$53))^(1/12)-1</f>
        <v>0.00682149336596227</v>
      </c>
      <c r="Q297" s="22" t="n">
        <f aca="false">($A297=Premissas!$C$16)*Premissas!$C$13</f>
        <v>0</v>
      </c>
      <c r="R297" s="22" t="n">
        <f aca="false">L297-M297-N297-Q297</f>
        <v>3356.92837104062</v>
      </c>
      <c r="S297" s="22" t="n">
        <f aca="false">S296+R297</f>
        <v>259288.45011248</v>
      </c>
      <c r="T297" s="22" t="n">
        <f aca="false">IF($A297&gt;=Premissas!$C$18,O297*(1-Premissas!$C$45)-Premissas!$C$46*MAX(0,O297*(1-Premissas!$C$45)-(SUM($Q$5:$Q$355)+Premissas!$C$26*Premissas!$C$60)),"")</f>
        <v>941553.872734357</v>
      </c>
      <c r="U297" s="22" t="n">
        <f aca="false">IF($A297&gt;=Premissas!$C$18,S297+T297,"")</f>
        <v>1200842.32284684</v>
      </c>
      <c r="V297" s="22" t="n">
        <f aca="false">V296*(1+$P297)-R297</f>
        <v>883906.137937246</v>
      </c>
      <c r="W297" s="22" t="n">
        <f aca="false">($A297=Premissas!$C$16)*Premissas!$C$9</f>
        <v>0</v>
      </c>
      <c r="X297" s="22" t="n">
        <f aca="false">L297-M297-N297-W297</f>
        <v>3356.92837104062</v>
      </c>
      <c r="Y297" s="22" t="n">
        <f aca="false">Y296+X297</f>
        <v>228360.45011248</v>
      </c>
      <c r="Z297" s="22" t="n">
        <f aca="false">IF($A297&gt;=Premissas!$C$18,O297*(1-Premissas!$C$45)-Premissas!$C$46*MAX(0,O297*(1-Premissas!$C$45)-(SUM($W$5:$W$355)+Premissas!$C$26*Premissas!$C$60)),"")</f>
        <v>946193.072734357</v>
      </c>
      <c r="AA297" s="22" t="n">
        <f aca="false">IF($A297&gt;=Premissas!$C$18,Y297+Z297,"")</f>
        <v>1174553.52284684</v>
      </c>
      <c r="AB297" s="22" t="n">
        <f aca="false">AB296*(1+$P297)-X297</f>
        <v>1116458.87316555</v>
      </c>
      <c r="AC297" s="22" t="n">
        <f aca="false">AND($A297&gt;=Premissas!$C$16,$A297&lt;EDATE(Premissas!$C$16,3))*Premissas!$C$10/3*(1+Premissas!$C$56)^$C297</f>
        <v>0</v>
      </c>
      <c r="AD297" s="22" t="n">
        <f aca="false">L297-M297-N297-AC297</f>
        <v>3356.92837104062</v>
      </c>
      <c r="AE297" s="22" t="n">
        <f aca="false">AE296+AD297</f>
        <v>220739.986232455</v>
      </c>
      <c r="AF297" s="22" t="n">
        <f aca="false">IF($A297&gt;=Premissas!$C$18,O297*(1-Premissas!$C$45)-Premissas!$C$46*MAX(0,O297*(1-Premissas!$C$45)-(SUM($AC$5:$AC$355)+Premissas!$C$26*Premissas!$C$60)),"")</f>
        <v>947336.142316361</v>
      </c>
      <c r="AG297" s="22" t="n">
        <f aca="false">IF($A297&gt;=Premissas!$C$18,AE297+AF297,"")</f>
        <v>1168076.12854882</v>
      </c>
      <c r="AH297" s="22" t="n">
        <f aca="false">AH296*(1+$P297)-AD297</f>
        <v>1153527.59974329</v>
      </c>
      <c r="AI297" s="22" t="n">
        <f aca="false">($A297=Premissas!$C$16)*0.2*Premissas!$C$11+AND($A297&gt;Premissas!$C$16,$A297&lt;=EDATE(Premissas!$C$16,43))*0.8*Premissas!$C$11/43*(1+Premissas!$C$56)^$C297</f>
        <v>0</v>
      </c>
      <c r="AJ297" s="22" t="n">
        <f aca="false">L297-M297-N297-AI297</f>
        <v>3356.92837104062</v>
      </c>
      <c r="AK297" s="22" t="n">
        <f aca="false">AK296+AJ297</f>
        <v>174875.500814393</v>
      </c>
      <c r="AL297" s="22" t="n">
        <f aca="false">IF($A297&gt;=Premissas!$C$18,O297*(1-Premissas!$C$45)-Premissas!$C$46*MAX(0,O297*(1-Premissas!$C$45)-(SUM($AI$5:$AI$355)+Premissas!$C$26*Premissas!$C$60)),"")</f>
        <v>954215.81512907</v>
      </c>
      <c r="AM297" s="22" t="n">
        <f aca="false">IF($A297&gt;=Premissas!$C$18,AK297+AL297,"")</f>
        <v>1129091.31594346</v>
      </c>
      <c r="AN297" s="22" t="n">
        <f aca="false">AN296*(1+$P297)-AJ297</f>
        <v>1188114.84387904</v>
      </c>
      <c r="AO297" s="22" t="n">
        <f aca="false">V297+S297</f>
        <v>1143194.58804973</v>
      </c>
    </row>
    <row r="298" customFormat="false" ht="15" hidden="false" customHeight="false" outlineLevel="0" collapsed="false">
      <c r="A298" s="26" t="n">
        <f aca="false">DATE(YEAR(A297),MONTH(A297)+1,1)</f>
        <v>55213</v>
      </c>
      <c r="B298" s="22" t="str">
        <f aca="false">IF($A298&lt;Premissas!$C$18,"Obra",IF($A298&lt;Premissas!$C$20,"Entrega/mobília","Airbnb"))</f>
        <v>Airbnb</v>
      </c>
      <c r="C298" s="36" t="n">
        <f aca="false">(YEAR($A298)-YEAR(Premissas!$C$16))*12+MONTH($A298)-MONTH(Premissas!$C$16)</f>
        <v>293</v>
      </c>
      <c r="D298" s="33" t="n">
        <f aca="false">IF($A298&gt;=Premissas!$C$20,Premissas!$C$31*IF(((YEAR($A298)-YEAR(Premissas!$C$20))*12+MONTH($A298)-MONTH(Premissas!$C$20))&lt;Premissas!$C$33,Premissas!$C$34,1),0)</f>
        <v>0.62</v>
      </c>
      <c r="E298" s="22" t="n">
        <f aca="false">D298*Premissas!$C$30*Premissas!$C$32*(1+Premissas!$C$58)^$C298</f>
        <v>12115.7504847797</v>
      </c>
      <c r="F298" s="22" t="n">
        <f aca="false">E298*Premissas!$C$35</f>
        <v>1938.52007756475</v>
      </c>
      <c r="G298" s="22" t="n">
        <f aca="false">E298*Premissas!$C$36</f>
        <v>2423.15009695594</v>
      </c>
      <c r="H298" s="22" t="n">
        <f aca="false">IF($A298&gt;=Premissas!$C$18,Premissas!$C$37*(1+Premissas!$C$58)^$C298,0)</f>
        <v>1563.32264319738</v>
      </c>
      <c r="I298" s="22" t="n">
        <f aca="false">IF($A298&gt;=Premissas!$C$20,Premissas!$C$38*(1+Premissas!$C$58)^$C298,0)</f>
        <v>729.550566825443</v>
      </c>
      <c r="J298" s="22" t="n">
        <f aca="false">IF($A298&gt;=Premissas!$C$20,Premissas!$C$39*(1+Premissas!$C$58)^$C298,0)</f>
        <v>390.830660799345</v>
      </c>
      <c r="K298" s="22" t="n">
        <f aca="false">IF($A298&gt;=Premissas!$C$20,MAX(0,E298-F298-G298-H298)*Premissas!$C$41,0)</f>
        <v>1702.45835844195</v>
      </c>
      <c r="L298" s="22" t="n">
        <f aca="false">E298-F298-G298-H298-I298-J298-K298</f>
        <v>3367.91808099489</v>
      </c>
      <c r="M298" s="22" t="n">
        <f aca="false">($A298=Premissas!$C$18)*Premissas!$C$26*Premissas!$C$60</f>
        <v>0</v>
      </c>
      <c r="N298" s="22" t="n">
        <f aca="false">IF(AND($A298&gt;=Premissas!$C$18,$A298&lt;Premissas!$C$20),Premissas!$C$27/MAX(1,Premissas!$C$19),0)</f>
        <v>0</v>
      </c>
      <c r="O298" s="22" t="n">
        <f aca="false">IF($A298&gt;=Premissas!$C$18,Premissas!$C$60*(1+Premissas!$C$59)^((YEAR($A298)-YEAR(Premissas!$C$18))*12+MONTH($A298)-MONTH(Premissas!$C$18)),"")</f>
        <v>1132987.52021585</v>
      </c>
      <c r="P298" s="31" t="n">
        <f aca="false">(1+IF(YEAR($A298)&lt;=2026,Premissas!$C$49,IF(YEAR($A298)=2027,Premissas!$C$50,IF(YEAR($A298)=2028,Premissas!$C$51,Premissas!$C$52)))*(1-Premissas!$C$53))^(1/12)-1</f>
        <v>0.00682149336596227</v>
      </c>
      <c r="Q298" s="22" t="n">
        <f aca="false">($A298=Premissas!$C$16)*Premissas!$C$13</f>
        <v>0</v>
      </c>
      <c r="R298" s="22" t="n">
        <f aca="false">L298-M298-N298-Q298</f>
        <v>3367.91808099489</v>
      </c>
      <c r="S298" s="22" t="n">
        <f aca="false">S297+R298</f>
        <v>262656.368193475</v>
      </c>
      <c r="T298" s="22" t="n">
        <f aca="false">IF($A298&gt;=Premissas!$C$18,O298*(1-Premissas!$C$45)-Premissas!$C$46*MAX(0,O298*(1-Premissas!$C$45)-(SUM($Q$5:$Q$355)+Premissas!$C$26*Premissas!$C$60)),"")</f>
        <v>945227.036999212</v>
      </c>
      <c r="U298" s="22" t="n">
        <f aca="false">IF($A298&gt;=Premissas!$C$18,S298+T298,"")</f>
        <v>1207883.40519269</v>
      </c>
      <c r="V298" s="22" t="n">
        <f aca="false">V297*(1+$P298)-R298</f>
        <v>886567.779712324</v>
      </c>
      <c r="W298" s="22" t="n">
        <f aca="false">($A298=Premissas!$C$16)*Premissas!$C$9</f>
        <v>0</v>
      </c>
      <c r="X298" s="22" t="n">
        <f aca="false">L298-M298-N298-W298</f>
        <v>3367.91808099489</v>
      </c>
      <c r="Y298" s="22" t="n">
        <f aca="false">Y297+X298</f>
        <v>231728.368193475</v>
      </c>
      <c r="Z298" s="22" t="n">
        <f aca="false">IF($A298&gt;=Premissas!$C$18,O298*(1-Premissas!$C$45)-Premissas!$C$46*MAX(0,O298*(1-Premissas!$C$45)-(SUM($W$5:$W$355)+Premissas!$C$26*Premissas!$C$60)),"")</f>
        <v>949866.236999212</v>
      </c>
      <c r="AA298" s="22" t="n">
        <f aca="false">IF($A298&gt;=Premissas!$C$18,Y298+Z298,"")</f>
        <v>1181594.60519269</v>
      </c>
      <c r="AB298" s="22" t="n">
        <f aca="false">AB297*(1+$P298)-X298</f>
        <v>1120706.87188123</v>
      </c>
      <c r="AC298" s="22" t="n">
        <f aca="false">AND($A298&gt;=Premissas!$C$16,$A298&lt;EDATE(Premissas!$C$16,3))*Premissas!$C$10/3*(1+Premissas!$C$56)^$C298</f>
        <v>0</v>
      </c>
      <c r="AD298" s="22" t="n">
        <f aca="false">L298-M298-N298-AC298</f>
        <v>3367.91808099489</v>
      </c>
      <c r="AE298" s="22" t="n">
        <f aca="false">AE297+AD298</f>
        <v>224107.90431345</v>
      </c>
      <c r="AF298" s="22" t="n">
        <f aca="false">IF($A298&gt;=Premissas!$C$18,O298*(1-Premissas!$C$45)-Premissas!$C$46*MAX(0,O298*(1-Premissas!$C$45)-(SUM($AC$5:$AC$355)+Premissas!$C$26*Premissas!$C$60)),"")</f>
        <v>951009.306581216</v>
      </c>
      <c r="AG298" s="22" t="n">
        <f aca="false">IF($A298&gt;=Premissas!$C$18,AE298+AF298,"")</f>
        <v>1175117.21089467</v>
      </c>
      <c r="AH298" s="22" t="n">
        <f aca="false">AH297*(1+$P298)-AD298</f>
        <v>1158028.4625314</v>
      </c>
      <c r="AI298" s="22" t="n">
        <f aca="false">($A298=Premissas!$C$16)*0.2*Premissas!$C$11+AND($A298&gt;Premissas!$C$16,$A298&lt;=EDATE(Premissas!$C$16,43))*0.8*Premissas!$C$11/43*(1+Premissas!$C$56)^$C298</f>
        <v>0</v>
      </c>
      <c r="AJ298" s="22" t="n">
        <f aca="false">L298-M298-N298-AI298</f>
        <v>3367.91808099489</v>
      </c>
      <c r="AK298" s="22" t="n">
        <f aca="false">AK297+AJ298</f>
        <v>178243.418895388</v>
      </c>
      <c r="AL298" s="22" t="n">
        <f aca="false">IF($A298&gt;=Premissas!$C$18,O298*(1-Premissas!$C$45)-Premissas!$C$46*MAX(0,O298*(1-Premissas!$C$45)-(SUM($AI$5:$AI$355)+Premissas!$C$26*Premissas!$C$60)),"")</f>
        <v>957888.979393925</v>
      </c>
      <c r="AM298" s="22" t="n">
        <f aca="false">IF($A298&gt;=Premissas!$C$18,AK298+AL298,"")</f>
        <v>1136132.39828931</v>
      </c>
      <c r="AN298" s="22" t="n">
        <f aca="false">AN297*(1+$P298)-AJ298</f>
        <v>1192851.64332357</v>
      </c>
      <c r="AO298" s="22" t="n">
        <f aca="false">V298+S298</f>
        <v>1149224.1479058</v>
      </c>
    </row>
    <row r="299" customFormat="false" ht="15" hidden="false" customHeight="false" outlineLevel="0" collapsed="false">
      <c r="A299" s="26" t="n">
        <f aca="false">DATE(YEAR(A298),MONTH(A298)+1,1)</f>
        <v>55244</v>
      </c>
      <c r="B299" s="22" t="str">
        <f aca="false">IF($A299&lt;Premissas!$C$18,"Obra",IF($A299&lt;Premissas!$C$20,"Entrega/mobília","Airbnb"))</f>
        <v>Airbnb</v>
      </c>
      <c r="C299" s="36" t="n">
        <f aca="false">(YEAR($A299)-YEAR(Premissas!$C$16))*12+MONTH($A299)-MONTH(Premissas!$C$16)</f>
        <v>294</v>
      </c>
      <c r="D299" s="33" t="n">
        <f aca="false">IF($A299&gt;=Premissas!$C$20,Premissas!$C$31*IF(((YEAR($A299)-YEAR(Premissas!$C$20))*12+MONTH($A299)-MONTH(Premissas!$C$20))&lt;Premissas!$C$33,Premissas!$C$34,1),0)</f>
        <v>0.62</v>
      </c>
      <c r="E299" s="22" t="n">
        <f aca="false">D299*Premissas!$C$30*Premissas!$C$32*(1+Premissas!$C$58)^$C299</f>
        <v>12155.4142991329</v>
      </c>
      <c r="F299" s="22" t="n">
        <f aca="false">E299*Premissas!$C$35</f>
        <v>1944.86628786126</v>
      </c>
      <c r="G299" s="22" t="n">
        <f aca="false">E299*Premissas!$C$36</f>
        <v>2431.08285982658</v>
      </c>
      <c r="H299" s="22" t="n">
        <f aca="false">IF($A299&gt;=Premissas!$C$18,Premissas!$C$37*(1+Premissas!$C$58)^$C299,0)</f>
        <v>1568.44055472683</v>
      </c>
      <c r="I299" s="22" t="n">
        <f aca="false">IF($A299&gt;=Premissas!$C$20,Premissas!$C$38*(1+Premissas!$C$58)^$C299,0)</f>
        <v>731.938925539186</v>
      </c>
      <c r="J299" s="22" t="n">
        <f aca="false">IF($A299&gt;=Premissas!$C$20,Premissas!$C$39*(1+Premissas!$C$58)^$C299,0)</f>
        <v>392.110138681707</v>
      </c>
      <c r="K299" s="22" t="n">
        <f aca="false">IF($A299&gt;=Premissas!$C$20,MAX(0,E299-F299-G299-H299)*Premissas!$C$41,0)</f>
        <v>1708.03176409751</v>
      </c>
      <c r="L299" s="22" t="n">
        <f aca="false">E299-F299-G299-H299-I299-J299-K299</f>
        <v>3378.94376839983</v>
      </c>
      <c r="M299" s="22" t="n">
        <f aca="false">($A299=Premissas!$C$18)*Premissas!$C$26*Premissas!$C$60</f>
        <v>0</v>
      </c>
      <c r="N299" s="22" t="n">
        <f aca="false">IF(AND($A299&gt;=Premissas!$C$18,$A299&lt;Premissas!$C$20),Premissas!$C$27/MAX(1,Premissas!$C$19),0)</f>
        <v>0</v>
      </c>
      <c r="O299" s="22" t="n">
        <f aca="false">IF($A299&gt;=Premissas!$C$18,Premissas!$C$60*(1+Premissas!$C$59)^((YEAR($A299)-YEAR(Premissas!$C$18))*12+MONTH($A299)-MONTH(Premissas!$C$18)),"")</f>
        <v>1137603.45161854</v>
      </c>
      <c r="P299" s="31" t="n">
        <f aca="false">(1+IF(YEAR($A299)&lt;=2026,Premissas!$C$49,IF(YEAR($A299)=2027,Premissas!$C$50,IF(YEAR($A299)=2028,Premissas!$C$51,Premissas!$C$52)))*(1-Premissas!$C$53))^(1/12)-1</f>
        <v>0.00682149336596227</v>
      </c>
      <c r="Q299" s="22" t="n">
        <f aca="false">($A299=Premissas!$C$16)*Premissas!$C$13</f>
        <v>0</v>
      </c>
      <c r="R299" s="22" t="n">
        <f aca="false">L299-M299-N299-Q299</f>
        <v>3378.94376839983</v>
      </c>
      <c r="S299" s="22" t="n">
        <f aca="false">S298+R299</f>
        <v>266035.311961875</v>
      </c>
      <c r="T299" s="22" t="n">
        <f aca="false">IF($A299&gt;=Premissas!$C$18,O299*(1-Premissas!$C$45)-Premissas!$C$46*MAX(0,O299*(1-Premissas!$C$45)-(SUM($Q$5:$Q$355)+Premissas!$C$26*Premissas!$C$60)),"")</f>
        <v>948915.16618996</v>
      </c>
      <c r="U299" s="22" t="n">
        <f aca="false">IF($A299&gt;=Premissas!$C$18,S299+T299,"")</f>
        <v>1214950.47815184</v>
      </c>
      <c r="V299" s="22" t="n">
        <f aca="false">V298*(1+$P299)-R299</f>
        <v>889236.552171707</v>
      </c>
      <c r="W299" s="22" t="n">
        <f aca="false">($A299=Premissas!$C$16)*Premissas!$C$9</f>
        <v>0</v>
      </c>
      <c r="X299" s="22" t="n">
        <f aca="false">L299-M299-N299-W299</f>
        <v>3378.94376839983</v>
      </c>
      <c r="Y299" s="22" t="n">
        <f aca="false">Y298+X299</f>
        <v>235107.311961875</v>
      </c>
      <c r="Z299" s="22" t="n">
        <f aca="false">IF($A299&gt;=Premissas!$C$18,O299*(1-Premissas!$C$45)-Premissas!$C$46*MAX(0,O299*(1-Premissas!$C$45)-(SUM($W$5:$W$355)+Premissas!$C$26*Premissas!$C$60)),"")</f>
        <v>953554.366189961</v>
      </c>
      <c r="AA299" s="22" t="n">
        <f aca="false">IF($A299&gt;=Premissas!$C$18,Y299+Z299,"")</f>
        <v>1188661.67815184</v>
      </c>
      <c r="AB299" s="22" t="n">
        <f aca="false">AB298*(1+$P299)-X299</f>
        <v>1124972.82260455</v>
      </c>
      <c r="AC299" s="22" t="n">
        <f aca="false">AND($A299&gt;=Premissas!$C$16,$A299&lt;EDATE(Premissas!$C$16,3))*Premissas!$C$10/3*(1+Premissas!$C$56)^$C299</f>
        <v>0</v>
      </c>
      <c r="AD299" s="22" t="n">
        <f aca="false">L299-M299-N299-AC299</f>
        <v>3378.94376839983</v>
      </c>
      <c r="AE299" s="22" t="n">
        <f aca="false">AE298+AD299</f>
        <v>227486.84808185</v>
      </c>
      <c r="AF299" s="22" t="n">
        <f aca="false">IF($A299&gt;=Premissas!$C$18,O299*(1-Premissas!$C$45)-Premissas!$C$46*MAX(0,O299*(1-Premissas!$C$45)-(SUM($AC$5:$AC$355)+Premissas!$C$26*Premissas!$C$60)),"")</f>
        <v>954697.435771964</v>
      </c>
      <c r="AG299" s="22" t="n">
        <f aca="false">IF($A299&gt;=Premissas!$C$18,AE299+AF299,"")</f>
        <v>1182184.28385381</v>
      </c>
      <c r="AH299" s="22" t="n">
        <f aca="false">AH298*(1+$P299)-AD299</f>
        <v>1162549.00223775</v>
      </c>
      <c r="AI299" s="22" t="n">
        <f aca="false">($A299=Premissas!$C$16)*0.2*Premissas!$C$11+AND($A299&gt;Premissas!$C$16,$A299&lt;=EDATE(Premissas!$C$16,43))*0.8*Premissas!$C$11/43*(1+Premissas!$C$56)^$C299</f>
        <v>0</v>
      </c>
      <c r="AJ299" s="22" t="n">
        <f aca="false">L299-M299-N299-AI299</f>
        <v>3378.94376839983</v>
      </c>
      <c r="AK299" s="22" t="n">
        <f aca="false">AK298+AJ299</f>
        <v>181622.362663788</v>
      </c>
      <c r="AL299" s="22" t="n">
        <f aca="false">IF($A299&gt;=Premissas!$C$18,O299*(1-Premissas!$C$45)-Premissas!$C$46*MAX(0,O299*(1-Premissas!$C$45)-(SUM($AI$5:$AI$355)+Premissas!$C$26*Premissas!$C$60)),"")</f>
        <v>961577.108584674</v>
      </c>
      <c r="AM299" s="22" t="n">
        <f aca="false">IF($A299&gt;=Premissas!$C$18,AK299+AL299,"")</f>
        <v>1143199.47124846</v>
      </c>
      <c r="AN299" s="22" t="n">
        <f aca="false">AN298*(1+$P299)-AJ299</f>
        <v>1197609.72912668</v>
      </c>
      <c r="AO299" s="22" t="n">
        <f aca="false">V299+S299</f>
        <v>1155271.86413358</v>
      </c>
    </row>
    <row r="300" customFormat="false" ht="15" hidden="false" customHeight="false" outlineLevel="0" collapsed="false">
      <c r="A300" s="26" t="n">
        <f aca="false">DATE(YEAR(A299),MONTH(A299)+1,1)</f>
        <v>55274</v>
      </c>
      <c r="B300" s="22" t="str">
        <f aca="false">IF($A300&lt;Premissas!$C$18,"Obra",IF($A300&lt;Premissas!$C$20,"Entrega/mobília","Airbnb"))</f>
        <v>Airbnb</v>
      </c>
      <c r="C300" s="36" t="n">
        <f aca="false">(YEAR($A300)-YEAR(Premissas!$C$16))*12+MONTH($A300)-MONTH(Premissas!$C$16)</f>
        <v>295</v>
      </c>
      <c r="D300" s="33" t="n">
        <f aca="false">IF($A300&gt;=Premissas!$C$20,Premissas!$C$31*IF(((YEAR($A300)-YEAR(Premissas!$C$20))*12+MONTH($A300)-MONTH(Premissas!$C$20))&lt;Premissas!$C$33,Premissas!$C$34,1),0)</f>
        <v>0.62</v>
      </c>
      <c r="E300" s="22" t="n">
        <f aca="false">D300*Premissas!$C$30*Premissas!$C$32*(1+Premissas!$C$58)^$C300</f>
        <v>12195.2079624931</v>
      </c>
      <c r="F300" s="22" t="n">
        <f aca="false">E300*Premissas!$C$35</f>
        <v>1951.23327399889</v>
      </c>
      <c r="G300" s="22" t="n">
        <f aca="false">E300*Premissas!$C$36</f>
        <v>2439.04159249862</v>
      </c>
      <c r="H300" s="22" t="n">
        <f aca="false">IF($A300&gt;=Premissas!$C$18,Premissas!$C$37*(1+Premissas!$C$58)^$C300,0)</f>
        <v>1573.57522096685</v>
      </c>
      <c r="I300" s="22" t="n">
        <f aca="false">IF($A300&gt;=Premissas!$C$20,Premissas!$C$38*(1+Premissas!$C$58)^$C300,0)</f>
        <v>734.335103117863</v>
      </c>
      <c r="J300" s="22" t="n">
        <f aca="false">IF($A300&gt;=Premissas!$C$20,Premissas!$C$39*(1+Premissas!$C$58)^$C300,0)</f>
        <v>393.393805241712</v>
      </c>
      <c r="K300" s="22" t="n">
        <f aca="false">IF($A300&gt;=Premissas!$C$20,MAX(0,E300-F300-G300-H300)*Premissas!$C$41,0)</f>
        <v>1713.6234156329</v>
      </c>
      <c r="L300" s="22" t="n">
        <f aca="false">E300-F300-G300-H300-I300-J300-K300</f>
        <v>3390.00555103625</v>
      </c>
      <c r="M300" s="22" t="n">
        <f aca="false">($A300=Premissas!$C$18)*Premissas!$C$26*Premissas!$C$60</f>
        <v>0</v>
      </c>
      <c r="N300" s="22" t="n">
        <f aca="false">IF(AND($A300&gt;=Premissas!$C$18,$A300&lt;Premissas!$C$20),Premissas!$C$27/MAX(1,Premissas!$C$19),0)</f>
        <v>0</v>
      </c>
      <c r="O300" s="22" t="n">
        <f aca="false">IF($A300&gt;=Premissas!$C$18,Premissas!$C$60*(1+Premissas!$C$59)^((YEAR($A300)-YEAR(Premissas!$C$18))*12+MONTH($A300)-MONTH(Premissas!$C$18)),"")</f>
        <v>1142238.18889714</v>
      </c>
      <c r="P300" s="31" t="n">
        <f aca="false">(1+IF(YEAR($A300)&lt;=2026,Premissas!$C$49,IF(YEAR($A300)=2027,Premissas!$C$50,IF(YEAR($A300)=2028,Premissas!$C$51,Premissas!$C$52)))*(1-Premissas!$C$53))^(1/12)-1</f>
        <v>0.00682149336596227</v>
      </c>
      <c r="Q300" s="22" t="n">
        <f aca="false">($A300=Premissas!$C$16)*Premissas!$C$13</f>
        <v>0</v>
      </c>
      <c r="R300" s="22" t="n">
        <f aca="false">L300-M300-N300-Q300</f>
        <v>3390.00555103625</v>
      </c>
      <c r="S300" s="22" t="n">
        <f aca="false">S299+R300</f>
        <v>269425.317512911</v>
      </c>
      <c r="T300" s="22" t="n">
        <f aca="false">IF($A300&gt;=Premissas!$C$18,O300*(1-Premissas!$C$45)-Premissas!$C$46*MAX(0,O300*(1-Premissas!$C$45)-(SUM($Q$5:$Q$355)+Premissas!$C$26*Premissas!$C$60)),"")</f>
        <v>952618.321275561</v>
      </c>
      <c r="U300" s="22" t="n">
        <f aca="false">IF($A300&gt;=Premissas!$C$18,S300+T300,"")</f>
        <v>1222043.63878847</v>
      </c>
      <c r="V300" s="22" t="n">
        <f aca="false">V299*(1+$P300)-R300</f>
        <v>891912.467862081</v>
      </c>
      <c r="W300" s="22" t="n">
        <f aca="false">($A300=Premissas!$C$16)*Premissas!$C$9</f>
        <v>0</v>
      </c>
      <c r="X300" s="22" t="n">
        <f aca="false">L300-M300-N300-W300</f>
        <v>3390.00555103625</v>
      </c>
      <c r="Y300" s="22" t="n">
        <f aca="false">Y299+X300</f>
        <v>238497.317512911</v>
      </c>
      <c r="Z300" s="22" t="n">
        <f aca="false">IF($A300&gt;=Premissas!$C$18,O300*(1-Premissas!$C$45)-Premissas!$C$46*MAX(0,O300*(1-Premissas!$C$45)-(SUM($W$5:$W$355)+Premissas!$C$26*Premissas!$C$60)),"")</f>
        <v>957257.521275561</v>
      </c>
      <c r="AA300" s="22" t="n">
        <f aca="false">IF($A300&gt;=Premissas!$C$18,Y300+Z300,"")</f>
        <v>1195754.83878847</v>
      </c>
      <c r="AB300" s="22" t="n">
        <f aca="false">AB299*(1+$P300)-X300</f>
        <v>1129256.8116998</v>
      </c>
      <c r="AC300" s="22" t="n">
        <f aca="false">AND($A300&gt;=Premissas!$C$16,$A300&lt;EDATE(Premissas!$C$16,3))*Premissas!$C$10/3*(1+Premissas!$C$56)^$C300</f>
        <v>0</v>
      </c>
      <c r="AD300" s="22" t="n">
        <f aca="false">L300-M300-N300-AC300</f>
        <v>3390.00555103625</v>
      </c>
      <c r="AE300" s="22" t="n">
        <f aca="false">AE299+AD300</f>
        <v>230876.853632886</v>
      </c>
      <c r="AF300" s="22" t="n">
        <f aca="false">IF($A300&gt;=Premissas!$C$18,O300*(1-Premissas!$C$45)-Premissas!$C$46*MAX(0,O300*(1-Premissas!$C$45)-(SUM($AC$5:$AC$355)+Premissas!$C$26*Premissas!$C$60)),"")</f>
        <v>958400.590857565</v>
      </c>
      <c r="AG300" s="22" t="n">
        <f aca="false">IF($A300&gt;=Premissas!$C$18,AE300+AF300,"")</f>
        <v>1189277.44449045</v>
      </c>
      <c r="AH300" s="22" t="n">
        <f aca="false">AH299*(1+$P300)-AD300</f>
        <v>1167089.31699308</v>
      </c>
      <c r="AI300" s="22" t="n">
        <f aca="false">($A300=Premissas!$C$16)*0.2*Premissas!$C$11+AND($A300&gt;Premissas!$C$16,$A300&lt;=EDATE(Premissas!$C$16,43))*0.8*Premissas!$C$11/43*(1+Premissas!$C$56)^$C300</f>
        <v>0</v>
      </c>
      <c r="AJ300" s="22" t="n">
        <f aca="false">L300-M300-N300-AI300</f>
        <v>3390.00555103625</v>
      </c>
      <c r="AK300" s="22" t="n">
        <f aca="false">AK299+AJ300</f>
        <v>185012.368214824</v>
      </c>
      <c r="AL300" s="22" t="n">
        <f aca="false">IF($A300&gt;=Premissas!$C$18,O300*(1-Premissas!$C$45)-Premissas!$C$46*MAX(0,O300*(1-Premissas!$C$45)-(SUM($AI$5:$AI$355)+Premissas!$C$26*Premissas!$C$60)),"")</f>
        <v>965280.263670274</v>
      </c>
      <c r="AM300" s="22" t="n">
        <f aca="false">IF($A300&gt;=Premissas!$C$18,AK300+AL300,"")</f>
        <v>1150292.6318851</v>
      </c>
      <c r="AN300" s="22" t="n">
        <f aca="false">AN299*(1+$P300)-AJ300</f>
        <v>1202389.21039789</v>
      </c>
      <c r="AO300" s="22" t="n">
        <f aca="false">V300+S300</f>
        <v>1161337.78537499</v>
      </c>
    </row>
    <row r="301" customFormat="false" ht="15" hidden="false" customHeight="false" outlineLevel="0" collapsed="false">
      <c r="A301" s="26" t="n">
        <f aca="false">DATE(YEAR(A300),MONTH(A300)+1,1)</f>
        <v>55305</v>
      </c>
      <c r="B301" s="22" t="str">
        <f aca="false">IF($A301&lt;Premissas!$C$18,"Obra",IF($A301&lt;Premissas!$C$20,"Entrega/mobília","Airbnb"))</f>
        <v>Airbnb</v>
      </c>
      <c r="C301" s="36" t="n">
        <f aca="false">(YEAR($A301)-YEAR(Premissas!$C$16))*12+MONTH($A301)-MONTH(Premissas!$C$16)</f>
        <v>296</v>
      </c>
      <c r="D301" s="33" t="n">
        <f aca="false">IF($A301&gt;=Premissas!$C$20,Premissas!$C$31*IF(((YEAR($A301)-YEAR(Premissas!$C$20))*12+MONTH($A301)-MONTH(Premissas!$C$20))&lt;Premissas!$C$33,Premissas!$C$34,1),0)</f>
        <v>0.62</v>
      </c>
      <c r="E301" s="22" t="n">
        <f aca="false">D301*Premissas!$C$30*Premissas!$C$32*(1+Premissas!$C$58)^$C301</f>
        <v>12235.1318999521</v>
      </c>
      <c r="F301" s="22" t="n">
        <f aca="false">E301*Premissas!$C$35</f>
        <v>1957.62110399233</v>
      </c>
      <c r="G301" s="22" t="n">
        <f aca="false">E301*Premissas!$C$36</f>
        <v>2447.02637999042</v>
      </c>
      <c r="H301" s="22" t="n">
        <f aca="false">IF($A301&gt;=Premissas!$C$18,Premissas!$C$37*(1+Premissas!$C$58)^$C301,0)</f>
        <v>1578.72669676801</v>
      </c>
      <c r="I301" s="22" t="n">
        <f aca="false">IF($A301&gt;=Premissas!$C$20,Premissas!$C$38*(1+Premissas!$C$58)^$C301,0)</f>
        <v>736.739125158405</v>
      </c>
      <c r="J301" s="22" t="n">
        <f aca="false">IF($A301&gt;=Premissas!$C$20,Premissas!$C$39*(1+Premissas!$C$58)^$C301,0)</f>
        <v>394.681674192003</v>
      </c>
      <c r="K301" s="22" t="n">
        <f aca="false">IF($A301&gt;=Premissas!$C$20,MAX(0,E301-F301-G301-H301)*Premissas!$C$41,0)</f>
        <v>1719.23337278036</v>
      </c>
      <c r="L301" s="22" t="n">
        <f aca="false">E301-F301-G301-H301-I301-J301-K301</f>
        <v>3401.10354707055</v>
      </c>
      <c r="M301" s="22" t="n">
        <f aca="false">($A301=Premissas!$C$18)*Premissas!$C$26*Premissas!$C$60</f>
        <v>0</v>
      </c>
      <c r="N301" s="22" t="n">
        <f aca="false">IF(AND($A301&gt;=Premissas!$C$18,$A301&lt;Premissas!$C$20),Premissas!$C$27/MAX(1,Premissas!$C$19),0)</f>
        <v>0</v>
      </c>
      <c r="O301" s="22" t="n">
        <f aca="false">IF($A301&gt;=Premissas!$C$18,Premissas!$C$60*(1+Premissas!$C$59)^((YEAR($A301)-YEAR(Premissas!$C$18))*12+MONTH($A301)-MONTH(Premissas!$C$18)),"")</f>
        <v>1146891.80866912</v>
      </c>
      <c r="P301" s="31" t="n">
        <f aca="false">(1+IF(YEAR($A301)&lt;=2026,Premissas!$C$49,IF(YEAR($A301)=2027,Premissas!$C$50,IF(YEAR($A301)=2028,Premissas!$C$51,Premissas!$C$52)))*(1-Premissas!$C$53))^(1/12)-1</f>
        <v>0.00682149336596227</v>
      </c>
      <c r="Q301" s="22" t="n">
        <f aca="false">($A301=Premissas!$C$16)*Premissas!$C$13</f>
        <v>0</v>
      </c>
      <c r="R301" s="22" t="n">
        <f aca="false">L301-M301-N301-Q301</f>
        <v>3401.10354707055</v>
      </c>
      <c r="S301" s="22" t="n">
        <f aca="false">S300+R301</f>
        <v>272826.421059981</v>
      </c>
      <c r="T301" s="22" t="n">
        <f aca="false">IF($A301&gt;=Premissas!$C$18,O301*(1-Premissas!$C$45)-Premissas!$C$46*MAX(0,O301*(1-Premissas!$C$45)-(SUM($Q$5:$Q$355)+Premissas!$C$26*Premissas!$C$60)),"")</f>
        <v>956336.563473371</v>
      </c>
      <c r="U301" s="22" t="n">
        <f aca="false">IF($A301&gt;=Premissas!$C$18,S301+T301,"")</f>
        <v>1229162.98453335</v>
      </c>
      <c r="V301" s="22" t="n">
        <f aca="false">V300*(1+$P301)-R301</f>
        <v>894595.539297551</v>
      </c>
      <c r="W301" s="22" t="n">
        <f aca="false">($A301=Premissas!$C$16)*Premissas!$C$9</f>
        <v>0</v>
      </c>
      <c r="X301" s="22" t="n">
        <f aca="false">L301-M301-N301-W301</f>
        <v>3401.10354707055</v>
      </c>
      <c r="Y301" s="22" t="n">
        <f aca="false">Y300+X301</f>
        <v>241898.421059981</v>
      </c>
      <c r="Z301" s="22" t="n">
        <f aca="false">IF($A301&gt;=Premissas!$C$18,O301*(1-Premissas!$C$45)-Premissas!$C$46*MAX(0,O301*(1-Premissas!$C$45)-(SUM($W$5:$W$355)+Premissas!$C$26*Premissas!$C$60)),"")</f>
        <v>960975.763473371</v>
      </c>
      <c r="AA301" s="22" t="n">
        <f aca="false">IF($A301&gt;=Premissas!$C$18,Y301+Z301,"")</f>
        <v>1202874.18453335</v>
      </c>
      <c r="AB301" s="22" t="n">
        <f aca="false">AB300*(1+$P301)-X301</f>
        <v>1133558.92600221</v>
      </c>
      <c r="AC301" s="22" t="n">
        <f aca="false">AND($A301&gt;=Premissas!$C$16,$A301&lt;EDATE(Premissas!$C$16,3))*Premissas!$C$10/3*(1+Premissas!$C$56)^$C301</f>
        <v>0</v>
      </c>
      <c r="AD301" s="22" t="n">
        <f aca="false">L301-M301-N301-AC301</f>
        <v>3401.10354707055</v>
      </c>
      <c r="AE301" s="22" t="n">
        <f aca="false">AE300+AD301</f>
        <v>234277.957179957</v>
      </c>
      <c r="AF301" s="22" t="n">
        <f aca="false">IF($A301&gt;=Premissas!$C$18,O301*(1-Premissas!$C$45)-Premissas!$C$46*MAX(0,O301*(1-Premissas!$C$45)-(SUM($AC$5:$AC$355)+Premissas!$C$26*Premissas!$C$60)),"")</f>
        <v>962118.833055375</v>
      </c>
      <c r="AG301" s="22" t="n">
        <f aca="false">IF($A301&gt;=Premissas!$C$18,AE301+AF301,"")</f>
        <v>1196396.79023533</v>
      </c>
      <c r="AH301" s="22" t="n">
        <f aca="false">AH300*(1+$P301)-AD301</f>
        <v>1171649.50547937</v>
      </c>
      <c r="AI301" s="22" t="n">
        <f aca="false">($A301=Premissas!$C$16)*0.2*Premissas!$C$11+AND($A301&gt;Premissas!$C$16,$A301&lt;=EDATE(Premissas!$C$16,43))*0.8*Premissas!$C$11/43*(1+Premissas!$C$56)^$C301</f>
        <v>0</v>
      </c>
      <c r="AJ301" s="22" t="n">
        <f aca="false">L301-M301-N301-AI301</f>
        <v>3401.10354707055</v>
      </c>
      <c r="AK301" s="22" t="n">
        <f aca="false">AK300+AJ301</f>
        <v>188413.471761895</v>
      </c>
      <c r="AL301" s="22" t="n">
        <f aca="false">IF($A301&gt;=Premissas!$C$18,O301*(1-Premissas!$C$45)-Premissas!$C$46*MAX(0,O301*(1-Premissas!$C$45)-(SUM($AI$5:$AI$355)+Premissas!$C$26*Premissas!$C$60)),"")</f>
        <v>968998.505868084</v>
      </c>
      <c r="AM301" s="22" t="n">
        <f aca="false">IF($A301&gt;=Premissas!$C$18,AK301+AL301,"")</f>
        <v>1157411.97762998</v>
      </c>
      <c r="AN301" s="22" t="n">
        <f aca="false">AN300*(1+$P301)-AJ301</f>
        <v>1207190.19687285</v>
      </c>
      <c r="AO301" s="22" t="n">
        <f aca="false">V301+S301</f>
        <v>1167421.96035753</v>
      </c>
    </row>
    <row r="302" customFormat="false" ht="15" hidden="false" customHeight="false" outlineLevel="0" collapsed="false">
      <c r="A302" s="26" t="n">
        <f aca="false">DATE(YEAR(A301),MONTH(A301)+1,1)</f>
        <v>55335</v>
      </c>
      <c r="B302" s="22" t="str">
        <f aca="false">IF($A302&lt;Premissas!$C$18,"Obra",IF($A302&lt;Premissas!$C$20,"Entrega/mobília","Airbnb"))</f>
        <v>Airbnb</v>
      </c>
      <c r="C302" s="36" t="n">
        <f aca="false">(YEAR($A302)-YEAR(Premissas!$C$16))*12+MONTH($A302)-MONTH(Premissas!$C$16)</f>
        <v>297</v>
      </c>
      <c r="D302" s="33" t="n">
        <f aca="false">IF($A302&gt;=Premissas!$C$20,Premissas!$C$31*IF(((YEAR($A302)-YEAR(Premissas!$C$20))*12+MONTH($A302)-MONTH(Premissas!$C$20))&lt;Premissas!$C$33,Premissas!$C$34,1),0)</f>
        <v>0.62</v>
      </c>
      <c r="E302" s="22" t="n">
        <f aca="false">D302*Premissas!$C$30*Premissas!$C$32*(1+Premissas!$C$58)^$C302</f>
        <v>12275.1865379934</v>
      </c>
      <c r="F302" s="22" t="n">
        <f aca="false">E302*Premissas!$C$35</f>
        <v>1964.02984607895</v>
      </c>
      <c r="G302" s="22" t="n">
        <f aca="false">E302*Premissas!$C$36</f>
        <v>2455.03730759868</v>
      </c>
      <c r="H302" s="22" t="n">
        <f aca="false">IF($A302&gt;=Premissas!$C$18,Premissas!$C$37*(1+Premissas!$C$58)^$C302,0)</f>
        <v>1583.89503716044</v>
      </c>
      <c r="I302" s="22" t="n">
        <f aca="false">IF($A302&gt;=Premissas!$C$20,Premissas!$C$38*(1+Premissas!$C$58)^$C302,0)</f>
        <v>739.151017341539</v>
      </c>
      <c r="J302" s="22" t="n">
        <f aca="false">IF($A302&gt;=Premissas!$C$20,Premissas!$C$39*(1+Premissas!$C$58)^$C302,0)</f>
        <v>395.97375929011</v>
      </c>
      <c r="K302" s="22" t="n">
        <f aca="false">IF($A302&gt;=Premissas!$C$20,MAX(0,E302-F302-G302-H302)*Premissas!$C$41,0)</f>
        <v>1724.86169546772</v>
      </c>
      <c r="L302" s="22" t="n">
        <f aca="false">E302-F302-G302-H302-I302-J302-K302</f>
        <v>3412.23787505597</v>
      </c>
      <c r="M302" s="22" t="n">
        <f aca="false">($A302=Premissas!$C$18)*Premissas!$C$26*Premissas!$C$60</f>
        <v>0</v>
      </c>
      <c r="N302" s="22" t="n">
        <f aca="false">IF(AND($A302&gt;=Premissas!$C$18,$A302&lt;Premissas!$C$20),Premissas!$C$27/MAX(1,Premissas!$C$19),0)</f>
        <v>0</v>
      </c>
      <c r="O302" s="22" t="n">
        <f aca="false">IF($A302&gt;=Premissas!$C$18,Premissas!$C$60*(1+Premissas!$C$59)^((YEAR($A302)-YEAR(Premissas!$C$18))*12+MONTH($A302)-MONTH(Premissas!$C$18)),"")</f>
        <v>1151564.38786409</v>
      </c>
      <c r="P302" s="31" t="n">
        <f aca="false">(1+IF(YEAR($A302)&lt;=2026,Premissas!$C$49,IF(YEAR($A302)=2027,Premissas!$C$50,IF(YEAR($A302)=2028,Premissas!$C$51,Premissas!$C$52)))*(1-Premissas!$C$53))^(1/12)-1</f>
        <v>0.00682149336596227</v>
      </c>
      <c r="Q302" s="22" t="n">
        <f aca="false">($A302=Premissas!$C$16)*Premissas!$C$13</f>
        <v>0</v>
      </c>
      <c r="R302" s="22" t="n">
        <f aca="false">L302-M302-N302-Q302</f>
        <v>3412.23787505597</v>
      </c>
      <c r="S302" s="22" t="n">
        <f aca="false">S301+R302</f>
        <v>276238.658935037</v>
      </c>
      <c r="T302" s="22" t="n">
        <f aca="false">IF($A302&gt;=Premissas!$C$18,O302*(1-Premissas!$C$45)-Premissas!$C$46*MAX(0,O302*(1-Premissas!$C$45)-(SUM($Q$5:$Q$355)+Premissas!$C$26*Premissas!$C$60)),"")</f>
        <v>960069.954250153</v>
      </c>
      <c r="U302" s="22" t="n">
        <f aca="false">IF($A302&gt;=Premissas!$C$18,S302+T302,"")</f>
        <v>1236308.61318519</v>
      </c>
      <c r="V302" s="22" t="n">
        <f aca="false">V301*(1+$P302)-R302</f>
        <v>897285.778959033</v>
      </c>
      <c r="W302" s="22" t="n">
        <f aca="false">($A302=Premissas!$C$16)*Premissas!$C$9</f>
        <v>0</v>
      </c>
      <c r="X302" s="22" t="n">
        <f aca="false">L302-M302-N302-W302</f>
        <v>3412.23787505597</v>
      </c>
      <c r="Y302" s="22" t="n">
        <f aca="false">Y301+X302</f>
        <v>245310.658935037</v>
      </c>
      <c r="Z302" s="22" t="n">
        <f aca="false">IF($A302&gt;=Premissas!$C$18,O302*(1-Premissas!$C$45)-Premissas!$C$46*MAX(0,O302*(1-Premissas!$C$45)-(SUM($W$5:$W$355)+Premissas!$C$26*Premissas!$C$60)),"")</f>
        <v>964709.154250153</v>
      </c>
      <c r="AA302" s="22" t="n">
        <f aca="false">IF($A302&gt;=Premissas!$C$18,Y302+Z302,"")</f>
        <v>1210019.81318519</v>
      </c>
      <c r="AB302" s="22" t="n">
        <f aca="false">AB301*(1+$P302)-X302</f>
        <v>1137879.25282081</v>
      </c>
      <c r="AC302" s="22" t="n">
        <f aca="false">AND($A302&gt;=Premissas!$C$16,$A302&lt;EDATE(Premissas!$C$16,3))*Premissas!$C$10/3*(1+Premissas!$C$56)^$C302</f>
        <v>0</v>
      </c>
      <c r="AD302" s="22" t="n">
        <f aca="false">L302-M302-N302-AC302</f>
        <v>3412.23787505597</v>
      </c>
      <c r="AE302" s="22" t="n">
        <f aca="false">AE301+AD302</f>
        <v>237690.195055013</v>
      </c>
      <c r="AF302" s="22" t="n">
        <f aca="false">IF($A302&gt;=Premissas!$C$18,O302*(1-Premissas!$C$45)-Premissas!$C$46*MAX(0,O302*(1-Premissas!$C$45)-(SUM($AC$5:$AC$355)+Premissas!$C$26*Premissas!$C$60)),"")</f>
        <v>965852.223832156</v>
      </c>
      <c r="AG302" s="22" t="n">
        <f aca="false">IF($A302&gt;=Premissas!$C$18,AE302+AF302,"")</f>
        <v>1203542.41888717</v>
      </c>
      <c r="AH302" s="22" t="n">
        <f aca="false">AH301*(1+$P302)-AD302</f>
        <v>1176229.66693317</v>
      </c>
      <c r="AI302" s="22" t="n">
        <f aca="false">($A302=Premissas!$C$16)*0.2*Premissas!$C$11+AND($A302&gt;Premissas!$C$16,$A302&lt;=EDATE(Premissas!$C$16,43))*0.8*Premissas!$C$11/43*(1+Premissas!$C$56)^$C302</f>
        <v>0</v>
      </c>
      <c r="AJ302" s="22" t="n">
        <f aca="false">L302-M302-N302-AI302</f>
        <v>3412.23787505597</v>
      </c>
      <c r="AK302" s="22" t="n">
        <f aca="false">AK301+AJ302</f>
        <v>191825.709636951</v>
      </c>
      <c r="AL302" s="22" t="n">
        <f aca="false">IF($A302&gt;=Premissas!$C$18,O302*(1-Premissas!$C$45)-Premissas!$C$46*MAX(0,O302*(1-Premissas!$C$45)-(SUM($AI$5:$AI$355)+Premissas!$C$26*Premissas!$C$60)),"")</f>
        <v>972731.896644866</v>
      </c>
      <c r="AM302" s="22" t="n">
        <f aca="false">IF($A302&gt;=Premissas!$C$18,AK302+AL302,"")</f>
        <v>1164557.60628182</v>
      </c>
      <c r="AN302" s="22" t="n">
        <f aca="false">AN301*(1+$P302)-AJ302</f>
        <v>1212012.79891722</v>
      </c>
      <c r="AO302" s="22" t="n">
        <f aca="false">V302+S302</f>
        <v>1173524.43789407</v>
      </c>
    </row>
    <row r="303" customFormat="false" ht="15" hidden="false" customHeight="false" outlineLevel="0" collapsed="false">
      <c r="A303" s="26" t="n">
        <f aca="false">DATE(YEAR(A302),MONTH(A302)+1,1)</f>
        <v>55366</v>
      </c>
      <c r="B303" s="22" t="str">
        <f aca="false">IF($A303&lt;Premissas!$C$18,"Obra",IF($A303&lt;Premissas!$C$20,"Entrega/mobília","Airbnb"))</f>
        <v>Airbnb</v>
      </c>
      <c r="C303" s="36" t="n">
        <f aca="false">(YEAR($A303)-YEAR(Premissas!$C$16))*12+MONTH($A303)-MONTH(Premissas!$C$16)</f>
        <v>298</v>
      </c>
      <c r="D303" s="33" t="n">
        <f aca="false">IF($A303&gt;=Premissas!$C$20,Premissas!$C$31*IF(((YEAR($A303)-YEAR(Premissas!$C$20))*12+MONTH($A303)-MONTH(Premissas!$C$20))&lt;Premissas!$C$33,Premissas!$C$34,1),0)</f>
        <v>0.62</v>
      </c>
      <c r="E303" s="22" t="n">
        <f aca="false">D303*Premissas!$C$30*Premissas!$C$32*(1+Premissas!$C$58)^$C303</f>
        <v>12315.3723044968</v>
      </c>
      <c r="F303" s="22" t="n">
        <f aca="false">E303*Premissas!$C$35</f>
        <v>1970.45956871948</v>
      </c>
      <c r="G303" s="22" t="n">
        <f aca="false">E303*Premissas!$C$36</f>
        <v>2463.07446089935</v>
      </c>
      <c r="H303" s="22" t="n">
        <f aca="false">IF($A303&gt;=Premissas!$C$18,Premissas!$C$37*(1+Premissas!$C$58)^$C303,0)</f>
        <v>1589.08029735442</v>
      </c>
      <c r="I303" s="22" t="n">
        <f aca="false">IF($A303&gt;=Premissas!$C$20,Premissas!$C$38*(1+Premissas!$C$58)^$C303,0)</f>
        <v>741.570805432063</v>
      </c>
      <c r="J303" s="22" t="n">
        <f aca="false">IF($A303&gt;=Premissas!$C$20,Premissas!$C$39*(1+Premissas!$C$58)^$C303,0)</f>
        <v>397.270074338605</v>
      </c>
      <c r="K303" s="22" t="n">
        <f aca="false">IF($A303&gt;=Premissas!$C$20,MAX(0,E303-F303-G303-H303)*Premissas!$C$41,0)</f>
        <v>1730.50844381896</v>
      </c>
      <c r="L303" s="22" t="n">
        <f aca="false">E303-F303-G303-H303-I303-J303-K303</f>
        <v>3423.40865393387</v>
      </c>
      <c r="M303" s="22" t="n">
        <f aca="false">($A303=Premissas!$C$18)*Premissas!$C$26*Premissas!$C$60</f>
        <v>0</v>
      </c>
      <c r="N303" s="22" t="n">
        <f aca="false">IF(AND($A303&gt;=Premissas!$C$18,$A303&lt;Premissas!$C$20),Premissas!$C$27/MAX(1,Premissas!$C$19),0)</f>
        <v>0</v>
      </c>
      <c r="O303" s="22" t="n">
        <f aca="false">IF($A303&gt;=Premissas!$C$18,Premissas!$C$60*(1+Premissas!$C$59)^((YEAR($A303)-YEAR(Premissas!$C$18))*12+MONTH($A303)-MONTH(Premissas!$C$18)),"")</f>
        <v>1156256.00372509</v>
      </c>
      <c r="P303" s="31" t="n">
        <f aca="false">(1+IF(YEAR($A303)&lt;=2026,Premissas!$C$49,IF(YEAR($A303)=2027,Premissas!$C$50,IF(YEAR($A303)=2028,Premissas!$C$51,Premissas!$C$52)))*(1-Premissas!$C$53))^(1/12)-1</f>
        <v>0.00682149336596227</v>
      </c>
      <c r="Q303" s="22" t="n">
        <f aca="false">($A303=Premissas!$C$16)*Premissas!$C$13</f>
        <v>0</v>
      </c>
      <c r="R303" s="22" t="n">
        <f aca="false">L303-M303-N303-Q303</f>
        <v>3423.40865393387</v>
      </c>
      <c r="S303" s="22" t="n">
        <f aca="false">S302+R303</f>
        <v>279662.067588971</v>
      </c>
      <c r="T303" s="22" t="n">
        <f aca="false">IF($A303&gt;=Premissas!$C$18,O303*(1-Premissas!$C$45)-Premissas!$C$46*MAX(0,O303*(1-Premissas!$C$45)-(SUM($Q$5:$Q$355)+Premissas!$C$26*Premissas!$C$60)),"")</f>
        <v>963818.555323091</v>
      </c>
      <c r="U303" s="22" t="n">
        <f aca="false">IF($A303&gt;=Premissas!$C$18,S303+T303,"")</f>
        <v>1243480.62291206</v>
      </c>
      <c r="V303" s="22" t="n">
        <f aca="false">V302*(1+$P303)-R303</f>
        <v>899983.19929364</v>
      </c>
      <c r="W303" s="22" t="n">
        <f aca="false">($A303=Premissas!$C$16)*Premissas!$C$9</f>
        <v>0</v>
      </c>
      <c r="X303" s="22" t="n">
        <f aca="false">L303-M303-N303-W303</f>
        <v>3423.40865393387</v>
      </c>
      <c r="Y303" s="22" t="n">
        <f aca="false">Y302+X303</f>
        <v>248734.067588971</v>
      </c>
      <c r="Z303" s="22" t="n">
        <f aca="false">IF($A303&gt;=Premissas!$C$18,O303*(1-Premissas!$C$45)-Premissas!$C$46*MAX(0,O303*(1-Premissas!$C$45)-(SUM($W$5:$W$355)+Premissas!$C$26*Premissas!$C$60)),"")</f>
        <v>968457.755323091</v>
      </c>
      <c r="AA303" s="22" t="n">
        <f aca="false">IF($A303&gt;=Premissas!$C$18,Y303+Z303,"")</f>
        <v>1217191.82291206</v>
      </c>
      <c r="AB303" s="22" t="n">
        <f aca="false">AB302*(1+$P303)-X303</f>
        <v>1142217.87994125</v>
      </c>
      <c r="AC303" s="22" t="n">
        <f aca="false">AND($A303&gt;=Premissas!$C$16,$A303&lt;EDATE(Premissas!$C$16,3))*Premissas!$C$10/3*(1+Premissas!$C$56)^$C303</f>
        <v>0</v>
      </c>
      <c r="AD303" s="22" t="n">
        <f aca="false">L303-M303-N303-AC303</f>
        <v>3423.40865393387</v>
      </c>
      <c r="AE303" s="22" t="n">
        <f aca="false">AE302+AD303</f>
        <v>241113.603708946</v>
      </c>
      <c r="AF303" s="22" t="n">
        <f aca="false">IF($A303&gt;=Premissas!$C$18,O303*(1-Premissas!$C$45)-Premissas!$C$46*MAX(0,O303*(1-Premissas!$C$45)-(SUM($AC$5:$AC$355)+Premissas!$C$26*Premissas!$C$60)),"")</f>
        <v>969600.824905095</v>
      </c>
      <c r="AG303" s="22" t="n">
        <f aca="false">IF($A303&gt;=Premissas!$C$18,AE303+AF303,"")</f>
        <v>1210714.42861404</v>
      </c>
      <c r="AH303" s="22" t="n">
        <f aca="false">AH302*(1+$P303)-AD303</f>
        <v>1180829.90114907</v>
      </c>
      <c r="AI303" s="22" t="n">
        <f aca="false">($A303=Premissas!$C$16)*0.2*Premissas!$C$11+AND($A303&gt;Premissas!$C$16,$A303&lt;=EDATE(Premissas!$C$16,43))*0.8*Premissas!$C$11/43*(1+Premissas!$C$56)^$C303</f>
        <v>0</v>
      </c>
      <c r="AJ303" s="22" t="n">
        <f aca="false">L303-M303-N303-AI303</f>
        <v>3423.40865393387</v>
      </c>
      <c r="AK303" s="22" t="n">
        <f aca="false">AK302+AJ303</f>
        <v>195249.118290885</v>
      </c>
      <c r="AL303" s="22" t="n">
        <f aca="false">IF($A303&gt;=Premissas!$C$18,O303*(1-Premissas!$C$45)-Premissas!$C$46*MAX(0,O303*(1-Premissas!$C$45)-(SUM($AI$5:$AI$355)+Premissas!$C$26*Premissas!$C$60)),"")</f>
        <v>976480.497717804</v>
      </c>
      <c r="AM303" s="22" t="n">
        <f aca="false">IF($A303&gt;=Premissas!$C$18,AK303+AL303,"")</f>
        <v>1171729.61600869</v>
      </c>
      <c r="AN303" s="22" t="n">
        <f aca="false">AN302*(1+$P303)-AJ303</f>
        <v>1216857.12753056</v>
      </c>
      <c r="AO303" s="22" t="n">
        <f aca="false">V303+S303</f>
        <v>1179645.26688261</v>
      </c>
    </row>
    <row r="304" customFormat="false" ht="15" hidden="false" customHeight="false" outlineLevel="0" collapsed="false">
      <c r="A304" s="26" t="n">
        <f aca="false">DATE(YEAR(A303),MONTH(A303)+1,1)</f>
        <v>55397</v>
      </c>
      <c r="B304" s="22" t="str">
        <f aca="false">IF($A304&lt;Premissas!$C$18,"Obra",IF($A304&lt;Premissas!$C$20,"Entrega/mobília","Airbnb"))</f>
        <v>Airbnb</v>
      </c>
      <c r="C304" s="36" t="n">
        <f aca="false">(YEAR($A304)-YEAR(Premissas!$C$16))*12+MONTH($A304)-MONTH(Premissas!$C$16)</f>
        <v>299</v>
      </c>
      <c r="D304" s="33" t="n">
        <f aca="false">IF($A304&gt;=Premissas!$C$20,Premissas!$C$31*IF(((YEAR($A304)-YEAR(Premissas!$C$20))*12+MONTH($A304)-MONTH(Premissas!$C$20))&lt;Premissas!$C$33,Premissas!$C$34,1),0)</f>
        <v>0.62</v>
      </c>
      <c r="E304" s="22" t="n">
        <f aca="false">D304*Premissas!$C$30*Premissas!$C$32*(1+Premissas!$C$58)^$C304</f>
        <v>12355.6896287426</v>
      </c>
      <c r="F304" s="22" t="n">
        <f aca="false">E304*Premissas!$C$35</f>
        <v>1976.91034059881</v>
      </c>
      <c r="G304" s="22" t="n">
        <f aca="false">E304*Premissas!$C$36</f>
        <v>2471.13792574852</v>
      </c>
      <c r="H304" s="22" t="n">
        <f aca="false">IF($A304&gt;=Premissas!$C$18,Premissas!$C$37*(1+Premissas!$C$58)^$C304,0)</f>
        <v>1594.28253274098</v>
      </c>
      <c r="I304" s="22" t="n">
        <f aca="false">IF($A304&gt;=Premissas!$C$20,Premissas!$C$38*(1+Premissas!$C$58)^$C304,0)</f>
        <v>743.998515279123</v>
      </c>
      <c r="J304" s="22" t="n">
        <f aca="false">IF($A304&gt;=Premissas!$C$20,Premissas!$C$39*(1+Premissas!$C$58)^$C304,0)</f>
        <v>398.570633185244</v>
      </c>
      <c r="K304" s="22" t="n">
        <f aca="false">IF($A304&gt;=Premissas!$C$20,MAX(0,E304-F304-G304-H304)*Premissas!$C$41,0)</f>
        <v>1736.17367815492</v>
      </c>
      <c r="L304" s="22" t="n">
        <f aca="false">E304-F304-G304-H304-I304-J304-K304</f>
        <v>3434.61600303498</v>
      </c>
      <c r="M304" s="22" t="n">
        <f aca="false">($A304=Premissas!$C$18)*Premissas!$C$26*Premissas!$C$60</f>
        <v>0</v>
      </c>
      <c r="N304" s="22" t="n">
        <f aca="false">IF(AND($A304&gt;=Premissas!$C$18,$A304&lt;Premissas!$C$20),Premissas!$C$27/MAX(1,Premissas!$C$19),0)</f>
        <v>0</v>
      </c>
      <c r="O304" s="22" t="n">
        <f aca="false">IF($A304&gt;=Premissas!$C$18,Premissas!$C$60*(1+Premissas!$C$59)^((YEAR($A304)-YEAR(Premissas!$C$18))*12+MONTH($A304)-MONTH(Premissas!$C$18)),"")</f>
        <v>1160966.73380985</v>
      </c>
      <c r="P304" s="31" t="n">
        <f aca="false">(1+IF(YEAR($A304)&lt;=2026,Premissas!$C$49,IF(YEAR($A304)=2027,Premissas!$C$50,IF(YEAR($A304)=2028,Premissas!$C$51,Premissas!$C$52)))*(1-Premissas!$C$53))^(1/12)-1</f>
        <v>0.00682149336596227</v>
      </c>
      <c r="Q304" s="22" t="n">
        <f aca="false">($A304=Premissas!$C$16)*Premissas!$C$13</f>
        <v>0</v>
      </c>
      <c r="R304" s="22" t="n">
        <f aca="false">L304-M304-N304-Q304</f>
        <v>3434.61600303498</v>
      </c>
      <c r="S304" s="22" t="n">
        <f aca="false">S303+R304</f>
        <v>283096.683592006</v>
      </c>
      <c r="T304" s="22" t="n">
        <f aca="false">IF($A304&gt;=Premissas!$C$18,O304*(1-Premissas!$C$45)-Premissas!$C$46*MAX(0,O304*(1-Premissas!$C$45)-(SUM($Q$5:$Q$355)+Premissas!$C$26*Premissas!$C$60)),"")</f>
        <v>967582.428660816</v>
      </c>
      <c r="U304" s="22" t="n">
        <f aca="false">IF($A304&gt;=Premissas!$C$18,S304+T304,"")</f>
        <v>1250679.11225282</v>
      </c>
      <c r="V304" s="22" t="n">
        <f aca="false">V303*(1+$P304)-R304</f>
        <v>902687.812714064</v>
      </c>
      <c r="W304" s="22" t="n">
        <f aca="false">($A304=Premissas!$C$16)*Premissas!$C$9</f>
        <v>0</v>
      </c>
      <c r="X304" s="22" t="n">
        <f aca="false">L304-M304-N304-W304</f>
        <v>3434.61600303498</v>
      </c>
      <c r="Y304" s="22" t="n">
        <f aca="false">Y303+X304</f>
        <v>252168.683592006</v>
      </c>
      <c r="Z304" s="22" t="n">
        <f aca="false">IF($A304&gt;=Premissas!$C$18,O304*(1-Premissas!$C$45)-Premissas!$C$46*MAX(0,O304*(1-Premissas!$C$45)-(SUM($W$5:$W$355)+Premissas!$C$26*Premissas!$C$60)),"")</f>
        <v>972221.628660816</v>
      </c>
      <c r="AA304" s="22" t="n">
        <f aca="false">IF($A304&gt;=Premissas!$C$18,Y304+Z304,"")</f>
        <v>1224390.31225282</v>
      </c>
      <c r="AB304" s="22" t="n">
        <f aca="false">AB303*(1+$P304)-X304</f>
        <v>1146574.89562872</v>
      </c>
      <c r="AC304" s="22" t="n">
        <f aca="false">AND($A304&gt;=Premissas!$C$16,$A304&lt;EDATE(Premissas!$C$16,3))*Premissas!$C$10/3*(1+Premissas!$C$56)^$C304</f>
        <v>0</v>
      </c>
      <c r="AD304" s="22" t="n">
        <f aca="false">L304-M304-N304-AC304</f>
        <v>3434.61600303498</v>
      </c>
      <c r="AE304" s="22" t="n">
        <f aca="false">AE303+AD304</f>
        <v>244548.219711981</v>
      </c>
      <c r="AF304" s="22" t="n">
        <f aca="false">IF($A304&gt;=Premissas!$C$18,O304*(1-Premissas!$C$45)-Premissas!$C$46*MAX(0,O304*(1-Premissas!$C$45)-(SUM($AC$5:$AC$355)+Premissas!$C$26*Premissas!$C$60)),"")</f>
        <v>973364.69824282</v>
      </c>
      <c r="AG304" s="22" t="n">
        <f aca="false">IF($A304&gt;=Premissas!$C$18,AE304+AF304,"")</f>
        <v>1217912.9179548</v>
      </c>
      <c r="AH304" s="22" t="n">
        <f aca="false">AH303*(1+$P304)-AD304</f>
        <v>1185450.30848305</v>
      </c>
      <c r="AI304" s="22" t="n">
        <f aca="false">($A304=Premissas!$C$16)*0.2*Premissas!$C$11+AND($A304&gt;Premissas!$C$16,$A304&lt;=EDATE(Premissas!$C$16,43))*0.8*Premissas!$C$11/43*(1+Premissas!$C$56)^$C304</f>
        <v>0</v>
      </c>
      <c r="AJ304" s="22" t="n">
        <f aca="false">L304-M304-N304-AI304</f>
        <v>3434.61600303498</v>
      </c>
      <c r="AK304" s="22" t="n">
        <f aca="false">AK303+AJ304</f>
        <v>198683.73429392</v>
      </c>
      <c r="AL304" s="22" t="n">
        <f aca="false">IF($A304&gt;=Premissas!$C$18,O304*(1-Premissas!$C$45)-Premissas!$C$46*MAX(0,O304*(1-Premissas!$C$45)-(SUM($AI$5:$AI$355)+Premissas!$C$26*Premissas!$C$60)),"")</f>
        <v>980244.37105553</v>
      </c>
      <c r="AM304" s="22" t="n">
        <f aca="false">IF($A304&gt;=Premissas!$C$18,AK304+AL304,"")</f>
        <v>1178928.10534945</v>
      </c>
      <c r="AN304" s="22" t="n">
        <f aca="false">AN303*(1+$P304)-AJ304</f>
        <v>1221723.2943503</v>
      </c>
      <c r="AO304" s="22" t="n">
        <f aca="false">V304+S304</f>
        <v>1185784.49630607</v>
      </c>
    </row>
    <row r="305" customFormat="false" ht="15" hidden="false" customHeight="false" outlineLevel="0" collapsed="false">
      <c r="A305" s="26" t="n">
        <f aca="false">DATE(YEAR(A304),MONTH(A304)+1,1)</f>
        <v>55427</v>
      </c>
      <c r="B305" s="22" t="str">
        <f aca="false">IF($A305&lt;Premissas!$C$18,"Obra",IF($A305&lt;Premissas!$C$20,"Entrega/mobília","Airbnb"))</f>
        <v>Airbnb</v>
      </c>
      <c r="C305" s="36" t="n">
        <f aca="false">(YEAR($A305)-YEAR(Premissas!$C$16))*12+MONTH($A305)-MONTH(Premissas!$C$16)</f>
        <v>300</v>
      </c>
      <c r="D305" s="33" t="n">
        <f aca="false">IF($A305&gt;=Premissas!$C$20,Premissas!$C$31*IF(((YEAR($A305)-YEAR(Premissas!$C$20))*12+MONTH($A305)-MONTH(Premissas!$C$20))&lt;Premissas!$C$33,Premissas!$C$34,1),0)</f>
        <v>0.62</v>
      </c>
      <c r="E305" s="22" t="n">
        <f aca="false">D305*Premissas!$C$30*Premissas!$C$32*(1+Premissas!$C$58)^$C305</f>
        <v>12396.1389414167</v>
      </c>
      <c r="F305" s="22" t="n">
        <f aca="false">E305*Premissas!$C$35</f>
        <v>1983.38223062667</v>
      </c>
      <c r="G305" s="22" t="n">
        <f aca="false">E305*Premissas!$C$36</f>
        <v>2479.22778828334</v>
      </c>
      <c r="H305" s="22" t="n">
        <f aca="false">IF($A305&gt;=Premissas!$C$18,Premissas!$C$37*(1+Premissas!$C$58)^$C305,0)</f>
        <v>1599.50179889248</v>
      </c>
      <c r="I305" s="22" t="n">
        <f aca="false">IF($A305&gt;=Premissas!$C$20,Premissas!$C$38*(1+Premissas!$C$58)^$C305,0)</f>
        <v>746.434172816489</v>
      </c>
      <c r="J305" s="22" t="n">
        <f aca="false">IF($A305&gt;=Premissas!$C$20,Premissas!$C$39*(1+Premissas!$C$58)^$C305,0)</f>
        <v>399.875449723119</v>
      </c>
      <c r="K305" s="22" t="n">
        <f aca="false">IF($A305&gt;=Premissas!$C$20,MAX(0,E305-F305-G305-H305)*Premissas!$C$41,0)</f>
        <v>1741.85745899391</v>
      </c>
      <c r="L305" s="22" t="n">
        <f aca="false">E305-F305-G305-H305-I305-J305-K305</f>
        <v>3445.86004208069</v>
      </c>
      <c r="M305" s="22" t="n">
        <f aca="false">($A305=Premissas!$C$18)*Premissas!$C$26*Premissas!$C$60</f>
        <v>0</v>
      </c>
      <c r="N305" s="22" t="n">
        <f aca="false">IF(AND($A305&gt;=Premissas!$C$18,$A305&lt;Premissas!$C$20),Premissas!$C$27/MAX(1,Premissas!$C$19),0)</f>
        <v>0</v>
      </c>
      <c r="O305" s="22" t="n">
        <f aca="false">IF($A305&gt;=Premissas!$C$18,Premissas!$C$60*(1+Premissas!$C$59)^((YEAR($A305)-YEAR(Premissas!$C$18))*12+MONTH($A305)-MONTH(Premissas!$C$18)),"")</f>
        <v>1165696.65599209</v>
      </c>
      <c r="P305" s="31" t="n">
        <f aca="false">(1+IF(YEAR($A305)&lt;=2026,Premissas!$C$49,IF(YEAR($A305)=2027,Premissas!$C$50,IF(YEAR($A305)=2028,Premissas!$C$51,Premissas!$C$52)))*(1-Premissas!$C$53))^(1/12)-1</f>
        <v>0.00682149336596227</v>
      </c>
      <c r="Q305" s="22" t="n">
        <f aca="false">($A305=Premissas!$C$16)*Premissas!$C$13</f>
        <v>0</v>
      </c>
      <c r="R305" s="22" t="n">
        <f aca="false">L305-M305-N305-Q305</f>
        <v>3445.86004208069</v>
      </c>
      <c r="S305" s="22" t="n">
        <f aca="false">S304+R305</f>
        <v>286542.543634087</v>
      </c>
      <c r="T305" s="22" t="n">
        <f aca="false">IF($A305&gt;=Premissas!$C$18,O305*(1-Premissas!$C$45)-Premissas!$C$46*MAX(0,O305*(1-Premissas!$C$45)-(SUM($Q$5:$Q$355)+Premissas!$C$26*Premissas!$C$60)),"")</f>
        <v>971361.636484426</v>
      </c>
      <c r="U305" s="22" t="n">
        <f aca="false">IF($A305&gt;=Premissas!$C$18,S305+T305,"")</f>
        <v>1257904.18011851</v>
      </c>
      <c r="V305" s="22" t="n">
        <f aca="false">V304*(1+$P305)-R305</f>
        <v>905399.631597948</v>
      </c>
      <c r="W305" s="22" t="n">
        <f aca="false">($A305=Premissas!$C$16)*Premissas!$C$9</f>
        <v>0</v>
      </c>
      <c r="X305" s="22" t="n">
        <f aca="false">L305-M305-N305-W305</f>
        <v>3445.86004208069</v>
      </c>
      <c r="Y305" s="22" t="n">
        <f aca="false">Y304+X305</f>
        <v>255614.543634087</v>
      </c>
      <c r="Z305" s="22" t="n">
        <f aca="false">IF($A305&gt;=Premissas!$C$18,O305*(1-Premissas!$C$45)-Premissas!$C$46*MAX(0,O305*(1-Premissas!$C$45)-(SUM($W$5:$W$355)+Premissas!$C$26*Premissas!$C$60)),"")</f>
        <v>976000.836484426</v>
      </c>
      <c r="AA305" s="22" t="n">
        <f aca="false">IF($A305&gt;=Premissas!$C$18,Y305+Z305,"")</f>
        <v>1231615.38011851</v>
      </c>
      <c r="AB305" s="22" t="n">
        <f aca="false">AB304*(1+$P305)-X305</f>
        <v>1150950.38863075</v>
      </c>
      <c r="AC305" s="22" t="n">
        <f aca="false">AND($A305&gt;=Premissas!$C$16,$A305&lt;EDATE(Premissas!$C$16,3))*Premissas!$C$10/3*(1+Premissas!$C$56)^$C305</f>
        <v>0</v>
      </c>
      <c r="AD305" s="22" t="n">
        <f aca="false">L305-M305-N305-AC305</f>
        <v>3445.86004208069</v>
      </c>
      <c r="AE305" s="22" t="n">
        <f aca="false">AE304+AD305</f>
        <v>247994.079754062</v>
      </c>
      <c r="AF305" s="22" t="n">
        <f aca="false">IF($A305&gt;=Premissas!$C$18,O305*(1-Premissas!$C$45)-Premissas!$C$46*MAX(0,O305*(1-Premissas!$C$45)-(SUM($AC$5:$AC$355)+Premissas!$C$26*Premissas!$C$60)),"")</f>
        <v>977143.90606643</v>
      </c>
      <c r="AG305" s="22" t="n">
        <f aca="false">IF($A305&gt;=Premissas!$C$18,AE305+AF305,"")</f>
        <v>1225137.98582049</v>
      </c>
      <c r="AH305" s="22" t="n">
        <f aca="false">AH304*(1+$P305)-AD305</f>
        <v>1190090.98985597</v>
      </c>
      <c r="AI305" s="22" t="n">
        <f aca="false">($A305=Premissas!$C$16)*0.2*Premissas!$C$11+AND($A305&gt;Premissas!$C$16,$A305&lt;=EDATE(Premissas!$C$16,43))*0.8*Premissas!$C$11/43*(1+Premissas!$C$56)^$C305</f>
        <v>0</v>
      </c>
      <c r="AJ305" s="22" t="n">
        <f aca="false">L305-M305-N305-AI305</f>
        <v>3445.86004208069</v>
      </c>
      <c r="AK305" s="22" t="n">
        <f aca="false">AK304+AJ305</f>
        <v>202129.594336</v>
      </c>
      <c r="AL305" s="22" t="n">
        <f aca="false">IF($A305&gt;=Premissas!$C$18,O305*(1-Premissas!$C$45)-Premissas!$C$46*MAX(0,O305*(1-Premissas!$C$45)-(SUM($AI$5:$AI$355)+Premissas!$C$26*Premissas!$C$60)),"")</f>
        <v>984023.578879139</v>
      </c>
      <c r="AM305" s="22" t="n">
        <f aca="false">IF($A305&gt;=Premissas!$C$18,AK305+AL305,"")</f>
        <v>1186153.17321514</v>
      </c>
      <c r="AN305" s="22" t="n">
        <f aca="false">AN304*(1+$P305)-AJ305</f>
        <v>1226611.41165567</v>
      </c>
      <c r="AO305" s="22" t="n">
        <f aca="false">V305+S305</f>
        <v>1191942.17523203</v>
      </c>
    </row>
    <row r="306" customFormat="false" ht="15" hidden="false" customHeight="false" outlineLevel="0" collapsed="false">
      <c r="A306" s="26" t="n">
        <f aca="false">DATE(YEAR(A305),MONTH(A305)+1,1)</f>
        <v>55458</v>
      </c>
      <c r="B306" s="22" t="str">
        <f aca="false">IF($A306&lt;Premissas!$C$18,"Obra",IF($A306&lt;Premissas!$C$20,"Entrega/mobília","Airbnb"))</f>
        <v>Airbnb</v>
      </c>
      <c r="C306" s="36" t="n">
        <f aca="false">(YEAR($A306)-YEAR(Premissas!$C$16))*12+MONTH($A306)-MONTH(Premissas!$C$16)</f>
        <v>301</v>
      </c>
      <c r="D306" s="33" t="n">
        <f aca="false">IF($A306&gt;=Premissas!$C$20,Premissas!$C$31*IF(((YEAR($A306)-YEAR(Premissas!$C$20))*12+MONTH($A306)-MONTH(Premissas!$C$20))&lt;Premissas!$C$33,Premissas!$C$34,1),0)</f>
        <v>0.62</v>
      </c>
      <c r="E306" s="22" t="n">
        <f aca="false">D306*Premissas!$C$30*Premissas!$C$32*(1+Premissas!$C$58)^$C306</f>
        <v>12436.7206746149</v>
      </c>
      <c r="F306" s="22" t="n">
        <f aca="false">E306*Premissas!$C$35</f>
        <v>1989.87530793838</v>
      </c>
      <c r="G306" s="22" t="n">
        <f aca="false">E306*Premissas!$C$36</f>
        <v>2487.34413492297</v>
      </c>
      <c r="H306" s="22" t="n">
        <f aca="false">IF($A306&gt;=Premissas!$C$18,Premissas!$C$37*(1+Premissas!$C$58)^$C306,0)</f>
        <v>1604.73815156321</v>
      </c>
      <c r="I306" s="22" t="n">
        <f aca="false">IF($A306&gt;=Premissas!$C$20,Premissas!$C$38*(1+Premissas!$C$58)^$C306,0)</f>
        <v>748.877804062831</v>
      </c>
      <c r="J306" s="22" t="n">
        <f aca="false">IF($A306&gt;=Premissas!$C$20,Premissas!$C$39*(1+Premissas!$C$58)^$C306,0)</f>
        <v>401.184537890802</v>
      </c>
      <c r="K306" s="22" t="n">
        <f aca="false">IF($A306&gt;=Premissas!$C$20,MAX(0,E306-F306-G306-H306)*Premissas!$C$41,0)</f>
        <v>1747.55984705234</v>
      </c>
      <c r="L306" s="22" t="n">
        <f aca="false">E306-F306-G306-H306-I306-J306-K306</f>
        <v>3457.14089118434</v>
      </c>
      <c r="M306" s="22" t="n">
        <f aca="false">($A306=Premissas!$C$18)*Premissas!$C$26*Premissas!$C$60</f>
        <v>0</v>
      </c>
      <c r="N306" s="22" t="n">
        <f aca="false">IF(AND($A306&gt;=Premissas!$C$18,$A306&lt;Premissas!$C$20),Premissas!$C$27/MAX(1,Premissas!$C$19),0)</f>
        <v>0</v>
      </c>
      <c r="O306" s="22" t="n">
        <f aca="false">IF($A306&gt;=Premissas!$C$18,Premissas!$C$60*(1+Premissas!$C$59)^((YEAR($A306)-YEAR(Premissas!$C$18))*12+MONTH($A306)-MONTH(Premissas!$C$18)),"")</f>
        <v>1170445.84846279</v>
      </c>
      <c r="P306" s="31" t="n">
        <f aca="false">(1+IF(YEAR($A306)&lt;=2026,Premissas!$C$49,IF(YEAR($A306)=2027,Premissas!$C$50,IF(YEAR($A306)=2028,Premissas!$C$51,Premissas!$C$52)))*(1-Premissas!$C$53))^(1/12)-1</f>
        <v>0.00682149336596227</v>
      </c>
      <c r="Q306" s="22" t="n">
        <f aca="false">($A306=Premissas!$C$16)*Premissas!$C$13</f>
        <v>0</v>
      </c>
      <c r="R306" s="22" t="n">
        <f aca="false">L306-M306-N306-Q306</f>
        <v>3457.14089118434</v>
      </c>
      <c r="S306" s="22" t="n">
        <f aca="false">S305+R306</f>
        <v>289999.684525271</v>
      </c>
      <c r="T306" s="22" t="n">
        <f aca="false">IF($A306&gt;=Premissas!$C$18,O306*(1-Premissas!$C$45)-Premissas!$C$46*MAX(0,O306*(1-Premissas!$C$45)-(SUM($Q$5:$Q$355)+Premissas!$C$26*Premissas!$C$60)),"")</f>
        <v>975156.241268512</v>
      </c>
      <c r="U306" s="22" t="n">
        <f aca="false">IF($A306&gt;=Premissas!$C$18,S306+T306,"")</f>
        <v>1265155.92579378</v>
      </c>
      <c r="V306" s="22" t="n">
        <f aca="false">V305*(1+$P306)-R306</f>
        <v>908118.668287253</v>
      </c>
      <c r="W306" s="22" t="n">
        <f aca="false">($A306=Premissas!$C$16)*Premissas!$C$9</f>
        <v>0</v>
      </c>
      <c r="X306" s="22" t="n">
        <f aca="false">L306-M306-N306-W306</f>
        <v>3457.14089118434</v>
      </c>
      <c r="Y306" s="22" t="n">
        <f aca="false">Y305+X306</f>
        <v>259071.684525271</v>
      </c>
      <c r="Z306" s="22" t="n">
        <f aca="false">IF($A306&gt;=Premissas!$C$18,O306*(1-Premissas!$C$45)-Premissas!$C$46*MAX(0,O306*(1-Premissas!$C$45)-(SUM($W$5:$W$355)+Premissas!$C$26*Premissas!$C$60)),"")</f>
        <v>979795.441268512</v>
      </c>
      <c r="AA306" s="22" t="n">
        <f aca="false">IF($A306&gt;=Premissas!$C$18,Y306+Z306,"")</f>
        <v>1238867.12579378</v>
      </c>
      <c r="AB306" s="22" t="n">
        <f aca="false">AB305*(1+$P306)-X306</f>
        <v>1155344.44818016</v>
      </c>
      <c r="AC306" s="22" t="n">
        <f aca="false">AND($A306&gt;=Premissas!$C$16,$A306&lt;EDATE(Premissas!$C$16,3))*Premissas!$C$10/3*(1+Premissas!$C$56)^$C306</f>
        <v>0</v>
      </c>
      <c r="AD306" s="22" t="n">
        <f aca="false">L306-M306-N306-AC306</f>
        <v>3457.14089118434</v>
      </c>
      <c r="AE306" s="22" t="n">
        <f aca="false">AE305+AD306</f>
        <v>251451.220645246</v>
      </c>
      <c r="AF306" s="22" t="n">
        <f aca="false">IF($A306&gt;=Premissas!$C$18,O306*(1-Premissas!$C$45)-Premissas!$C$46*MAX(0,O306*(1-Premissas!$C$45)-(SUM($AC$5:$AC$355)+Premissas!$C$26*Premissas!$C$60)),"")</f>
        <v>980938.510850516</v>
      </c>
      <c r="AG306" s="22" t="n">
        <f aca="false">IF($A306&gt;=Premissas!$C$18,AE306+AF306,"")</f>
        <v>1232389.73149576</v>
      </c>
      <c r="AH306" s="22" t="n">
        <f aca="false">AH305*(1+$P306)-AD306</f>
        <v>1194752.04675698</v>
      </c>
      <c r="AI306" s="22" t="n">
        <f aca="false">($A306=Premissas!$C$16)*0.2*Premissas!$C$11+AND($A306&gt;Premissas!$C$16,$A306&lt;=EDATE(Premissas!$C$16,43))*0.8*Premissas!$C$11/43*(1+Premissas!$C$56)^$C306</f>
        <v>0</v>
      </c>
      <c r="AJ306" s="22" t="n">
        <f aca="false">L306-M306-N306-AI306</f>
        <v>3457.14089118434</v>
      </c>
      <c r="AK306" s="22" t="n">
        <f aca="false">AK305+AJ306</f>
        <v>205586.735227185</v>
      </c>
      <c r="AL306" s="22" t="n">
        <f aca="false">IF($A306&gt;=Premissas!$C$18,O306*(1-Premissas!$C$45)-Premissas!$C$46*MAX(0,O306*(1-Premissas!$C$45)-(SUM($AI$5:$AI$355)+Premissas!$C$26*Premissas!$C$60)),"")</f>
        <v>987818.183663225</v>
      </c>
      <c r="AM306" s="22" t="n">
        <f aca="false">IF($A306&gt;=Premissas!$C$18,AK306+AL306,"")</f>
        <v>1193404.91889041</v>
      </c>
      <c r="AN306" s="22" t="n">
        <f aca="false">AN305*(1+$P306)-AJ306</f>
        <v>1231521.59237171</v>
      </c>
      <c r="AO306" s="22" t="n">
        <f aca="false">V306+S306</f>
        <v>1198118.35281252</v>
      </c>
    </row>
    <row r="307" customFormat="false" ht="15" hidden="false" customHeight="false" outlineLevel="0" collapsed="false">
      <c r="A307" s="26" t="n">
        <f aca="false">DATE(YEAR(A306),MONTH(A306)+1,1)</f>
        <v>55488</v>
      </c>
      <c r="B307" s="22" t="str">
        <f aca="false">IF($A307&lt;Premissas!$C$18,"Obra",IF($A307&lt;Premissas!$C$20,"Entrega/mobília","Airbnb"))</f>
        <v>Airbnb</v>
      </c>
      <c r="C307" s="36" t="n">
        <f aca="false">(YEAR($A307)-YEAR(Premissas!$C$16))*12+MONTH($A307)-MONTH(Premissas!$C$16)</f>
        <v>302</v>
      </c>
      <c r="D307" s="33" t="n">
        <f aca="false">IF($A307&gt;=Premissas!$C$20,Premissas!$C$31*IF(((YEAR($A307)-YEAR(Premissas!$C$20))*12+MONTH($A307)-MONTH(Premissas!$C$20))&lt;Premissas!$C$33,Premissas!$C$34,1),0)</f>
        <v>0.62</v>
      </c>
      <c r="E307" s="22" t="n">
        <f aca="false">D307*Premissas!$C$30*Premissas!$C$32*(1+Premissas!$C$58)^$C307</f>
        <v>12477.4352618475</v>
      </c>
      <c r="F307" s="22" t="n">
        <f aca="false">E307*Premissas!$C$35</f>
        <v>1996.38964189559</v>
      </c>
      <c r="G307" s="22" t="n">
        <f aca="false">E307*Premissas!$C$36</f>
        <v>2495.48705236949</v>
      </c>
      <c r="H307" s="22" t="n">
        <f aca="false">IF($A307&gt;=Premissas!$C$18,Premissas!$C$37*(1+Premissas!$C$58)^$C307,0)</f>
        <v>1609.99164668999</v>
      </c>
      <c r="I307" s="22" t="n">
        <f aca="false">IF($A307&gt;=Premissas!$C$20,Premissas!$C$38*(1+Premissas!$C$58)^$C307,0)</f>
        <v>751.329435121997</v>
      </c>
      <c r="J307" s="22" t="n">
        <f aca="false">IF($A307&gt;=Premissas!$C$20,Premissas!$C$39*(1+Premissas!$C$58)^$C307,0)</f>
        <v>402.497911672499</v>
      </c>
      <c r="K307" s="22" t="n">
        <f aca="false">IF($A307&gt;=Premissas!$C$20,MAX(0,E307-F307-G307-H307)*Premissas!$C$41,0)</f>
        <v>1753.2809032454</v>
      </c>
      <c r="L307" s="22" t="n">
        <f aca="false">E307-F307-G307-H307-I307-J307-K307</f>
        <v>3468.45867085248</v>
      </c>
      <c r="M307" s="22" t="n">
        <f aca="false">($A307=Premissas!$C$18)*Premissas!$C$26*Premissas!$C$60</f>
        <v>0</v>
      </c>
      <c r="N307" s="22" t="n">
        <f aca="false">IF(AND($A307&gt;=Premissas!$C$18,$A307&lt;Premissas!$C$20),Premissas!$C$27/MAX(1,Premissas!$C$19),0)</f>
        <v>0</v>
      </c>
      <c r="O307" s="22" t="n">
        <f aca="false">IF($A307&gt;=Premissas!$C$18,Premissas!$C$60*(1+Premissas!$C$59)^((YEAR($A307)-YEAR(Premissas!$C$18))*12+MONTH($A307)-MONTH(Premissas!$C$18)),"")</f>
        <v>1175214.38973148</v>
      </c>
      <c r="P307" s="31" t="n">
        <f aca="false">(1+IF(YEAR($A307)&lt;=2026,Premissas!$C$49,IF(YEAR($A307)=2027,Premissas!$C$50,IF(YEAR($A307)=2028,Premissas!$C$51,Premissas!$C$52)))*(1-Premissas!$C$53))^(1/12)-1</f>
        <v>0.00682149336596227</v>
      </c>
      <c r="Q307" s="22" t="n">
        <f aca="false">($A307=Premissas!$C$16)*Premissas!$C$13</f>
        <v>0</v>
      </c>
      <c r="R307" s="22" t="n">
        <f aca="false">L307-M307-N307-Q307</f>
        <v>3468.45867085248</v>
      </c>
      <c r="S307" s="22" t="n">
        <f aca="false">S306+R307</f>
        <v>293468.143196124</v>
      </c>
      <c r="T307" s="22" t="n">
        <f aca="false">IF($A307&gt;=Premissas!$C$18,O307*(1-Premissas!$C$45)-Premissas!$C$46*MAX(0,O307*(1-Premissas!$C$45)-(SUM($Q$5:$Q$355)+Premissas!$C$26*Premissas!$C$60)),"")</f>
        <v>978966.305742199</v>
      </c>
      <c r="U307" s="22" t="n">
        <f aca="false">IF($A307&gt;=Premissas!$C$18,S307+T307,"")</f>
        <v>1272434.44893832</v>
      </c>
      <c r="V307" s="22" t="n">
        <f aca="false">V306*(1+$P307)-R307</f>
        <v>910844.935087629</v>
      </c>
      <c r="W307" s="22" t="n">
        <f aca="false">($A307=Premissas!$C$16)*Premissas!$C$9</f>
        <v>0</v>
      </c>
      <c r="X307" s="22" t="n">
        <f aca="false">L307-M307-N307-W307</f>
        <v>3468.45867085248</v>
      </c>
      <c r="Y307" s="22" t="n">
        <f aca="false">Y306+X307</f>
        <v>262540.143196124</v>
      </c>
      <c r="Z307" s="22" t="n">
        <f aca="false">IF($A307&gt;=Premissas!$C$18,O307*(1-Premissas!$C$45)-Premissas!$C$46*MAX(0,O307*(1-Premissas!$C$45)-(SUM($W$5:$W$355)+Premissas!$C$26*Premissas!$C$60)),"")</f>
        <v>983605.505742199</v>
      </c>
      <c r="AA307" s="22" t="n">
        <f aca="false">IF($A307&gt;=Premissas!$C$18,Y307+Z307,"")</f>
        <v>1246145.64893832</v>
      </c>
      <c r="AB307" s="22" t="n">
        <f aca="false">AB306*(1+$P307)-X307</f>
        <v>1159757.16399797</v>
      </c>
      <c r="AC307" s="22" t="n">
        <f aca="false">AND($A307&gt;=Premissas!$C$16,$A307&lt;EDATE(Premissas!$C$16,3))*Premissas!$C$10/3*(1+Premissas!$C$56)^$C307</f>
        <v>0</v>
      </c>
      <c r="AD307" s="22" t="n">
        <f aca="false">L307-M307-N307-AC307</f>
        <v>3468.45867085248</v>
      </c>
      <c r="AE307" s="22" t="n">
        <f aca="false">AE306+AD307</f>
        <v>254919.679316099</v>
      </c>
      <c r="AF307" s="22" t="n">
        <f aca="false">IF($A307&gt;=Premissas!$C$18,O307*(1-Premissas!$C$45)-Premissas!$C$46*MAX(0,O307*(1-Premissas!$C$45)-(SUM($AC$5:$AC$355)+Premissas!$C$26*Premissas!$C$60)),"")</f>
        <v>984748.575324203</v>
      </c>
      <c r="AG307" s="22" t="n">
        <f aca="false">IF($A307&gt;=Premissas!$C$18,AE307+AF307,"")</f>
        <v>1239668.2546403</v>
      </c>
      <c r="AH307" s="22" t="n">
        <f aca="false">AH306*(1+$P307)-AD307</f>
        <v>1199433.58124705</v>
      </c>
      <c r="AI307" s="22" t="n">
        <f aca="false">($A307=Premissas!$C$16)*0.2*Premissas!$C$11+AND($A307&gt;Premissas!$C$16,$A307&lt;=EDATE(Premissas!$C$16,43))*0.8*Premissas!$C$11/43*(1+Premissas!$C$56)^$C307</f>
        <v>0</v>
      </c>
      <c r="AJ307" s="22" t="n">
        <f aca="false">L307-M307-N307-AI307</f>
        <v>3468.45867085248</v>
      </c>
      <c r="AK307" s="22" t="n">
        <f aca="false">AK306+AJ307</f>
        <v>209055.193898037</v>
      </c>
      <c r="AL307" s="22" t="n">
        <f aca="false">IF($A307&gt;=Premissas!$C$18,O307*(1-Premissas!$C$45)-Premissas!$C$46*MAX(0,O307*(1-Premissas!$C$45)-(SUM($AI$5:$AI$355)+Premissas!$C$26*Premissas!$C$60)),"")</f>
        <v>991628.248136912</v>
      </c>
      <c r="AM307" s="22" t="n">
        <f aca="false">IF($A307&gt;=Premissas!$C$18,AK307+AL307,"")</f>
        <v>1200683.44203495</v>
      </c>
      <c r="AN307" s="22" t="n">
        <f aca="false">AN306*(1+$P307)-AJ307</f>
        <v>1236453.95007326</v>
      </c>
      <c r="AO307" s="22" t="n">
        <f aca="false">V307+S307</f>
        <v>1204313.07828375</v>
      </c>
    </row>
    <row r="308" customFormat="false" ht="15" hidden="false" customHeight="false" outlineLevel="0" collapsed="false">
      <c r="A308" s="26" t="n">
        <f aca="false">DATE(YEAR(A307),MONTH(A307)+1,1)</f>
        <v>55519</v>
      </c>
      <c r="B308" s="22" t="str">
        <f aca="false">IF($A308&lt;Premissas!$C$18,"Obra",IF($A308&lt;Premissas!$C$20,"Entrega/mobília","Airbnb"))</f>
        <v>Airbnb</v>
      </c>
      <c r="C308" s="36" t="n">
        <f aca="false">(YEAR($A308)-YEAR(Premissas!$C$16))*12+MONTH($A308)-MONTH(Premissas!$C$16)</f>
        <v>303</v>
      </c>
      <c r="D308" s="33" t="n">
        <f aca="false">IF($A308&gt;=Premissas!$C$20,Premissas!$C$31*IF(((YEAR($A308)-YEAR(Premissas!$C$20))*12+MONTH($A308)-MONTH(Premissas!$C$20))&lt;Premissas!$C$33,Premissas!$C$34,1),0)</f>
        <v>0.62</v>
      </c>
      <c r="E308" s="22" t="n">
        <f aca="false">D308*Premissas!$C$30*Premissas!$C$32*(1+Premissas!$C$58)^$C308</f>
        <v>12518.283138044</v>
      </c>
      <c r="F308" s="22" t="n">
        <f aca="false">E308*Premissas!$C$35</f>
        <v>2002.92530208704</v>
      </c>
      <c r="G308" s="22" t="n">
        <f aca="false">E308*Premissas!$C$36</f>
        <v>2503.6566276088</v>
      </c>
      <c r="H308" s="22" t="n">
        <f aca="false">IF($A308&gt;=Premissas!$C$18,Premissas!$C$37*(1+Premissas!$C$58)^$C308,0)</f>
        <v>1615.26234039277</v>
      </c>
      <c r="I308" s="22" t="n">
        <f aca="false">IF($A308&gt;=Premissas!$C$20,Premissas!$C$38*(1+Premissas!$C$58)^$C308,0)</f>
        <v>753.789092183293</v>
      </c>
      <c r="J308" s="22" t="n">
        <f aca="false">IF($A308&gt;=Premissas!$C$20,Premissas!$C$39*(1+Premissas!$C$58)^$C308,0)</f>
        <v>403.815585098193</v>
      </c>
      <c r="K308" s="22" t="n">
        <f aca="false">IF($A308&gt;=Premissas!$C$20,MAX(0,E308-F308-G308-H308)*Premissas!$C$41,0)</f>
        <v>1759.02068868773</v>
      </c>
      <c r="L308" s="22" t="n">
        <f aca="false">E308-F308-G308-H308-I308-J308-K308</f>
        <v>3479.81350198616</v>
      </c>
      <c r="M308" s="22" t="n">
        <f aca="false">($A308=Premissas!$C$18)*Premissas!$C$26*Premissas!$C$60</f>
        <v>0</v>
      </c>
      <c r="N308" s="22" t="n">
        <f aca="false">IF(AND($A308&gt;=Premissas!$C$18,$A308&lt;Premissas!$C$20),Premissas!$C$27/MAX(1,Premissas!$C$19),0)</f>
        <v>0</v>
      </c>
      <c r="O308" s="22" t="n">
        <f aca="false">IF($A308&gt;=Premissas!$C$18,Premissas!$C$60*(1+Premissas!$C$59)^((YEAR($A308)-YEAR(Premissas!$C$18))*12+MONTH($A308)-MONTH(Premissas!$C$18)),"")</f>
        <v>1180002.35862757</v>
      </c>
      <c r="P308" s="31" t="n">
        <f aca="false">(1+IF(YEAR($A308)&lt;=2026,Premissas!$C$49,IF(YEAR($A308)=2027,Premissas!$C$50,IF(YEAR($A308)=2028,Premissas!$C$51,Premissas!$C$52)))*(1-Premissas!$C$53))^(1/12)-1</f>
        <v>0.00682149336596227</v>
      </c>
      <c r="Q308" s="22" t="n">
        <f aca="false">($A308=Premissas!$C$16)*Premissas!$C$13</f>
        <v>0</v>
      </c>
      <c r="R308" s="22" t="n">
        <f aca="false">L308-M308-N308-Q308</f>
        <v>3479.81350198616</v>
      </c>
      <c r="S308" s="22" t="n">
        <f aca="false">S307+R308</f>
        <v>296947.95669811</v>
      </c>
      <c r="T308" s="22" t="n">
        <f aca="false">IF($A308&gt;=Premissas!$C$18,O308*(1-Premissas!$C$45)-Premissas!$C$46*MAX(0,O308*(1-Premissas!$C$45)-(SUM($Q$5:$Q$355)+Premissas!$C$26*Premissas!$C$60)),"")</f>
        <v>982791.892890176</v>
      </c>
      <c r="U308" s="22" t="n">
        <f aca="false">IF($A308&gt;=Premissas!$C$18,S308+T308,"")</f>
        <v>1279739.84958829</v>
      </c>
      <c r="V308" s="22" t="n">
        <f aca="false">V307*(1+$P308)-R308</f>
        <v>913578.444267763</v>
      </c>
      <c r="W308" s="22" t="n">
        <f aca="false">($A308=Premissas!$C$16)*Premissas!$C$9</f>
        <v>0</v>
      </c>
      <c r="X308" s="22" t="n">
        <f aca="false">L308-M308-N308-W308</f>
        <v>3479.81350198616</v>
      </c>
      <c r="Y308" s="22" t="n">
        <f aca="false">Y307+X308</f>
        <v>266019.95669811</v>
      </c>
      <c r="Z308" s="22" t="n">
        <f aca="false">IF($A308&gt;=Premissas!$C$18,O308*(1-Premissas!$C$45)-Premissas!$C$46*MAX(0,O308*(1-Premissas!$C$45)-(SUM($W$5:$W$355)+Premissas!$C$26*Premissas!$C$60)),"")</f>
        <v>987431.092890176</v>
      </c>
      <c r="AA308" s="22" t="n">
        <f aca="false">IF($A308&gt;=Premissas!$C$18,Y308+Z308,"")</f>
        <v>1253451.04958829</v>
      </c>
      <c r="AB308" s="22" t="n">
        <f aca="false">AB307*(1+$P308)-X308</f>
        <v>1164188.62629633</v>
      </c>
      <c r="AC308" s="22" t="n">
        <f aca="false">AND($A308&gt;=Premissas!$C$16,$A308&lt;EDATE(Premissas!$C$16,3))*Premissas!$C$10/3*(1+Premissas!$C$56)^$C308</f>
        <v>0</v>
      </c>
      <c r="AD308" s="22" t="n">
        <f aca="false">L308-M308-N308-AC308</f>
        <v>3479.81350198616</v>
      </c>
      <c r="AE308" s="22" t="n">
        <f aca="false">AE307+AD308</f>
        <v>258399.492818085</v>
      </c>
      <c r="AF308" s="22" t="n">
        <f aca="false">IF($A308&gt;=Premissas!$C$18,O308*(1-Premissas!$C$45)-Premissas!$C$46*MAX(0,O308*(1-Premissas!$C$45)-(SUM($AC$5:$AC$355)+Premissas!$C$26*Premissas!$C$60)),"")</f>
        <v>988574.16247218</v>
      </c>
      <c r="AG308" s="22" t="n">
        <f aca="false">IF($A308&gt;=Premissas!$C$18,AE308+AF308,"")</f>
        <v>1246973.65529026</v>
      </c>
      <c r="AH308" s="22" t="n">
        <f aca="false">AH307*(1+$P308)-AD308</f>
        <v>1204135.69596245</v>
      </c>
      <c r="AI308" s="22" t="n">
        <f aca="false">($A308=Premissas!$C$16)*0.2*Premissas!$C$11+AND($A308&gt;Premissas!$C$16,$A308&lt;=EDATE(Premissas!$C$16,43))*0.8*Premissas!$C$11/43*(1+Premissas!$C$56)^$C308</f>
        <v>0</v>
      </c>
      <c r="AJ308" s="22" t="n">
        <f aca="false">L308-M308-N308-AI308</f>
        <v>3479.81350198616</v>
      </c>
      <c r="AK308" s="22" t="n">
        <f aca="false">AK307+AJ308</f>
        <v>212535.007400023</v>
      </c>
      <c r="AL308" s="22" t="n">
        <f aca="false">IF($A308&gt;=Premissas!$C$18,O308*(1-Premissas!$C$45)-Premissas!$C$46*MAX(0,O308*(1-Premissas!$C$45)-(SUM($AI$5:$AI$355)+Premissas!$C$26*Premissas!$C$60)),"")</f>
        <v>995453.835284889</v>
      </c>
      <c r="AM308" s="22" t="n">
        <f aca="false">IF($A308&gt;=Premissas!$C$18,AK308+AL308,"")</f>
        <v>1207988.84268491</v>
      </c>
      <c r="AN308" s="22" t="n">
        <f aca="false">AN307*(1+$P308)-AJ308</f>
        <v>1241408.59898902</v>
      </c>
      <c r="AO308" s="22" t="n">
        <f aca="false">V308+S308</f>
        <v>1210526.40096587</v>
      </c>
    </row>
    <row r="309" customFormat="false" ht="15" hidden="false" customHeight="false" outlineLevel="0" collapsed="false">
      <c r="A309" s="26" t="n">
        <f aca="false">DATE(YEAR(A308),MONTH(A308)+1,1)</f>
        <v>55550</v>
      </c>
      <c r="B309" s="22" t="str">
        <f aca="false">IF($A309&lt;Premissas!$C$18,"Obra",IF($A309&lt;Premissas!$C$20,"Entrega/mobília","Airbnb"))</f>
        <v>Airbnb</v>
      </c>
      <c r="C309" s="36" t="n">
        <f aca="false">(YEAR($A309)-YEAR(Premissas!$C$16))*12+MONTH($A309)-MONTH(Premissas!$C$16)</f>
        <v>304</v>
      </c>
      <c r="D309" s="33" t="n">
        <f aca="false">IF($A309&gt;=Premissas!$C$20,Premissas!$C$31*IF(((YEAR($A309)-YEAR(Premissas!$C$20))*12+MONTH($A309)-MONTH(Premissas!$C$20))&lt;Premissas!$C$33,Premissas!$C$34,1),0)</f>
        <v>0.62</v>
      </c>
      <c r="E309" s="22" t="n">
        <f aca="false">D309*Premissas!$C$30*Premissas!$C$32*(1+Premissas!$C$58)^$C309</f>
        <v>12559.2647395578</v>
      </c>
      <c r="F309" s="22" t="n">
        <f aca="false">E309*Premissas!$C$35</f>
        <v>2009.48235832925</v>
      </c>
      <c r="G309" s="22" t="n">
        <f aca="false">E309*Premissas!$C$36</f>
        <v>2511.85294791156</v>
      </c>
      <c r="H309" s="22" t="n">
        <f aca="false">IF($A309&gt;=Premissas!$C$18,Premissas!$C$37*(1+Premissas!$C$58)^$C309,0)</f>
        <v>1620.5502889752</v>
      </c>
      <c r="I309" s="22" t="n">
        <f aca="false">IF($A309&gt;=Premissas!$C$20,Premissas!$C$38*(1+Premissas!$C$58)^$C309,0)</f>
        <v>756.256801521761</v>
      </c>
      <c r="J309" s="22" t="n">
        <f aca="false">IF($A309&gt;=Premissas!$C$20,Premissas!$C$39*(1+Premissas!$C$58)^$C309,0)</f>
        <v>405.137572243801</v>
      </c>
      <c r="K309" s="22" t="n">
        <f aca="false">IF($A309&gt;=Premissas!$C$20,MAX(0,E309-F309-G309-H309)*Premissas!$C$41,0)</f>
        <v>1764.779264694</v>
      </c>
      <c r="L309" s="22" t="n">
        <f aca="false">E309-F309-G309-H309-I309-J309-K309</f>
        <v>3491.20550588225</v>
      </c>
      <c r="M309" s="22" t="n">
        <f aca="false">($A309=Premissas!$C$18)*Premissas!$C$26*Premissas!$C$60</f>
        <v>0</v>
      </c>
      <c r="N309" s="22" t="n">
        <f aca="false">IF(AND($A309&gt;=Premissas!$C$18,$A309&lt;Premissas!$C$20),Premissas!$C$27/MAX(1,Premissas!$C$19),0)</f>
        <v>0</v>
      </c>
      <c r="O309" s="22" t="n">
        <f aca="false">IF($A309&gt;=Premissas!$C$18,Premissas!$C$60*(1+Premissas!$C$59)^((YEAR($A309)-YEAR(Premissas!$C$18))*12+MONTH($A309)-MONTH(Premissas!$C$18)),"")</f>
        <v>1184809.83430162</v>
      </c>
      <c r="P309" s="31" t="n">
        <f aca="false">(1+IF(YEAR($A309)&lt;=2026,Premissas!$C$49,IF(YEAR($A309)=2027,Premissas!$C$50,IF(YEAR($A309)=2028,Premissas!$C$51,Premissas!$C$52)))*(1-Premissas!$C$53))^(1/12)-1</f>
        <v>0.00682149336596227</v>
      </c>
      <c r="Q309" s="22" t="n">
        <f aca="false">($A309=Premissas!$C$16)*Premissas!$C$13</f>
        <v>0</v>
      </c>
      <c r="R309" s="22" t="n">
        <f aca="false">L309-M309-N309-Q309</f>
        <v>3491.20550588225</v>
      </c>
      <c r="S309" s="22" t="n">
        <f aca="false">S308+R309</f>
        <v>300439.162203992</v>
      </c>
      <c r="T309" s="22" t="n">
        <f aca="false">IF($A309&gt;=Premissas!$C$18,O309*(1-Premissas!$C$45)-Premissas!$C$46*MAX(0,O309*(1-Premissas!$C$45)-(SUM($Q$5:$Q$355)+Premissas!$C$26*Premissas!$C$60)),"")</f>
        <v>986633.065953738</v>
      </c>
      <c r="U309" s="22" t="n">
        <f aca="false">IF($A309&gt;=Premissas!$C$18,S309+T309,"")</f>
        <v>1287072.22815773</v>
      </c>
      <c r="V309" s="22" t="n">
        <f aca="false">V308*(1+$P309)-R309</f>
        <v>916319.20805874</v>
      </c>
      <c r="W309" s="22" t="n">
        <f aca="false">($A309=Premissas!$C$16)*Premissas!$C$9</f>
        <v>0</v>
      </c>
      <c r="X309" s="22" t="n">
        <f aca="false">L309-M309-N309-W309</f>
        <v>3491.20550588225</v>
      </c>
      <c r="Y309" s="22" t="n">
        <f aca="false">Y308+X309</f>
        <v>269511.162203992</v>
      </c>
      <c r="Z309" s="22" t="n">
        <f aca="false">IF($A309&gt;=Premissas!$C$18,O309*(1-Premissas!$C$45)-Premissas!$C$46*MAX(0,O309*(1-Premissas!$C$45)-(SUM($W$5:$W$355)+Premissas!$C$26*Premissas!$C$60)),"")</f>
        <v>991272.265953738</v>
      </c>
      <c r="AA309" s="22" t="n">
        <f aca="false">IF($A309&gt;=Premissas!$C$18,Y309+Z309,"")</f>
        <v>1260783.42815773</v>
      </c>
      <c r="AB309" s="22" t="n">
        <f aca="false">AB308*(1+$P309)-X309</f>
        <v>1168638.92578145</v>
      </c>
      <c r="AC309" s="22" t="n">
        <f aca="false">AND($A309&gt;=Premissas!$C$16,$A309&lt;EDATE(Premissas!$C$16,3))*Premissas!$C$10/3*(1+Premissas!$C$56)^$C309</f>
        <v>0</v>
      </c>
      <c r="AD309" s="22" t="n">
        <f aca="false">L309-M309-N309-AC309</f>
        <v>3491.20550588225</v>
      </c>
      <c r="AE309" s="22" t="n">
        <f aca="false">AE308+AD309</f>
        <v>261890.698323967</v>
      </c>
      <c r="AF309" s="22" t="n">
        <f aca="false">IF($A309&gt;=Premissas!$C$18,O309*(1-Premissas!$C$45)-Premissas!$C$46*MAX(0,O309*(1-Premissas!$C$45)-(SUM($AC$5:$AC$355)+Premissas!$C$26*Premissas!$C$60)),"")</f>
        <v>992415.335535742</v>
      </c>
      <c r="AG309" s="22" t="n">
        <f aca="false">IF($A309&gt;=Premissas!$C$18,AE309+AF309,"")</f>
        <v>1254306.03385971</v>
      </c>
      <c r="AH309" s="22" t="n">
        <f aca="false">AH308*(1+$P309)-AD309</f>
        <v>1208858.4941183</v>
      </c>
      <c r="AI309" s="22" t="n">
        <f aca="false">($A309=Premissas!$C$16)*0.2*Premissas!$C$11+AND($A309&gt;Premissas!$C$16,$A309&lt;=EDATE(Premissas!$C$16,43))*0.8*Premissas!$C$11/43*(1+Premissas!$C$56)^$C309</f>
        <v>0</v>
      </c>
      <c r="AJ309" s="22" t="n">
        <f aca="false">L309-M309-N309-AI309</f>
        <v>3491.20550588225</v>
      </c>
      <c r="AK309" s="22" t="n">
        <f aca="false">AK308+AJ309</f>
        <v>216026.212905905</v>
      </c>
      <c r="AL309" s="22" t="n">
        <f aca="false">IF($A309&gt;=Premissas!$C$18,O309*(1-Premissas!$C$45)-Premissas!$C$46*MAX(0,O309*(1-Premissas!$C$45)-(SUM($AI$5:$AI$355)+Premissas!$C$26*Premissas!$C$60)),"")</f>
        <v>999295.008348451</v>
      </c>
      <c r="AM309" s="22" t="n">
        <f aca="false">IF($A309&gt;=Premissas!$C$18,AK309+AL309,"")</f>
        <v>1215321.22125436</v>
      </c>
      <c r="AN309" s="22" t="n">
        <f aca="false">AN308*(1+$P309)-AJ309</f>
        <v>1246385.65400559</v>
      </c>
      <c r="AO309" s="22" t="n">
        <f aca="false">V309+S309</f>
        <v>1216758.37026273</v>
      </c>
    </row>
    <row r="310" customFormat="false" ht="15" hidden="false" customHeight="false" outlineLevel="0" collapsed="false">
      <c r="A310" s="26" t="n">
        <f aca="false">DATE(YEAR(A309),MONTH(A309)+1,1)</f>
        <v>55579</v>
      </c>
      <c r="B310" s="22" t="str">
        <f aca="false">IF($A310&lt;Premissas!$C$18,"Obra",IF($A310&lt;Premissas!$C$20,"Entrega/mobília","Airbnb"))</f>
        <v>Airbnb</v>
      </c>
      <c r="C310" s="36" t="n">
        <f aca="false">(YEAR($A310)-YEAR(Premissas!$C$16))*12+MONTH($A310)-MONTH(Premissas!$C$16)</f>
        <v>305</v>
      </c>
      <c r="D310" s="33" t="n">
        <f aca="false">IF($A310&gt;=Premissas!$C$20,Premissas!$C$31*IF(((YEAR($A310)-YEAR(Premissas!$C$20))*12+MONTH($A310)-MONTH(Premissas!$C$20))&lt;Premissas!$C$33,Premissas!$C$34,1),0)</f>
        <v>0.62</v>
      </c>
      <c r="E310" s="22" t="n">
        <f aca="false">D310*Premissas!$C$30*Premissas!$C$32*(1+Premissas!$C$58)^$C310</f>
        <v>12600.3805041709</v>
      </c>
      <c r="F310" s="22" t="n">
        <f aca="false">E310*Premissas!$C$35</f>
        <v>2016.06088066734</v>
      </c>
      <c r="G310" s="22" t="n">
        <f aca="false">E310*Premissas!$C$36</f>
        <v>2520.07610083418</v>
      </c>
      <c r="H310" s="22" t="n">
        <f aca="false">IF($A310&gt;=Premissas!$C$18,Premissas!$C$37*(1+Premissas!$C$58)^$C310,0)</f>
        <v>1625.85554892527</v>
      </c>
      <c r="I310" s="22" t="n">
        <f aca="false">IF($A310&gt;=Premissas!$C$20,Premissas!$C$38*(1+Premissas!$C$58)^$C310,0)</f>
        <v>758.732589498462</v>
      </c>
      <c r="J310" s="22" t="n">
        <f aca="false">IF($A310&gt;=Premissas!$C$20,Premissas!$C$39*(1+Premissas!$C$58)^$C310,0)</f>
        <v>406.463887231319</v>
      </c>
      <c r="K310" s="22" t="n">
        <f aca="false">IF($A310&gt;=Premissas!$C$20,MAX(0,E310-F310-G310-H310)*Premissas!$C$41,0)</f>
        <v>1770.55669277962</v>
      </c>
      <c r="L310" s="22" t="n">
        <f aca="false">E310-F310-G310-H310-I310-J310-K310</f>
        <v>3502.63480423468</v>
      </c>
      <c r="M310" s="22" t="n">
        <f aca="false">($A310=Premissas!$C$18)*Premissas!$C$26*Premissas!$C$60</f>
        <v>0</v>
      </c>
      <c r="N310" s="22" t="n">
        <f aca="false">IF(AND($A310&gt;=Premissas!$C$18,$A310&lt;Premissas!$C$20),Premissas!$C$27/MAX(1,Premissas!$C$19),0)</f>
        <v>0</v>
      </c>
      <c r="O310" s="22" t="n">
        <f aca="false">IF($A310&gt;=Premissas!$C$18,Premissas!$C$60*(1+Premissas!$C$59)^((YEAR($A310)-YEAR(Premissas!$C$18))*12+MONTH($A310)-MONTH(Premissas!$C$18)),"")</f>
        <v>1189636.89622665</v>
      </c>
      <c r="P310" s="31" t="n">
        <f aca="false">(1+IF(YEAR($A310)&lt;=2026,Premissas!$C$49,IF(YEAR($A310)=2027,Premissas!$C$50,IF(YEAR($A310)=2028,Premissas!$C$51,Premissas!$C$52)))*(1-Premissas!$C$53))^(1/12)-1</f>
        <v>0.00682149336596227</v>
      </c>
      <c r="Q310" s="22" t="n">
        <f aca="false">($A310=Premissas!$C$16)*Premissas!$C$13</f>
        <v>0</v>
      </c>
      <c r="R310" s="22" t="n">
        <f aca="false">L310-M310-N310-Q310</f>
        <v>3502.63480423468</v>
      </c>
      <c r="S310" s="22" t="n">
        <f aca="false">S309+R310</f>
        <v>303941.797008227</v>
      </c>
      <c r="T310" s="22" t="n">
        <f aca="false">IF($A310&gt;=Premissas!$C$18,O310*(1-Premissas!$C$45)-Premissas!$C$46*MAX(0,O310*(1-Premissas!$C$45)-(SUM($Q$5:$Q$355)+Premissas!$C$26*Premissas!$C$60)),"")</f>
        <v>990489.888431836</v>
      </c>
      <c r="U310" s="22" t="n">
        <f aca="false">IF($A310&gt;=Premissas!$C$18,S310+T310,"")</f>
        <v>1294431.68544006</v>
      </c>
      <c r="V310" s="22" t="n">
        <f aca="false">V309*(1+$P310)-R310</f>
        <v>919067.238653382</v>
      </c>
      <c r="W310" s="22" t="n">
        <f aca="false">($A310=Premissas!$C$16)*Premissas!$C$9</f>
        <v>0</v>
      </c>
      <c r="X310" s="22" t="n">
        <f aca="false">L310-M310-N310-W310</f>
        <v>3502.63480423468</v>
      </c>
      <c r="Y310" s="22" t="n">
        <f aca="false">Y309+X310</f>
        <v>273013.797008227</v>
      </c>
      <c r="Z310" s="22" t="n">
        <f aca="false">IF($A310&gt;=Premissas!$C$18,O310*(1-Premissas!$C$45)-Premissas!$C$46*MAX(0,O310*(1-Premissas!$C$45)-(SUM($W$5:$W$355)+Premissas!$C$26*Premissas!$C$60)),"")</f>
        <v>995129.088431836</v>
      </c>
      <c r="AA310" s="22" t="n">
        <f aca="false">IF($A310&gt;=Premissas!$C$18,Y310+Z310,"")</f>
        <v>1268142.88544006</v>
      </c>
      <c r="AB310" s="22" t="n">
        <f aca="false">AB309*(1+$P310)-X310</f>
        <v>1173108.15365664</v>
      </c>
      <c r="AC310" s="22" t="n">
        <f aca="false">AND($A310&gt;=Premissas!$C$16,$A310&lt;EDATE(Premissas!$C$16,3))*Premissas!$C$10/3*(1+Premissas!$C$56)^$C310</f>
        <v>0</v>
      </c>
      <c r="AD310" s="22" t="n">
        <f aca="false">L310-M310-N310-AC310</f>
        <v>3502.63480423468</v>
      </c>
      <c r="AE310" s="22" t="n">
        <f aca="false">AE309+AD310</f>
        <v>265393.333128202</v>
      </c>
      <c r="AF310" s="22" t="n">
        <f aca="false">IF($A310&gt;=Premissas!$C$18,O310*(1-Premissas!$C$45)-Premissas!$C$46*MAX(0,O310*(1-Premissas!$C$45)-(SUM($AC$5:$AC$355)+Premissas!$C$26*Premissas!$C$60)),"")</f>
        <v>996272.15801384</v>
      </c>
      <c r="AG310" s="22" t="n">
        <f aca="false">IF($A310&gt;=Premissas!$C$18,AE310+AF310,"")</f>
        <v>1261665.49114204</v>
      </c>
      <c r="AH310" s="22" t="n">
        <f aca="false">AH309*(1+$P310)-AD310</f>
        <v>1213602.07951208</v>
      </c>
      <c r="AI310" s="22" t="n">
        <f aca="false">($A310=Premissas!$C$16)*0.2*Premissas!$C$11+AND($A310&gt;Premissas!$C$16,$A310&lt;=EDATE(Premissas!$C$16,43))*0.8*Premissas!$C$11/43*(1+Premissas!$C$56)^$C310</f>
        <v>0</v>
      </c>
      <c r="AJ310" s="22" t="n">
        <f aca="false">L310-M310-N310-AI310</f>
        <v>3502.63480423468</v>
      </c>
      <c r="AK310" s="22" t="n">
        <f aca="false">AK309+AJ310</f>
        <v>219528.84771014</v>
      </c>
      <c r="AL310" s="22" t="n">
        <f aca="false">IF($A310&gt;=Premissas!$C$18,O310*(1-Premissas!$C$45)-Premissas!$C$46*MAX(0,O310*(1-Premissas!$C$45)-(SUM($AI$5:$AI$355)+Premissas!$C$26*Premissas!$C$60)),"")</f>
        <v>1003151.83082655</v>
      </c>
      <c r="AM310" s="22" t="n">
        <f aca="false">IF($A310&gt;=Premissas!$C$18,AK310+AL310,"")</f>
        <v>1222680.67853669</v>
      </c>
      <c r="AN310" s="22" t="n">
        <f aca="false">AN309*(1+$P310)-AJ310</f>
        <v>1251385.23067158</v>
      </c>
      <c r="AO310" s="22" t="n">
        <f aca="false">V310+S310</f>
        <v>1223009.03566161</v>
      </c>
    </row>
    <row r="311" customFormat="false" ht="15" hidden="false" customHeight="false" outlineLevel="0" collapsed="false">
      <c r="A311" s="26" t="n">
        <f aca="false">DATE(YEAR(A310),MONTH(A310)+1,1)</f>
        <v>55610</v>
      </c>
      <c r="B311" s="22" t="str">
        <f aca="false">IF($A311&lt;Premissas!$C$18,"Obra",IF($A311&lt;Premissas!$C$20,"Entrega/mobília","Airbnb"))</f>
        <v>Airbnb</v>
      </c>
      <c r="C311" s="36" t="n">
        <f aca="false">(YEAR($A311)-YEAR(Premissas!$C$16))*12+MONTH($A311)-MONTH(Premissas!$C$16)</f>
        <v>306</v>
      </c>
      <c r="D311" s="33" t="n">
        <f aca="false">IF($A311&gt;=Premissas!$C$20,Premissas!$C$31*IF(((YEAR($A311)-YEAR(Premissas!$C$20))*12+MONTH($A311)-MONTH(Premissas!$C$20))&lt;Premissas!$C$33,Premissas!$C$34,1),0)</f>
        <v>0.62</v>
      </c>
      <c r="E311" s="22" t="n">
        <f aca="false">D311*Premissas!$C$30*Premissas!$C$32*(1+Premissas!$C$58)^$C311</f>
        <v>12641.6308710982</v>
      </c>
      <c r="F311" s="22" t="n">
        <f aca="false">E311*Premissas!$C$35</f>
        <v>2022.66093937572</v>
      </c>
      <c r="G311" s="22" t="n">
        <f aca="false">E311*Premissas!$C$36</f>
        <v>2528.32617421965</v>
      </c>
      <c r="H311" s="22" t="n">
        <f aca="false">IF($A311&gt;=Premissas!$C$18,Premissas!$C$37*(1+Premissas!$C$58)^$C311,0)</f>
        <v>1631.1781769159</v>
      </c>
      <c r="I311" s="22" t="n">
        <f aca="false">IF($A311&gt;=Premissas!$C$20,Premissas!$C$38*(1+Premissas!$C$58)^$C311,0)</f>
        <v>761.216482560753</v>
      </c>
      <c r="J311" s="22" t="n">
        <f aca="false">IF($A311&gt;=Premissas!$C$20,Premissas!$C$39*(1+Premissas!$C$58)^$C311,0)</f>
        <v>407.794544228975</v>
      </c>
      <c r="K311" s="22" t="n">
        <f aca="false">IF($A311&gt;=Premissas!$C$20,MAX(0,E311-F311-G311-H311)*Premissas!$C$41,0)</f>
        <v>1776.35303466142</v>
      </c>
      <c r="L311" s="22" t="n">
        <f aca="false">E311-F311-G311-H311-I311-J311-K311</f>
        <v>3514.10151913582</v>
      </c>
      <c r="M311" s="22" t="n">
        <f aca="false">($A311=Premissas!$C$18)*Premissas!$C$26*Premissas!$C$60</f>
        <v>0</v>
      </c>
      <c r="N311" s="22" t="n">
        <f aca="false">IF(AND($A311&gt;=Premissas!$C$18,$A311&lt;Premissas!$C$20),Premissas!$C$27/MAX(1,Premissas!$C$19),0)</f>
        <v>0</v>
      </c>
      <c r="O311" s="22" t="n">
        <f aca="false">IF($A311&gt;=Premissas!$C$18,Premissas!$C$60*(1+Premissas!$C$59)^((YEAR($A311)-YEAR(Premissas!$C$18))*12+MONTH($A311)-MONTH(Premissas!$C$18)),"")</f>
        <v>1194483.62419947</v>
      </c>
      <c r="P311" s="31" t="n">
        <f aca="false">(1+IF(YEAR($A311)&lt;=2026,Premissas!$C$49,IF(YEAR($A311)=2027,Premissas!$C$50,IF(YEAR($A311)=2028,Premissas!$C$51,Premissas!$C$52)))*(1-Premissas!$C$53))^(1/12)-1</f>
        <v>0.00682149336596227</v>
      </c>
      <c r="Q311" s="22" t="n">
        <f aca="false">($A311=Premissas!$C$16)*Premissas!$C$13</f>
        <v>0</v>
      </c>
      <c r="R311" s="22" t="n">
        <f aca="false">L311-M311-N311-Q311</f>
        <v>3514.10151913582</v>
      </c>
      <c r="S311" s="22" t="n">
        <f aca="false">S310+R311</f>
        <v>307455.898527363</v>
      </c>
      <c r="T311" s="22" t="n">
        <f aca="false">IF($A311&gt;=Premissas!$C$18,O311*(1-Premissas!$C$45)-Premissas!$C$46*MAX(0,O311*(1-Premissas!$C$45)-(SUM($Q$5:$Q$355)+Premissas!$C$26*Premissas!$C$60)),"")</f>
        <v>994362.424082122</v>
      </c>
      <c r="U311" s="22" t="n">
        <f aca="false">IF($A311&gt;=Premissas!$C$18,S311+T311,"")</f>
        <v>1301818.32260948</v>
      </c>
      <c r="V311" s="22" t="n">
        <f aca="false">V310*(1+$P311)-R311</f>
        <v>921822.548205593</v>
      </c>
      <c r="W311" s="22" t="n">
        <f aca="false">($A311=Premissas!$C$16)*Premissas!$C$9</f>
        <v>0</v>
      </c>
      <c r="X311" s="22" t="n">
        <f aca="false">L311-M311-N311-W311</f>
        <v>3514.10151913582</v>
      </c>
      <c r="Y311" s="22" t="n">
        <f aca="false">Y310+X311</f>
        <v>276527.898527363</v>
      </c>
      <c r="Z311" s="22" t="n">
        <f aca="false">IF($A311&gt;=Premissas!$C$18,O311*(1-Premissas!$C$45)-Premissas!$C$46*MAX(0,O311*(1-Premissas!$C$45)-(SUM($W$5:$W$355)+Premissas!$C$26*Premissas!$C$60)),"")</f>
        <v>999001.624082122</v>
      </c>
      <c r="AA311" s="22" t="n">
        <f aca="false">IF($A311&gt;=Premissas!$C$18,Y311+Z311,"")</f>
        <v>1275529.52260948</v>
      </c>
      <c r="AB311" s="22" t="n">
        <f aca="false">AB310*(1+$P311)-X311</f>
        <v>1177596.40162523</v>
      </c>
      <c r="AC311" s="22" t="n">
        <f aca="false">AND($A311&gt;=Premissas!$C$16,$A311&lt;EDATE(Premissas!$C$16,3))*Premissas!$C$10/3*(1+Premissas!$C$56)^$C311</f>
        <v>0</v>
      </c>
      <c r="AD311" s="22" t="n">
        <f aca="false">L311-M311-N311-AC311</f>
        <v>3514.10151913582</v>
      </c>
      <c r="AE311" s="22" t="n">
        <f aca="false">AE310+AD311</f>
        <v>268907.434647338</v>
      </c>
      <c r="AF311" s="22" t="n">
        <f aca="false">IF($A311&gt;=Premissas!$C$18,O311*(1-Premissas!$C$45)-Premissas!$C$46*MAX(0,O311*(1-Premissas!$C$45)-(SUM($AC$5:$AC$355)+Premissas!$C$26*Premissas!$C$60)),"")</f>
        <v>1000144.69366413</v>
      </c>
      <c r="AG311" s="22" t="n">
        <f aca="false">IF($A311&gt;=Premissas!$C$18,AE311+AF311,"")</f>
        <v>1269052.12831146</v>
      </c>
      <c r="AH311" s="22" t="n">
        <f aca="false">AH310*(1+$P311)-AD311</f>
        <v>1218366.55652725</v>
      </c>
      <c r="AI311" s="22" t="n">
        <f aca="false">($A311=Premissas!$C$16)*0.2*Premissas!$C$11+AND($A311&gt;Premissas!$C$16,$A311&lt;=EDATE(Premissas!$C$16,43))*0.8*Premissas!$C$11/43*(1+Premissas!$C$56)^$C311</f>
        <v>0</v>
      </c>
      <c r="AJ311" s="22" t="n">
        <f aca="false">L311-M311-N311-AI311</f>
        <v>3514.10151913582</v>
      </c>
      <c r="AK311" s="22" t="n">
        <f aca="false">AK310+AJ311</f>
        <v>223042.949229276</v>
      </c>
      <c r="AL311" s="22" t="n">
        <f aca="false">IF($A311&gt;=Premissas!$C$18,O311*(1-Premissas!$C$45)-Premissas!$C$46*MAX(0,O311*(1-Premissas!$C$45)-(SUM($AI$5:$AI$355)+Premissas!$C$26*Premissas!$C$60)),"")</f>
        <v>1007024.36647683</v>
      </c>
      <c r="AM311" s="22" t="n">
        <f aca="false">IF($A311&gt;=Premissas!$C$18,AK311+AL311,"")</f>
        <v>1230067.31570611</v>
      </c>
      <c r="AN311" s="22" t="n">
        <f aca="false">AN310*(1+$P311)-AJ311</f>
        <v>1256407.44520173</v>
      </c>
      <c r="AO311" s="22" t="n">
        <f aca="false">V311+S311</f>
        <v>1229278.44673296</v>
      </c>
    </row>
    <row r="312" customFormat="false" ht="15" hidden="false" customHeight="false" outlineLevel="0" collapsed="false">
      <c r="A312" s="26" t="n">
        <f aca="false">DATE(YEAR(A311),MONTH(A311)+1,1)</f>
        <v>55640</v>
      </c>
      <c r="B312" s="22" t="str">
        <f aca="false">IF($A312&lt;Premissas!$C$18,"Obra",IF($A312&lt;Premissas!$C$20,"Entrega/mobília","Airbnb"))</f>
        <v>Airbnb</v>
      </c>
      <c r="C312" s="36" t="n">
        <f aca="false">(YEAR($A312)-YEAR(Premissas!$C$16))*12+MONTH($A312)-MONTH(Premissas!$C$16)</f>
        <v>307</v>
      </c>
      <c r="D312" s="33" t="n">
        <f aca="false">IF($A312&gt;=Premissas!$C$20,Premissas!$C$31*IF(((YEAR($A312)-YEAR(Premissas!$C$20))*12+MONTH($A312)-MONTH(Premissas!$C$20))&lt;Premissas!$C$33,Premissas!$C$34,1),0)</f>
        <v>0.62</v>
      </c>
      <c r="E312" s="22" t="n">
        <f aca="false">D312*Premissas!$C$30*Premissas!$C$32*(1+Premissas!$C$58)^$C312</f>
        <v>12683.0162809928</v>
      </c>
      <c r="F312" s="22" t="n">
        <f aca="false">E312*Premissas!$C$35</f>
        <v>2029.28260495885</v>
      </c>
      <c r="G312" s="22" t="n">
        <f aca="false">E312*Premissas!$C$36</f>
        <v>2536.60325619856</v>
      </c>
      <c r="H312" s="22" t="n">
        <f aca="false">IF($A312&gt;=Premissas!$C$18,Premissas!$C$37*(1+Premissas!$C$58)^$C312,0)</f>
        <v>1636.51822980552</v>
      </c>
      <c r="I312" s="22" t="n">
        <f aca="false">IF($A312&gt;=Premissas!$C$20,Premissas!$C$38*(1+Premissas!$C$58)^$C312,0)</f>
        <v>763.708507242578</v>
      </c>
      <c r="J312" s="22" t="n">
        <f aca="false">IF($A312&gt;=Premissas!$C$20,Premissas!$C$39*(1+Premissas!$C$58)^$C312,0)</f>
        <v>409.129557451381</v>
      </c>
      <c r="K312" s="22" t="n">
        <f aca="false">IF($A312&gt;=Premissas!$C$20,MAX(0,E312-F312-G312-H312)*Premissas!$C$41,0)</f>
        <v>1782.16835225822</v>
      </c>
      <c r="L312" s="22" t="n">
        <f aca="false">E312-F312-G312-H312-I312-J312-K312</f>
        <v>3525.6057730777</v>
      </c>
      <c r="M312" s="22" t="n">
        <f aca="false">($A312=Premissas!$C$18)*Premissas!$C$26*Premissas!$C$60</f>
        <v>0</v>
      </c>
      <c r="N312" s="22" t="n">
        <f aca="false">IF(AND($A312&gt;=Premissas!$C$18,$A312&lt;Premissas!$C$20),Premissas!$C$27/MAX(1,Premissas!$C$19),0)</f>
        <v>0</v>
      </c>
      <c r="O312" s="22" t="n">
        <f aca="false">IF($A312&gt;=Premissas!$C$18,Premissas!$C$60*(1+Premissas!$C$59)^((YEAR($A312)-YEAR(Premissas!$C$18))*12+MONTH($A312)-MONTH(Premissas!$C$18)),"")</f>
        <v>1199350.098342</v>
      </c>
      <c r="P312" s="31" t="n">
        <f aca="false">(1+IF(YEAR($A312)&lt;=2026,Premissas!$C$49,IF(YEAR($A312)=2027,Premissas!$C$50,IF(YEAR($A312)=2028,Premissas!$C$51,Premissas!$C$52)))*(1-Premissas!$C$53))^(1/12)-1</f>
        <v>0.00682149336596227</v>
      </c>
      <c r="Q312" s="22" t="n">
        <f aca="false">($A312=Premissas!$C$16)*Premissas!$C$13</f>
        <v>0</v>
      </c>
      <c r="R312" s="22" t="n">
        <f aca="false">L312-M312-N312-Q312</f>
        <v>3525.6057730777</v>
      </c>
      <c r="S312" s="22" t="n">
        <f aca="false">S311+R312</f>
        <v>310981.50430044</v>
      </c>
      <c r="T312" s="22" t="n">
        <f aca="false">IF($A312&gt;=Premissas!$C$18,O312*(1-Premissas!$C$45)-Premissas!$C$46*MAX(0,O312*(1-Premissas!$C$45)-(SUM($Q$5:$Q$355)+Premissas!$C$26*Premissas!$C$60)),"")</f>
        <v>998250.736922003</v>
      </c>
      <c r="U312" s="22" t="n">
        <f aca="false">IF($A312&gt;=Premissas!$C$18,S312+T312,"")</f>
        <v>1309232.24122244</v>
      </c>
      <c r="V312" s="22" t="n">
        <f aca="false">V311*(1+$P312)-R312</f>
        <v>924585.148829694</v>
      </c>
      <c r="W312" s="22" t="n">
        <f aca="false">($A312=Premissas!$C$16)*Premissas!$C$9</f>
        <v>0</v>
      </c>
      <c r="X312" s="22" t="n">
        <f aca="false">L312-M312-N312-W312</f>
        <v>3525.6057730777</v>
      </c>
      <c r="Y312" s="22" t="n">
        <f aca="false">Y311+X312</f>
        <v>280053.50430044</v>
      </c>
      <c r="Z312" s="22" t="n">
        <f aca="false">IF($A312&gt;=Premissas!$C$18,O312*(1-Premissas!$C$45)-Premissas!$C$46*MAX(0,O312*(1-Premissas!$C$45)-(SUM($W$5:$W$355)+Premissas!$C$26*Premissas!$C$60)),"")</f>
        <v>1002889.936922</v>
      </c>
      <c r="AA312" s="22" t="n">
        <f aca="false">IF($A312&gt;=Premissas!$C$18,Y312+Z312,"")</f>
        <v>1282943.44122244</v>
      </c>
      <c r="AB312" s="22" t="n">
        <f aca="false">AB311*(1+$P312)-X312</f>
        <v>1182103.76189362</v>
      </c>
      <c r="AC312" s="22" t="n">
        <f aca="false">AND($A312&gt;=Premissas!$C$16,$A312&lt;EDATE(Premissas!$C$16,3))*Premissas!$C$10/3*(1+Premissas!$C$56)^$C312</f>
        <v>0</v>
      </c>
      <c r="AD312" s="22" t="n">
        <f aca="false">L312-M312-N312-AC312</f>
        <v>3525.6057730777</v>
      </c>
      <c r="AE312" s="22" t="n">
        <f aca="false">AE311+AD312</f>
        <v>272433.040420416</v>
      </c>
      <c r="AF312" s="22" t="n">
        <f aca="false">IF($A312&gt;=Premissas!$C$18,O312*(1-Premissas!$C$45)-Premissas!$C$46*MAX(0,O312*(1-Premissas!$C$45)-(SUM($AC$5:$AC$355)+Premissas!$C$26*Premissas!$C$60)),"")</f>
        <v>1004033.00650401</v>
      </c>
      <c r="AG312" s="22" t="n">
        <f aca="false">IF($A312&gt;=Premissas!$C$18,AE312+AF312,"")</f>
        <v>1276466.04692442</v>
      </c>
      <c r="AH312" s="22" t="n">
        <f aca="false">AH311*(1+$P312)-AD312</f>
        <v>1223152.03013683</v>
      </c>
      <c r="AI312" s="22" t="n">
        <f aca="false">($A312=Premissas!$C$16)*0.2*Premissas!$C$11+AND($A312&gt;Premissas!$C$16,$A312&lt;=EDATE(Premissas!$C$16,43))*0.8*Premissas!$C$11/43*(1+Premissas!$C$56)^$C312</f>
        <v>0</v>
      </c>
      <c r="AJ312" s="22" t="n">
        <f aca="false">L312-M312-N312-AI312</f>
        <v>3525.6057730777</v>
      </c>
      <c r="AK312" s="22" t="n">
        <f aca="false">AK311+AJ312</f>
        <v>226568.555002354</v>
      </c>
      <c r="AL312" s="22" t="n">
        <f aca="false">IF($A312&gt;=Premissas!$C$18,O312*(1-Premissas!$C$45)-Premissas!$C$46*MAX(0,O312*(1-Premissas!$C$45)-(SUM($AI$5:$AI$355)+Premissas!$C$26*Premissas!$C$60)),"")</f>
        <v>1010912.67931672</v>
      </c>
      <c r="AM312" s="22" t="n">
        <f aca="false">IF($A312&gt;=Premissas!$C$18,AK312+AL312,"")</f>
        <v>1237481.23431907</v>
      </c>
      <c r="AN312" s="22" t="n">
        <f aca="false">AN311*(1+$P312)-AJ312</f>
        <v>1261452.41448105</v>
      </c>
      <c r="AO312" s="22" t="n">
        <f aca="false">V312+S312</f>
        <v>1235566.65313013</v>
      </c>
    </row>
    <row r="313" customFormat="false" ht="15" hidden="false" customHeight="false" outlineLevel="0" collapsed="false">
      <c r="A313" s="26" t="n">
        <f aca="false">DATE(YEAR(A312),MONTH(A312)+1,1)</f>
        <v>55671</v>
      </c>
      <c r="B313" s="22" t="str">
        <f aca="false">IF($A313&lt;Premissas!$C$18,"Obra",IF($A313&lt;Premissas!$C$20,"Entrega/mobília","Airbnb"))</f>
        <v>Airbnb</v>
      </c>
      <c r="C313" s="36" t="n">
        <f aca="false">(YEAR($A313)-YEAR(Premissas!$C$16))*12+MONTH($A313)-MONTH(Premissas!$C$16)</f>
        <v>308</v>
      </c>
      <c r="D313" s="33" t="n">
        <f aca="false">IF($A313&gt;=Premissas!$C$20,Premissas!$C$31*IF(((YEAR($A313)-YEAR(Premissas!$C$20))*12+MONTH($A313)-MONTH(Premissas!$C$20))&lt;Premissas!$C$33,Premissas!$C$34,1),0)</f>
        <v>0.62</v>
      </c>
      <c r="E313" s="22" t="n">
        <f aca="false">D313*Premissas!$C$30*Premissas!$C$32*(1+Premissas!$C$58)^$C313</f>
        <v>12724.5371759502</v>
      </c>
      <c r="F313" s="22" t="n">
        <f aca="false">E313*Premissas!$C$35</f>
        <v>2035.92594815203</v>
      </c>
      <c r="G313" s="22" t="n">
        <f aca="false">E313*Premissas!$C$36</f>
        <v>2544.90743519004</v>
      </c>
      <c r="H313" s="22" t="n">
        <f aca="false">IF($A313&gt;=Premissas!$C$18,Premissas!$C$37*(1+Premissas!$C$58)^$C313,0)</f>
        <v>1641.87576463873</v>
      </c>
      <c r="I313" s="22" t="n">
        <f aca="false">IF($A313&gt;=Premissas!$C$20,Premissas!$C$38*(1+Premissas!$C$58)^$C313,0)</f>
        <v>766.208690164742</v>
      </c>
      <c r="J313" s="22" t="n">
        <f aca="false">IF($A313&gt;=Premissas!$C$20,Premissas!$C$39*(1+Premissas!$C$58)^$C313,0)</f>
        <v>410.468941159683</v>
      </c>
      <c r="K313" s="22" t="n">
        <f aca="false">IF($A313&gt;=Premissas!$C$20,MAX(0,E313-F313-G313-H313)*Premissas!$C$41,0)</f>
        <v>1788.00270769158</v>
      </c>
      <c r="L313" s="22" t="n">
        <f aca="false">E313-F313-G313-H313-I313-J313-K313</f>
        <v>3537.14768895338</v>
      </c>
      <c r="M313" s="22" t="n">
        <f aca="false">($A313=Premissas!$C$18)*Premissas!$C$26*Premissas!$C$60</f>
        <v>0</v>
      </c>
      <c r="N313" s="22" t="n">
        <f aca="false">IF(AND($A313&gt;=Premissas!$C$18,$A313&lt;Premissas!$C$20),Premissas!$C$27/MAX(1,Premissas!$C$19),0)</f>
        <v>0</v>
      </c>
      <c r="O313" s="22" t="n">
        <f aca="false">IF($A313&gt;=Premissas!$C$18,Premissas!$C$60*(1+Premissas!$C$59)^((YEAR($A313)-YEAR(Premissas!$C$18))*12+MONTH($A313)-MONTH(Premissas!$C$18)),"")</f>
        <v>1204236.39910257</v>
      </c>
      <c r="P313" s="31" t="n">
        <f aca="false">(1+IF(YEAR($A313)&lt;=2026,Premissas!$C$49,IF(YEAR($A313)=2027,Premissas!$C$50,IF(YEAR($A313)=2028,Premissas!$C$51,Premissas!$C$52)))*(1-Premissas!$C$53))^(1/12)-1</f>
        <v>0.00682149336596227</v>
      </c>
      <c r="Q313" s="22" t="n">
        <f aca="false">($A313=Premissas!$C$16)*Premissas!$C$13</f>
        <v>0</v>
      </c>
      <c r="R313" s="22" t="n">
        <f aca="false">L313-M313-N313-Q313</f>
        <v>3537.14768895338</v>
      </c>
      <c r="S313" s="22" t="n">
        <f aca="false">S312+R313</f>
        <v>314518.651989394</v>
      </c>
      <c r="T313" s="22" t="n">
        <f aca="false">IF($A313&gt;=Premissas!$C$18,O313*(1-Premissas!$C$45)-Premissas!$C$46*MAX(0,O313*(1-Premissas!$C$45)-(SUM($Q$5:$Q$355)+Premissas!$C$26*Premissas!$C$60)),"")</f>
        <v>1002154.8912297</v>
      </c>
      <c r="U313" s="22" t="n">
        <f aca="false">IF($A313&gt;=Premissas!$C$18,S313+T313,"")</f>
        <v>1316673.5432191</v>
      </c>
      <c r="V313" s="22" t="n">
        <f aca="false">V312*(1+$P313)-R313</f>
        <v>927355.05259975</v>
      </c>
      <c r="W313" s="22" t="n">
        <f aca="false">($A313=Premissas!$C$16)*Premissas!$C$9</f>
        <v>0</v>
      </c>
      <c r="X313" s="22" t="n">
        <f aca="false">L313-M313-N313-W313</f>
        <v>3537.14768895338</v>
      </c>
      <c r="Y313" s="22" t="n">
        <f aca="false">Y312+X313</f>
        <v>283590.651989394</v>
      </c>
      <c r="Z313" s="22" t="n">
        <f aca="false">IF($A313&gt;=Premissas!$C$18,O313*(1-Premissas!$C$45)-Premissas!$C$46*MAX(0,O313*(1-Premissas!$C$45)-(SUM($W$5:$W$355)+Premissas!$C$26*Premissas!$C$60)),"")</f>
        <v>1006794.0912297</v>
      </c>
      <c r="AA313" s="22" t="n">
        <f aca="false">IF($A313&gt;=Premissas!$C$18,Y313+Z313,"")</f>
        <v>1290384.7432191</v>
      </c>
      <c r="AB313" s="22" t="n">
        <f aca="false">AB312*(1+$P313)-X313</f>
        <v>1186630.3271743</v>
      </c>
      <c r="AC313" s="22" t="n">
        <f aca="false">AND($A313&gt;=Premissas!$C$16,$A313&lt;EDATE(Premissas!$C$16,3))*Premissas!$C$10/3*(1+Premissas!$C$56)^$C313</f>
        <v>0</v>
      </c>
      <c r="AD313" s="22" t="n">
        <f aca="false">L313-M313-N313-AC313</f>
        <v>3537.14768895338</v>
      </c>
      <c r="AE313" s="22" t="n">
        <f aca="false">AE312+AD313</f>
        <v>275970.188109369</v>
      </c>
      <c r="AF313" s="22" t="n">
        <f aca="false">IF($A313&gt;=Premissas!$C$18,O313*(1-Premissas!$C$45)-Premissas!$C$46*MAX(0,O313*(1-Premissas!$C$45)-(SUM($AC$5:$AC$355)+Premissas!$C$26*Premissas!$C$60)),"")</f>
        <v>1007937.16081171</v>
      </c>
      <c r="AG313" s="22" t="n">
        <f aca="false">IF($A313&gt;=Premissas!$C$18,AE313+AF313,"")</f>
        <v>1283907.34892108</v>
      </c>
      <c r="AH313" s="22" t="n">
        <f aca="false">AH312*(1+$P313)-AD313</f>
        <v>1227958.60590702</v>
      </c>
      <c r="AI313" s="22" t="n">
        <f aca="false">($A313=Premissas!$C$16)*0.2*Premissas!$C$11+AND($A313&gt;Premissas!$C$16,$A313&lt;=EDATE(Premissas!$C$16,43))*0.8*Premissas!$C$11/43*(1+Premissas!$C$56)^$C313</f>
        <v>0</v>
      </c>
      <c r="AJ313" s="22" t="n">
        <f aca="false">L313-M313-N313-AI313</f>
        <v>3537.14768895338</v>
      </c>
      <c r="AK313" s="22" t="n">
        <f aca="false">AK312+AJ313</f>
        <v>230105.702691307</v>
      </c>
      <c r="AL313" s="22" t="n">
        <f aca="false">IF($A313&gt;=Premissas!$C$18,O313*(1-Premissas!$C$45)-Premissas!$C$46*MAX(0,O313*(1-Premissas!$C$45)-(SUM($AI$5:$AI$355)+Premissas!$C$26*Premissas!$C$60)),"")</f>
        <v>1014816.83362442</v>
      </c>
      <c r="AM313" s="22" t="n">
        <f aca="false">IF($A313&gt;=Premissas!$C$18,AK313+AL313,"")</f>
        <v>1244922.53631572</v>
      </c>
      <c r="AN313" s="22" t="n">
        <f aca="false">AN312*(1+$P313)-AJ313</f>
        <v>1266520.25606895</v>
      </c>
      <c r="AO313" s="22" t="n">
        <f aca="false">V313+S313</f>
        <v>1241873.70458914</v>
      </c>
    </row>
    <row r="314" customFormat="false" ht="15" hidden="false" customHeight="false" outlineLevel="0" collapsed="false">
      <c r="A314" s="26" t="n">
        <f aca="false">DATE(YEAR(A313),MONTH(A313)+1,1)</f>
        <v>55701</v>
      </c>
      <c r="B314" s="22" t="str">
        <f aca="false">IF($A314&lt;Premissas!$C$18,"Obra",IF($A314&lt;Premissas!$C$20,"Entrega/mobília","Airbnb"))</f>
        <v>Airbnb</v>
      </c>
      <c r="C314" s="36" t="n">
        <f aca="false">(YEAR($A314)-YEAR(Premissas!$C$16))*12+MONTH($A314)-MONTH(Premissas!$C$16)</f>
        <v>309</v>
      </c>
      <c r="D314" s="33" t="n">
        <f aca="false">IF($A314&gt;=Premissas!$C$20,Premissas!$C$31*IF(((YEAR($A314)-YEAR(Premissas!$C$20))*12+MONTH($A314)-MONTH(Premissas!$C$20))&lt;Premissas!$C$33,Premissas!$C$34,1),0)</f>
        <v>0.62</v>
      </c>
      <c r="E314" s="22" t="n">
        <f aca="false">D314*Premissas!$C$30*Premissas!$C$32*(1+Premissas!$C$58)^$C314</f>
        <v>12766.1939995132</v>
      </c>
      <c r="F314" s="22" t="n">
        <f aca="false">E314*Premissas!$C$35</f>
        <v>2042.5910399221</v>
      </c>
      <c r="G314" s="22" t="n">
        <f aca="false">E314*Premissas!$C$36</f>
        <v>2553.23879990263</v>
      </c>
      <c r="H314" s="22" t="n">
        <f aca="false">IF($A314&gt;=Premissas!$C$18,Premissas!$C$37*(1+Premissas!$C$58)^$C314,0)</f>
        <v>1647.25083864686</v>
      </c>
      <c r="I314" s="22" t="n">
        <f aca="false">IF($A314&gt;=Premissas!$C$20,Premissas!$C$38*(1+Premissas!$C$58)^$C314,0)</f>
        <v>768.717058035201</v>
      </c>
      <c r="J314" s="22" t="n">
        <f aca="false">IF($A314&gt;=Premissas!$C$20,Premissas!$C$39*(1+Premissas!$C$58)^$C314,0)</f>
        <v>411.812709661715</v>
      </c>
      <c r="K314" s="22" t="n">
        <f aca="false">IF($A314&gt;=Premissas!$C$20,MAX(0,E314-F314-G314-H314)*Premissas!$C$41,0)</f>
        <v>1793.85616328643</v>
      </c>
      <c r="L314" s="22" t="n">
        <f aca="false">E314-F314-G314-H314-I314-J314-K314</f>
        <v>3548.72739005822</v>
      </c>
      <c r="M314" s="22" t="n">
        <f aca="false">($A314=Premissas!$C$18)*Premissas!$C$26*Premissas!$C$60</f>
        <v>0</v>
      </c>
      <c r="N314" s="22" t="n">
        <f aca="false">IF(AND($A314&gt;=Premissas!$C$18,$A314&lt;Premissas!$C$20),Premissas!$C$27/MAX(1,Premissas!$C$19),0)</f>
        <v>0</v>
      </c>
      <c r="O314" s="22" t="n">
        <f aca="false">IF($A314&gt;=Premissas!$C$18,Premissas!$C$60*(1+Premissas!$C$59)^((YEAR($A314)-YEAR(Premissas!$C$18))*12+MONTH($A314)-MONTH(Premissas!$C$18)),"")</f>
        <v>1209142.60725729</v>
      </c>
      <c r="P314" s="31" t="n">
        <f aca="false">(1+IF(YEAR($A314)&lt;=2026,Premissas!$C$49,IF(YEAR($A314)=2027,Premissas!$C$50,IF(YEAR($A314)=2028,Premissas!$C$51,Premissas!$C$52)))*(1-Premissas!$C$53))^(1/12)-1</f>
        <v>0.00682149336596227</v>
      </c>
      <c r="Q314" s="22" t="n">
        <f aca="false">($A314=Premissas!$C$16)*Premissas!$C$13</f>
        <v>0</v>
      </c>
      <c r="R314" s="22" t="n">
        <f aca="false">L314-M314-N314-Q314</f>
        <v>3548.72739005822</v>
      </c>
      <c r="S314" s="22" t="n">
        <f aca="false">S313+R314</f>
        <v>318067.379379452</v>
      </c>
      <c r="T314" s="22" t="n">
        <f aca="false">IF($A314&gt;=Premissas!$C$18,O314*(1-Premissas!$C$45)-Premissas!$C$46*MAX(0,O314*(1-Premissas!$C$45)-(SUM($Q$5:$Q$355)+Premissas!$C$26*Premissas!$C$60)),"")</f>
        <v>1006074.95154532</v>
      </c>
      <c r="U314" s="22" t="n">
        <f aca="false">IF($A314&gt;=Premissas!$C$18,S314+T314,"")</f>
        <v>1324142.33092478</v>
      </c>
      <c r="V314" s="22" t="n">
        <f aca="false">V313*(1+$P314)-R314</f>
        <v>930132.271548892</v>
      </c>
      <c r="W314" s="22" t="n">
        <f aca="false">($A314=Premissas!$C$16)*Premissas!$C$9</f>
        <v>0</v>
      </c>
      <c r="X314" s="22" t="n">
        <f aca="false">L314-M314-N314-W314</f>
        <v>3548.72739005822</v>
      </c>
      <c r="Y314" s="22" t="n">
        <f aca="false">Y313+X314</f>
        <v>287139.379379452</v>
      </c>
      <c r="Z314" s="22" t="n">
        <f aca="false">IF($A314&gt;=Premissas!$C$18,O314*(1-Premissas!$C$45)-Premissas!$C$46*MAX(0,O314*(1-Premissas!$C$45)-(SUM($W$5:$W$355)+Premissas!$C$26*Premissas!$C$60)),"")</f>
        <v>1010714.15154532</v>
      </c>
      <c r="AA314" s="22" t="n">
        <f aca="false">IF($A314&gt;=Premissas!$C$18,Y314+Z314,"")</f>
        <v>1297853.53092478</v>
      </c>
      <c r="AB314" s="22" t="n">
        <f aca="false">AB313*(1+$P314)-X314</f>
        <v>1191176.19068892</v>
      </c>
      <c r="AC314" s="22" t="n">
        <f aca="false">AND($A314&gt;=Premissas!$C$16,$A314&lt;EDATE(Premissas!$C$16,3))*Premissas!$C$10/3*(1+Premissas!$C$56)^$C314</f>
        <v>0</v>
      </c>
      <c r="AD314" s="22" t="n">
        <f aca="false">L314-M314-N314-AC314</f>
        <v>3548.72739005822</v>
      </c>
      <c r="AE314" s="22" t="n">
        <f aca="false">AE313+AD314</f>
        <v>279518.915499427</v>
      </c>
      <c r="AF314" s="22" t="n">
        <f aca="false">IF($A314&gt;=Premissas!$C$18,O314*(1-Premissas!$C$45)-Premissas!$C$46*MAX(0,O314*(1-Premissas!$C$45)-(SUM($AC$5:$AC$355)+Premissas!$C$26*Premissas!$C$60)),"")</f>
        <v>1011857.22112733</v>
      </c>
      <c r="AG314" s="22" t="n">
        <f aca="false">IF($A314&gt;=Premissas!$C$18,AE314+AF314,"")</f>
        <v>1291376.13662675</v>
      </c>
      <c r="AH314" s="22" t="n">
        <f aca="false">AH313*(1+$P314)-AD314</f>
        <v>1232786.39000083</v>
      </c>
      <c r="AI314" s="22" t="n">
        <f aca="false">($A314=Premissas!$C$16)*0.2*Premissas!$C$11+AND($A314&gt;Premissas!$C$16,$A314&lt;=EDATE(Premissas!$C$16,43))*0.8*Premissas!$C$11/43*(1+Premissas!$C$56)^$C314</f>
        <v>0</v>
      </c>
      <c r="AJ314" s="22" t="n">
        <f aca="false">L314-M314-N314-AI314</f>
        <v>3548.72739005822</v>
      </c>
      <c r="AK314" s="22" t="n">
        <f aca="false">AK313+AJ314</f>
        <v>233654.430081365</v>
      </c>
      <c r="AL314" s="22" t="n">
        <f aca="false">IF($A314&gt;=Premissas!$C$18,O314*(1-Premissas!$C$45)-Premissas!$C$46*MAX(0,O314*(1-Premissas!$C$45)-(SUM($AI$5:$AI$355)+Premissas!$C$26*Premissas!$C$60)),"")</f>
        <v>1018736.89394004</v>
      </c>
      <c r="AM314" s="22" t="n">
        <f aca="false">IF($A314&gt;=Premissas!$C$18,AK314+AL314,"")</f>
        <v>1252391.3240214</v>
      </c>
      <c r="AN314" s="22" t="n">
        <f aca="false">AN313*(1+$P314)-AJ314</f>
        <v>1271611.08820352</v>
      </c>
      <c r="AO314" s="22" t="n">
        <f aca="false">V314+S314</f>
        <v>1248199.65092834</v>
      </c>
    </row>
    <row r="315" customFormat="false" ht="15" hidden="false" customHeight="false" outlineLevel="0" collapsed="false">
      <c r="A315" s="26" t="n">
        <f aca="false">DATE(YEAR(A314),MONTH(A314)+1,1)</f>
        <v>55732</v>
      </c>
      <c r="B315" s="22" t="str">
        <f aca="false">IF($A315&lt;Premissas!$C$18,"Obra",IF($A315&lt;Premissas!$C$20,"Entrega/mobília","Airbnb"))</f>
        <v>Airbnb</v>
      </c>
      <c r="C315" s="36" t="n">
        <f aca="false">(YEAR($A315)-YEAR(Premissas!$C$16))*12+MONTH($A315)-MONTH(Premissas!$C$16)</f>
        <v>310</v>
      </c>
      <c r="D315" s="33" t="n">
        <f aca="false">IF($A315&gt;=Premissas!$C$20,Premissas!$C$31*IF(((YEAR($A315)-YEAR(Premissas!$C$20))*12+MONTH($A315)-MONTH(Premissas!$C$20))&lt;Premissas!$C$33,Premissas!$C$34,1),0)</f>
        <v>0.62</v>
      </c>
      <c r="E315" s="22" t="n">
        <f aca="false">D315*Premissas!$C$30*Premissas!$C$32*(1+Premissas!$C$58)^$C315</f>
        <v>12807.9871966766</v>
      </c>
      <c r="F315" s="22" t="n">
        <f aca="false">E315*Premissas!$C$35</f>
        <v>2049.27795146826</v>
      </c>
      <c r="G315" s="22" t="n">
        <f aca="false">E315*Premissas!$C$36</f>
        <v>2561.59743933533</v>
      </c>
      <c r="H315" s="22" t="n">
        <f aca="false">IF($A315&gt;=Premissas!$C$18,Premissas!$C$37*(1+Premissas!$C$58)^$C315,0)</f>
        <v>1652.6435092486</v>
      </c>
      <c r="I315" s="22" t="n">
        <f aca="false">IF($A315&gt;=Premissas!$C$20,Premissas!$C$38*(1+Premissas!$C$58)^$C315,0)</f>
        <v>771.233637649345</v>
      </c>
      <c r="J315" s="22" t="n">
        <f aca="false">IF($A315&gt;=Premissas!$C$20,Premissas!$C$39*(1+Premissas!$C$58)^$C315,0)</f>
        <v>413.160877312149</v>
      </c>
      <c r="K315" s="22" t="n">
        <f aca="false">IF($A315&gt;=Premissas!$C$20,MAX(0,E315-F315-G315-H315)*Premissas!$C$41,0)</f>
        <v>1799.72878157172</v>
      </c>
      <c r="L315" s="22" t="n">
        <f aca="false">E315-F315-G315-H315-I315-J315-K315</f>
        <v>3560.34500009123</v>
      </c>
      <c r="M315" s="22" t="n">
        <f aca="false">($A315=Premissas!$C$18)*Premissas!$C$26*Premissas!$C$60</f>
        <v>0</v>
      </c>
      <c r="N315" s="22" t="n">
        <f aca="false">IF(AND($A315&gt;=Premissas!$C$18,$A315&lt;Premissas!$C$20),Premissas!$C$27/MAX(1,Premissas!$C$19),0)</f>
        <v>0</v>
      </c>
      <c r="O315" s="22" t="n">
        <f aca="false">IF($A315&gt;=Premissas!$C$18,Premissas!$C$60*(1+Premissas!$C$59)^((YEAR($A315)-YEAR(Premissas!$C$18))*12+MONTH($A315)-MONTH(Premissas!$C$18)),"")</f>
        <v>1214068.80391134</v>
      </c>
      <c r="P315" s="31" t="n">
        <f aca="false">(1+IF(YEAR($A315)&lt;=2026,Premissas!$C$49,IF(YEAR($A315)=2027,Premissas!$C$50,IF(YEAR($A315)=2028,Premissas!$C$51,Premissas!$C$52)))*(1-Premissas!$C$53))^(1/12)-1</f>
        <v>0.00682149336596227</v>
      </c>
      <c r="Q315" s="22" t="n">
        <f aca="false">($A315=Premissas!$C$16)*Premissas!$C$13</f>
        <v>0</v>
      </c>
      <c r="R315" s="22" t="n">
        <f aca="false">L315-M315-N315-Q315</f>
        <v>3560.34500009123</v>
      </c>
      <c r="S315" s="22" t="n">
        <f aca="false">S314+R315</f>
        <v>321627.724379543</v>
      </c>
      <c r="T315" s="22" t="n">
        <f aca="false">IF($A315&gt;=Premissas!$C$18,O315*(1-Premissas!$C$45)-Premissas!$C$46*MAX(0,O315*(1-Premissas!$C$45)-(SUM($Q$5:$Q$355)+Premissas!$C$26*Premissas!$C$60)),"")</f>
        <v>1010010.98267191</v>
      </c>
      <c r="U315" s="22" t="n">
        <f aca="false">IF($A315&gt;=Premissas!$C$18,S315+T315,"")</f>
        <v>1331638.70705145</v>
      </c>
      <c r="V315" s="22" t="n">
        <f aca="false">V314*(1+$P315)-R315</f>
        <v>932916.817668639</v>
      </c>
      <c r="W315" s="22" t="n">
        <f aca="false">($A315=Premissas!$C$16)*Premissas!$C$9</f>
        <v>0</v>
      </c>
      <c r="X315" s="22" t="n">
        <f aca="false">L315-M315-N315-W315</f>
        <v>3560.34500009123</v>
      </c>
      <c r="Y315" s="22" t="n">
        <f aca="false">Y314+X315</f>
        <v>290699.724379543</v>
      </c>
      <c r="Z315" s="22" t="n">
        <f aca="false">IF($A315&gt;=Premissas!$C$18,O315*(1-Premissas!$C$45)-Premissas!$C$46*MAX(0,O315*(1-Premissas!$C$45)-(SUM($W$5:$W$355)+Premissas!$C$26*Premissas!$C$60)),"")</f>
        <v>1014650.18267191</v>
      </c>
      <c r="AA315" s="22" t="n">
        <f aca="false">IF($A315&gt;=Premissas!$C$18,Y315+Z315,"")</f>
        <v>1305349.90705145</v>
      </c>
      <c r="AB315" s="22" t="n">
        <f aca="false">AB314*(1+$P315)-X315</f>
        <v>1195741.4461713</v>
      </c>
      <c r="AC315" s="22" t="n">
        <f aca="false">AND($A315&gt;=Premissas!$C$16,$A315&lt;EDATE(Premissas!$C$16,3))*Premissas!$C$10/3*(1+Premissas!$C$56)^$C315</f>
        <v>0</v>
      </c>
      <c r="AD315" s="22" t="n">
        <f aca="false">L315-M315-N315-AC315</f>
        <v>3560.34500009123</v>
      </c>
      <c r="AE315" s="22" t="n">
        <f aca="false">AE314+AD315</f>
        <v>283079.260499518</v>
      </c>
      <c r="AF315" s="22" t="n">
        <f aca="false">IF($A315&gt;=Premissas!$C$18,O315*(1-Premissas!$C$45)-Premissas!$C$46*MAX(0,O315*(1-Premissas!$C$45)-(SUM($AC$5:$AC$355)+Premissas!$C$26*Premissas!$C$60)),"")</f>
        <v>1015793.25225391</v>
      </c>
      <c r="AG315" s="22" t="n">
        <f aca="false">IF($A315&gt;=Premissas!$C$18,AE315+AF315,"")</f>
        <v>1298872.51275343</v>
      </c>
      <c r="AH315" s="22" t="n">
        <f aca="false">AH314*(1+$P315)-AD315</f>
        <v>1237635.48918178</v>
      </c>
      <c r="AI315" s="22" t="n">
        <f aca="false">($A315=Premissas!$C$16)*0.2*Premissas!$C$11+AND($A315&gt;Premissas!$C$16,$A315&lt;=EDATE(Premissas!$C$16,43))*0.8*Premissas!$C$11/43*(1+Premissas!$C$56)^$C315</f>
        <v>0</v>
      </c>
      <c r="AJ315" s="22" t="n">
        <f aca="false">L315-M315-N315-AI315</f>
        <v>3560.34500009123</v>
      </c>
      <c r="AK315" s="22" t="n">
        <f aca="false">AK314+AJ315</f>
        <v>237214.775081456</v>
      </c>
      <c r="AL315" s="22" t="n">
        <f aca="false">IF($A315&gt;=Premissas!$C$18,O315*(1-Premissas!$C$45)-Premissas!$C$46*MAX(0,O315*(1-Premissas!$C$45)-(SUM($AI$5:$AI$355)+Premissas!$C$26*Premissas!$C$60)),"")</f>
        <v>1022672.92506662</v>
      </c>
      <c r="AM315" s="22" t="n">
        <f aca="false">IF($A315&gt;=Premissas!$C$18,AK315+AL315,"")</f>
        <v>1259887.70014808</v>
      </c>
      <c r="AN315" s="22" t="n">
        <f aca="false">AN314*(1+$P315)-AJ315</f>
        <v>1276725.0298057</v>
      </c>
      <c r="AO315" s="22" t="n">
        <f aca="false">V315+S315</f>
        <v>1254544.54204818</v>
      </c>
    </row>
    <row r="316" customFormat="false" ht="15" hidden="false" customHeight="false" outlineLevel="0" collapsed="false">
      <c r="A316" s="26" t="n">
        <f aca="false">DATE(YEAR(A315),MONTH(A315)+1,1)</f>
        <v>55763</v>
      </c>
      <c r="B316" s="22" t="str">
        <f aca="false">IF($A316&lt;Premissas!$C$18,"Obra",IF($A316&lt;Premissas!$C$20,"Entrega/mobília","Airbnb"))</f>
        <v>Airbnb</v>
      </c>
      <c r="C316" s="36" t="n">
        <f aca="false">(YEAR($A316)-YEAR(Premissas!$C$16))*12+MONTH($A316)-MONTH(Premissas!$C$16)</f>
        <v>311</v>
      </c>
      <c r="D316" s="33" t="n">
        <f aca="false">IF($A316&gt;=Premissas!$C$20,Premissas!$C$31*IF(((YEAR($A316)-YEAR(Premissas!$C$20))*12+MONTH($A316)-MONTH(Premissas!$C$20))&lt;Premissas!$C$33,Premissas!$C$34,1),0)</f>
        <v>0.62</v>
      </c>
      <c r="E316" s="22" t="n">
        <f aca="false">D316*Premissas!$C$30*Premissas!$C$32*(1+Premissas!$C$58)^$C316</f>
        <v>12849.9172138923</v>
      </c>
      <c r="F316" s="22" t="n">
        <f aca="false">E316*Premissas!$C$35</f>
        <v>2055.98675422277</v>
      </c>
      <c r="G316" s="22" t="n">
        <f aca="false">E316*Premissas!$C$36</f>
        <v>2569.98344277846</v>
      </c>
      <c r="H316" s="22" t="n">
        <f aca="false">IF($A316&gt;=Premissas!$C$18,Premissas!$C$37*(1+Premissas!$C$58)^$C316,0)</f>
        <v>1658.05383405062</v>
      </c>
      <c r="I316" s="22" t="n">
        <f aca="false">IF($A316&gt;=Premissas!$C$20,Premissas!$C$38*(1+Premissas!$C$58)^$C316,0)</f>
        <v>773.758455890288</v>
      </c>
      <c r="J316" s="22" t="n">
        <f aca="false">IF($A316&gt;=Premissas!$C$20,Premissas!$C$39*(1+Premissas!$C$58)^$C316,0)</f>
        <v>414.513458512654</v>
      </c>
      <c r="K316" s="22" t="n">
        <f aca="false">IF($A316&gt;=Premissas!$C$20,MAX(0,E316-F316-G316-H316)*Premissas!$C$41,0)</f>
        <v>1805.62062528112</v>
      </c>
      <c r="L316" s="22" t="n">
        <f aca="false">E316-F316-G316-H316-I316-J316-K316</f>
        <v>3572.00064315638</v>
      </c>
      <c r="M316" s="22" t="n">
        <f aca="false">($A316=Premissas!$C$18)*Premissas!$C$26*Premissas!$C$60</f>
        <v>0</v>
      </c>
      <c r="N316" s="22" t="n">
        <f aca="false">IF(AND($A316&gt;=Premissas!$C$18,$A316&lt;Premissas!$C$20),Premissas!$C$27/MAX(1,Premissas!$C$19),0)</f>
        <v>0</v>
      </c>
      <c r="O316" s="22" t="n">
        <f aca="false">IF($A316&gt;=Premissas!$C$18,Premissas!$C$60*(1+Premissas!$C$59)^((YEAR($A316)-YEAR(Premissas!$C$18))*12+MONTH($A316)-MONTH(Premissas!$C$18)),"")</f>
        <v>1219015.07050034</v>
      </c>
      <c r="P316" s="31" t="n">
        <f aca="false">(1+IF(YEAR($A316)&lt;=2026,Premissas!$C$49,IF(YEAR($A316)=2027,Premissas!$C$50,IF(YEAR($A316)=2028,Premissas!$C$51,Premissas!$C$52)))*(1-Premissas!$C$53))^(1/12)-1</f>
        <v>0.00682149336596227</v>
      </c>
      <c r="Q316" s="22" t="n">
        <f aca="false">($A316=Premissas!$C$16)*Premissas!$C$13</f>
        <v>0</v>
      </c>
      <c r="R316" s="22" t="n">
        <f aca="false">L316-M316-N316-Q316</f>
        <v>3572.00064315638</v>
      </c>
      <c r="S316" s="22" t="n">
        <f aca="false">S315+R316</f>
        <v>325199.725022699</v>
      </c>
      <c r="T316" s="22" t="n">
        <f aca="false">IF($A316&gt;=Premissas!$C$18,O316*(1-Premissas!$C$45)-Premissas!$C$46*MAX(0,O316*(1-Premissas!$C$45)-(SUM($Q$5:$Q$355)+Premissas!$C$26*Premissas!$C$60)),"")</f>
        <v>1013963.04967652</v>
      </c>
      <c r="U316" s="22" t="n">
        <f aca="false">IF($A316&gt;=Premissas!$C$18,S316+T316,"")</f>
        <v>1339162.77469922</v>
      </c>
      <c r="V316" s="22" t="n">
        <f aca="false">V315*(1+$P316)-R316</f>
        <v>935708.702908204</v>
      </c>
      <c r="W316" s="22" t="n">
        <f aca="false">($A316=Premissas!$C$16)*Premissas!$C$9</f>
        <v>0</v>
      </c>
      <c r="X316" s="22" t="n">
        <f aca="false">L316-M316-N316-W316</f>
        <v>3572.00064315638</v>
      </c>
      <c r="Y316" s="22" t="n">
        <f aca="false">Y315+X316</f>
        <v>294271.7250227</v>
      </c>
      <c r="Z316" s="22" t="n">
        <f aca="false">IF($A316&gt;=Premissas!$C$18,O316*(1-Premissas!$C$45)-Premissas!$C$46*MAX(0,O316*(1-Premissas!$C$45)-(SUM($W$5:$W$355)+Premissas!$C$26*Premissas!$C$60)),"")</f>
        <v>1018602.24967652</v>
      </c>
      <c r="AA316" s="22" t="n">
        <f aca="false">IF($A316&gt;=Premissas!$C$18,Y316+Z316,"")</f>
        <v>1312873.97469922</v>
      </c>
      <c r="AB316" s="22" t="n">
        <f aca="false">AB315*(1+$P316)-X316</f>
        <v>1200326.18787061</v>
      </c>
      <c r="AC316" s="22" t="n">
        <f aca="false">AND($A316&gt;=Premissas!$C$16,$A316&lt;EDATE(Premissas!$C$16,3))*Premissas!$C$10/3*(1+Premissas!$C$56)^$C316</f>
        <v>0</v>
      </c>
      <c r="AD316" s="22" t="n">
        <f aca="false">L316-M316-N316-AC316</f>
        <v>3572.00064315638</v>
      </c>
      <c r="AE316" s="22" t="n">
        <f aca="false">AE315+AD316</f>
        <v>286651.261142675</v>
      </c>
      <c r="AF316" s="22" t="n">
        <f aca="false">IF($A316&gt;=Premissas!$C$18,O316*(1-Premissas!$C$45)-Premissas!$C$46*MAX(0,O316*(1-Premissas!$C$45)-(SUM($AC$5:$AC$355)+Premissas!$C$26*Premissas!$C$60)),"")</f>
        <v>1019745.31925852</v>
      </c>
      <c r="AG316" s="22" t="n">
        <f aca="false">IF($A316&gt;=Premissas!$C$18,AE316+AF316,"")</f>
        <v>1306396.5804012</v>
      </c>
      <c r="AH316" s="22" t="n">
        <f aca="false">AH315*(1+$P316)-AD316</f>
        <v>1242506.01081756</v>
      </c>
      <c r="AI316" s="22" t="n">
        <f aca="false">($A316=Premissas!$C$16)*0.2*Premissas!$C$11+AND($A316&gt;Premissas!$C$16,$A316&lt;=EDATE(Premissas!$C$16,43))*0.8*Premissas!$C$11/43*(1+Premissas!$C$56)^$C316</f>
        <v>0</v>
      </c>
      <c r="AJ316" s="22" t="n">
        <f aca="false">L316-M316-N316-AI316</f>
        <v>3572.00064315638</v>
      </c>
      <c r="AK316" s="22" t="n">
        <f aca="false">AK315+AJ316</f>
        <v>240786.775724613</v>
      </c>
      <c r="AL316" s="22" t="n">
        <f aca="false">IF($A316&gt;=Premissas!$C$18,O316*(1-Premissas!$C$45)-Premissas!$C$46*MAX(0,O316*(1-Premissas!$C$45)-(SUM($AI$5:$AI$355)+Premissas!$C$26*Premissas!$C$60)),"")</f>
        <v>1026624.99207123</v>
      </c>
      <c r="AM316" s="22" t="n">
        <f aca="false">IF($A316&gt;=Premissas!$C$18,AK316+AL316,"")</f>
        <v>1267411.76779585</v>
      </c>
      <c r="AN316" s="22" t="n">
        <f aca="false">AN315*(1+$P316)-AJ316</f>
        <v>1281862.20048352</v>
      </c>
      <c r="AO316" s="22" t="n">
        <f aca="false">V316+S316</f>
        <v>1260908.4279309</v>
      </c>
    </row>
    <row r="317" customFormat="false" ht="15" hidden="false" customHeight="false" outlineLevel="0" collapsed="false">
      <c r="A317" s="26" t="n">
        <f aca="false">DATE(YEAR(A316),MONTH(A316)+1,1)</f>
        <v>55793</v>
      </c>
      <c r="B317" s="22" t="str">
        <f aca="false">IF($A317&lt;Premissas!$C$18,"Obra",IF($A317&lt;Premissas!$C$20,"Entrega/mobília","Airbnb"))</f>
        <v>Airbnb</v>
      </c>
      <c r="C317" s="36" t="n">
        <f aca="false">(YEAR($A317)-YEAR(Premissas!$C$16))*12+MONTH($A317)-MONTH(Premissas!$C$16)</f>
        <v>312</v>
      </c>
      <c r="D317" s="33" t="n">
        <f aca="false">IF($A317&gt;=Premissas!$C$20,Premissas!$C$31*IF(((YEAR($A317)-YEAR(Premissas!$C$20))*12+MONTH($A317)-MONTH(Premissas!$C$20))&lt;Premissas!$C$33,Premissas!$C$34,1),0)</f>
        <v>0.62</v>
      </c>
      <c r="E317" s="22" t="n">
        <f aca="false">D317*Premissas!$C$30*Premissas!$C$32*(1+Premissas!$C$58)^$C317</f>
        <v>12891.9844990734</v>
      </c>
      <c r="F317" s="22" t="n">
        <f aca="false">E317*Premissas!$C$35</f>
        <v>2062.71751985174</v>
      </c>
      <c r="G317" s="22" t="n">
        <f aca="false">E317*Premissas!$C$36</f>
        <v>2578.39689981467</v>
      </c>
      <c r="H317" s="22" t="n">
        <f aca="false">IF($A317&gt;=Premissas!$C$18,Premissas!$C$37*(1+Premissas!$C$58)^$C317,0)</f>
        <v>1663.48187084818</v>
      </c>
      <c r="I317" s="22" t="n">
        <f aca="false">IF($A317&gt;=Premissas!$C$20,Premissas!$C$38*(1+Premissas!$C$58)^$C317,0)</f>
        <v>776.291539729149</v>
      </c>
      <c r="J317" s="22" t="n">
        <f aca="false">IF($A317&gt;=Premissas!$C$20,Premissas!$C$39*(1+Premissas!$C$58)^$C317,0)</f>
        <v>415.870467712044</v>
      </c>
      <c r="K317" s="22" t="n">
        <f aca="false">IF($A317&gt;=Premissas!$C$20,MAX(0,E317-F317-G317-H317)*Premissas!$C$41,0)</f>
        <v>1811.53175735366</v>
      </c>
      <c r="L317" s="22" t="n">
        <f aca="false">E317-F317-G317-H317-I317-J317-K317</f>
        <v>3583.69444376392</v>
      </c>
      <c r="M317" s="22" t="n">
        <f aca="false">($A317=Premissas!$C$18)*Premissas!$C$26*Premissas!$C$60</f>
        <v>0</v>
      </c>
      <c r="N317" s="22" t="n">
        <f aca="false">IF(AND($A317&gt;=Premissas!$C$18,$A317&lt;Premissas!$C$20),Premissas!$C$27/MAX(1,Premissas!$C$19),0)</f>
        <v>0</v>
      </c>
      <c r="O317" s="22" t="n">
        <f aca="false">IF($A317&gt;=Premissas!$C$18,Premissas!$C$60*(1+Premissas!$C$59)^((YEAR($A317)-YEAR(Premissas!$C$18))*12+MONTH($A317)-MONTH(Premissas!$C$18)),"")</f>
        <v>1223981.48879169</v>
      </c>
      <c r="P317" s="31" t="n">
        <f aca="false">(1+IF(YEAR($A317)&lt;=2026,Premissas!$C$49,IF(YEAR($A317)=2027,Premissas!$C$50,IF(YEAR($A317)=2028,Premissas!$C$51,Premissas!$C$52)))*(1-Premissas!$C$53))^(1/12)-1</f>
        <v>0.00682149336596227</v>
      </c>
      <c r="Q317" s="22" t="n">
        <f aca="false">($A317=Premissas!$C$16)*Premissas!$C$13</f>
        <v>0</v>
      </c>
      <c r="R317" s="22" t="n">
        <f aca="false">L317-M317-N317-Q317</f>
        <v>3583.69444376392</v>
      </c>
      <c r="S317" s="22" t="n">
        <f aca="false">S316+R317</f>
        <v>328783.419466463</v>
      </c>
      <c r="T317" s="22" t="n">
        <f aca="false">IF($A317&gt;=Premissas!$C$18,O317*(1-Premissas!$C$45)-Premissas!$C$46*MAX(0,O317*(1-Premissas!$C$45)-(SUM($Q$5:$Q$355)+Premissas!$C$26*Premissas!$C$60)),"")</f>
        <v>1017931.21789131</v>
      </c>
      <c r="U317" s="22" t="n">
        <f aca="false">IF($A317&gt;=Premissas!$C$18,S317+T317,"")</f>
        <v>1346714.63735777</v>
      </c>
      <c r="V317" s="22" t="n">
        <f aca="false">V316*(1+$P317)-R317</f>
        <v>938507.939173802</v>
      </c>
      <c r="W317" s="22" t="n">
        <f aca="false">($A317=Premissas!$C$16)*Premissas!$C$9</f>
        <v>0</v>
      </c>
      <c r="X317" s="22" t="n">
        <f aca="false">L317-M317-N317-W317</f>
        <v>3583.69444376392</v>
      </c>
      <c r="Y317" s="22" t="n">
        <f aca="false">Y316+X317</f>
        <v>297855.419466464</v>
      </c>
      <c r="Z317" s="22" t="n">
        <f aca="false">IF($A317&gt;=Premissas!$C$18,O317*(1-Premissas!$C$45)-Premissas!$C$46*MAX(0,O317*(1-Premissas!$C$45)-(SUM($W$5:$W$355)+Premissas!$C$26*Premissas!$C$60)),"")</f>
        <v>1022570.41789131</v>
      </c>
      <c r="AA317" s="22" t="n">
        <f aca="false">IF($A317&gt;=Premissas!$C$18,Y317+Z317,"")</f>
        <v>1320425.83735777</v>
      </c>
      <c r="AB317" s="22" t="n">
        <f aca="false">AB316*(1+$P317)-X317</f>
        <v>1204930.51055439</v>
      </c>
      <c r="AC317" s="22" t="n">
        <f aca="false">AND($A317&gt;=Premissas!$C$16,$A317&lt;EDATE(Premissas!$C$16,3))*Premissas!$C$10/3*(1+Premissas!$C$56)^$C317</f>
        <v>0</v>
      </c>
      <c r="AD317" s="22" t="n">
        <f aca="false">L317-M317-N317-AC317</f>
        <v>3583.69444376392</v>
      </c>
      <c r="AE317" s="22" t="n">
        <f aca="false">AE316+AD317</f>
        <v>290234.955586439</v>
      </c>
      <c r="AF317" s="22" t="n">
        <f aca="false">IF($A317&gt;=Premissas!$C$18,O317*(1-Premissas!$C$45)-Premissas!$C$46*MAX(0,O317*(1-Premissas!$C$45)-(SUM($AC$5:$AC$355)+Premissas!$C$26*Premissas!$C$60)),"")</f>
        <v>1023713.48747331</v>
      </c>
      <c r="AG317" s="22" t="n">
        <f aca="false">IF($A317&gt;=Premissas!$C$18,AE317+AF317,"")</f>
        <v>1313948.44305975</v>
      </c>
      <c r="AH317" s="22" t="n">
        <f aca="false">AH316*(1+$P317)-AD317</f>
        <v>1247398.06288376</v>
      </c>
      <c r="AI317" s="22" t="n">
        <f aca="false">($A317=Premissas!$C$16)*0.2*Premissas!$C$11+AND($A317&gt;Premissas!$C$16,$A317&lt;=EDATE(Premissas!$C$16,43))*0.8*Premissas!$C$11/43*(1+Premissas!$C$56)^$C317</f>
        <v>0</v>
      </c>
      <c r="AJ317" s="22" t="n">
        <f aca="false">L317-M317-N317-AI317</f>
        <v>3583.69444376392</v>
      </c>
      <c r="AK317" s="22" t="n">
        <f aca="false">AK316+AJ317</f>
        <v>244370.470168377</v>
      </c>
      <c r="AL317" s="22" t="n">
        <f aca="false">IF($A317&gt;=Premissas!$C$18,O317*(1-Premissas!$C$45)-Premissas!$C$46*MAX(0,O317*(1-Premissas!$C$45)-(SUM($AI$5:$AI$355)+Premissas!$C$26*Premissas!$C$60)),"")</f>
        <v>1030593.16028602</v>
      </c>
      <c r="AM317" s="22" t="n">
        <f aca="false">IF($A317&gt;=Premissas!$C$18,AK317+AL317,"")</f>
        <v>1274963.6304544</v>
      </c>
      <c r="AN317" s="22" t="n">
        <f aca="false">AN316*(1+$P317)-AJ317</f>
        <v>1287022.72053643</v>
      </c>
      <c r="AO317" s="22" t="n">
        <f aca="false">V317+S317</f>
        <v>1267291.35864027</v>
      </c>
    </row>
    <row r="318" customFormat="false" ht="15" hidden="false" customHeight="false" outlineLevel="0" collapsed="false">
      <c r="A318" s="26" t="n">
        <f aca="false">DATE(YEAR(A317),MONTH(A317)+1,1)</f>
        <v>55824</v>
      </c>
      <c r="B318" s="22" t="str">
        <f aca="false">IF($A318&lt;Premissas!$C$18,"Obra",IF($A318&lt;Premissas!$C$20,"Entrega/mobília","Airbnb"))</f>
        <v>Airbnb</v>
      </c>
      <c r="C318" s="36" t="n">
        <f aca="false">(YEAR($A318)-YEAR(Premissas!$C$16))*12+MONTH($A318)-MONTH(Premissas!$C$16)</f>
        <v>313</v>
      </c>
      <c r="D318" s="33" t="n">
        <f aca="false">IF($A318&gt;=Premissas!$C$20,Premissas!$C$31*IF(((YEAR($A318)-YEAR(Premissas!$C$20))*12+MONTH($A318)-MONTH(Premissas!$C$20))&lt;Premissas!$C$33,Premissas!$C$34,1),0)</f>
        <v>0.62</v>
      </c>
      <c r="E318" s="22" t="n">
        <f aca="false">D318*Premissas!$C$30*Premissas!$C$32*(1+Premissas!$C$58)^$C318</f>
        <v>12934.1895015995</v>
      </c>
      <c r="F318" s="22" t="n">
        <f aca="false">E318*Premissas!$C$35</f>
        <v>2069.47032025592</v>
      </c>
      <c r="G318" s="22" t="n">
        <f aca="false">E318*Premissas!$C$36</f>
        <v>2586.8379003199</v>
      </c>
      <c r="H318" s="22" t="n">
        <f aca="false">IF($A318&gt;=Premissas!$C$18,Premissas!$C$37*(1+Premissas!$C$58)^$C318,0)</f>
        <v>1668.92767762574</v>
      </c>
      <c r="I318" s="22" t="n">
        <f aca="false">IF($A318&gt;=Premissas!$C$20,Premissas!$C$38*(1+Premissas!$C$58)^$C318,0)</f>
        <v>778.832916225345</v>
      </c>
      <c r="J318" s="22" t="n">
        <f aca="false">IF($A318&gt;=Premissas!$C$20,Premissas!$C$39*(1+Premissas!$C$58)^$C318,0)</f>
        <v>417.231919406435</v>
      </c>
      <c r="K318" s="22" t="n">
        <f aca="false">IF($A318&gt;=Premissas!$C$20,MAX(0,E318-F318-G318-H318)*Premissas!$C$41,0)</f>
        <v>1817.46224093443</v>
      </c>
      <c r="L318" s="22" t="n">
        <f aca="false">E318-F318-G318-H318-I318-J318-K318</f>
        <v>3595.42652683172</v>
      </c>
      <c r="M318" s="22" t="n">
        <f aca="false">($A318=Premissas!$C$18)*Premissas!$C$26*Premissas!$C$60</f>
        <v>0</v>
      </c>
      <c r="N318" s="22" t="n">
        <f aca="false">IF(AND($A318&gt;=Premissas!$C$18,$A318&lt;Premissas!$C$20),Premissas!$C$27/MAX(1,Premissas!$C$19),0)</f>
        <v>0</v>
      </c>
      <c r="O318" s="22" t="n">
        <f aca="false">IF($A318&gt;=Premissas!$C$18,Premissas!$C$60*(1+Premissas!$C$59)^((YEAR($A318)-YEAR(Premissas!$C$18))*12+MONTH($A318)-MONTH(Premissas!$C$18)),"")</f>
        <v>1228968.14088593</v>
      </c>
      <c r="P318" s="31" t="n">
        <f aca="false">(1+IF(YEAR($A318)&lt;=2026,Premissas!$C$49,IF(YEAR($A318)=2027,Premissas!$C$50,IF(YEAR($A318)=2028,Premissas!$C$51,Premissas!$C$52)))*(1-Premissas!$C$53))^(1/12)-1</f>
        <v>0.00682149336596227</v>
      </c>
      <c r="Q318" s="22" t="n">
        <f aca="false">($A318=Premissas!$C$16)*Premissas!$C$13</f>
        <v>0</v>
      </c>
      <c r="R318" s="22" t="n">
        <f aca="false">L318-M318-N318-Q318</f>
        <v>3595.42652683172</v>
      </c>
      <c r="S318" s="22" t="n">
        <f aca="false">S317+R318</f>
        <v>332378.845993295</v>
      </c>
      <c r="T318" s="22" t="n">
        <f aca="false">IF($A318&gt;=Premissas!$C$18,O318*(1-Premissas!$C$45)-Premissas!$C$46*MAX(0,O318*(1-Premissas!$C$45)-(SUM($Q$5:$Q$355)+Premissas!$C$26*Premissas!$C$60)),"")</f>
        <v>1021915.5529146</v>
      </c>
      <c r="U318" s="22" t="n">
        <f aca="false">IF($A318&gt;=Premissas!$C$18,S318+T318,"")</f>
        <v>1354294.3989079</v>
      </c>
      <c r="V318" s="22" t="n">
        <f aca="false">V317*(1+$P318)-R318</f>
        <v>941314.538327947</v>
      </c>
      <c r="W318" s="22" t="n">
        <f aca="false">($A318=Premissas!$C$16)*Premissas!$C$9</f>
        <v>0</v>
      </c>
      <c r="X318" s="22" t="n">
        <f aca="false">L318-M318-N318-W318</f>
        <v>3595.42652683172</v>
      </c>
      <c r="Y318" s="22" t="n">
        <f aca="false">Y317+X318</f>
        <v>301450.845993295</v>
      </c>
      <c r="Z318" s="22" t="n">
        <f aca="false">IF($A318&gt;=Premissas!$C$18,O318*(1-Premissas!$C$45)-Premissas!$C$46*MAX(0,O318*(1-Premissas!$C$45)-(SUM($W$5:$W$355)+Premissas!$C$26*Premissas!$C$60)),"")</f>
        <v>1026554.7529146</v>
      </c>
      <c r="AA318" s="22" t="n">
        <f aca="false">IF($A318&gt;=Premissas!$C$18,Y318+Z318,"")</f>
        <v>1328005.5989079</v>
      </c>
      <c r="AB318" s="22" t="n">
        <f aca="false">AB317*(1+$P318)-X318</f>
        <v>1209554.50951176</v>
      </c>
      <c r="AC318" s="22" t="n">
        <f aca="false">AND($A318&gt;=Premissas!$C$16,$A318&lt;EDATE(Premissas!$C$16,3))*Premissas!$C$10/3*(1+Premissas!$C$56)^$C318</f>
        <v>0</v>
      </c>
      <c r="AD318" s="22" t="n">
        <f aca="false">L318-M318-N318-AC318</f>
        <v>3595.42652683172</v>
      </c>
      <c r="AE318" s="22" t="n">
        <f aca="false">AE317+AD318</f>
        <v>293830.38211327</v>
      </c>
      <c r="AF318" s="22" t="n">
        <f aca="false">IF($A318&gt;=Premissas!$C$18,O318*(1-Premissas!$C$45)-Premissas!$C$46*MAX(0,O318*(1-Premissas!$C$45)-(SUM($AC$5:$AC$355)+Premissas!$C$26*Premissas!$C$60)),"")</f>
        <v>1027697.8224966</v>
      </c>
      <c r="AG318" s="22" t="n">
        <f aca="false">IF($A318&gt;=Premissas!$C$18,AE318+AF318,"")</f>
        <v>1321528.20460988</v>
      </c>
      <c r="AH318" s="22" t="n">
        <f aca="false">AH317*(1+$P318)-AD318</f>
        <v>1252311.7539676</v>
      </c>
      <c r="AI318" s="22" t="n">
        <f aca="false">($A318=Premissas!$C$16)*0.2*Premissas!$C$11+AND($A318&gt;Premissas!$C$16,$A318&lt;=EDATE(Premissas!$C$16,43))*0.8*Premissas!$C$11/43*(1+Premissas!$C$56)^$C318</f>
        <v>0</v>
      </c>
      <c r="AJ318" s="22" t="n">
        <f aca="false">L318-M318-N318-AI318</f>
        <v>3595.42652683172</v>
      </c>
      <c r="AK318" s="22" t="n">
        <f aca="false">AK317+AJ318</f>
        <v>247965.896695209</v>
      </c>
      <c r="AL318" s="22" t="n">
        <f aca="false">IF($A318&gt;=Premissas!$C$18,O318*(1-Premissas!$C$45)-Premissas!$C$46*MAX(0,O318*(1-Premissas!$C$45)-(SUM($AI$5:$AI$355)+Premissas!$C$26*Premissas!$C$60)),"")</f>
        <v>1034577.49530931</v>
      </c>
      <c r="AM318" s="22" t="n">
        <f aca="false">IF($A318&gt;=Premissas!$C$18,AK318+AL318,"")</f>
        <v>1282543.39200452</v>
      </c>
      <c r="AN318" s="22" t="n">
        <f aca="false">AN317*(1+$P318)-AJ318</f>
        <v>1292206.71095958</v>
      </c>
      <c r="AO318" s="22" t="n">
        <f aca="false">V318+S318</f>
        <v>1273693.38432124</v>
      </c>
    </row>
    <row r="319" customFormat="false" ht="15" hidden="false" customHeight="false" outlineLevel="0" collapsed="false">
      <c r="A319" s="26" t="n">
        <f aca="false">DATE(YEAR(A318),MONTH(A318)+1,1)</f>
        <v>55854</v>
      </c>
      <c r="B319" s="22" t="str">
        <f aca="false">IF($A319&lt;Premissas!$C$18,"Obra",IF($A319&lt;Premissas!$C$20,"Entrega/mobília","Airbnb"))</f>
        <v>Airbnb</v>
      </c>
      <c r="C319" s="36" t="n">
        <f aca="false">(YEAR($A319)-YEAR(Premissas!$C$16))*12+MONTH($A319)-MONTH(Premissas!$C$16)</f>
        <v>314</v>
      </c>
      <c r="D319" s="33" t="n">
        <f aca="false">IF($A319&gt;=Premissas!$C$20,Premissas!$C$31*IF(((YEAR($A319)-YEAR(Premissas!$C$20))*12+MONTH($A319)-MONTH(Premissas!$C$20))&lt;Premissas!$C$33,Premissas!$C$34,1),0)</f>
        <v>0.62</v>
      </c>
      <c r="E319" s="22" t="n">
        <f aca="false">D319*Premissas!$C$30*Premissas!$C$32*(1+Premissas!$C$58)^$C319</f>
        <v>12976.5326723214</v>
      </c>
      <c r="F319" s="22" t="n">
        <f aca="false">E319*Premissas!$C$35</f>
        <v>2076.24522757142</v>
      </c>
      <c r="G319" s="22" t="n">
        <f aca="false">E319*Premissas!$C$36</f>
        <v>2595.30653446427</v>
      </c>
      <c r="H319" s="22" t="n">
        <f aca="false">IF($A319&gt;=Premissas!$C$18,Premissas!$C$37*(1+Premissas!$C$58)^$C319,0)</f>
        <v>1674.39131255759</v>
      </c>
      <c r="I319" s="22" t="n">
        <f aca="false">IF($A319&gt;=Premissas!$C$20,Premissas!$C$38*(1+Premissas!$C$58)^$C319,0)</f>
        <v>781.382612526878</v>
      </c>
      <c r="J319" s="22" t="n">
        <f aca="false">IF($A319&gt;=Premissas!$C$20,Premissas!$C$39*(1+Premissas!$C$58)^$C319,0)</f>
        <v>418.597828139399</v>
      </c>
      <c r="K319" s="22" t="n">
        <f aca="false">IF($A319&gt;=Premissas!$C$20,MAX(0,E319-F319-G319-H319)*Premissas!$C$41,0)</f>
        <v>1823.41213937522</v>
      </c>
      <c r="L319" s="22" t="n">
        <f aca="false">E319-F319-G319-H319-I319-J319-K319</f>
        <v>3607.19701768658</v>
      </c>
      <c r="M319" s="22" t="n">
        <f aca="false">($A319=Premissas!$C$18)*Premissas!$C$26*Premissas!$C$60</f>
        <v>0</v>
      </c>
      <c r="N319" s="22" t="n">
        <f aca="false">IF(AND($A319&gt;=Premissas!$C$18,$A319&lt;Premissas!$C$20),Premissas!$C$27/MAX(1,Premissas!$C$19),0)</f>
        <v>0</v>
      </c>
      <c r="O319" s="22" t="n">
        <f aca="false">IF($A319&gt;=Premissas!$C$18,Premissas!$C$60*(1+Premissas!$C$59)^((YEAR($A319)-YEAR(Premissas!$C$18))*12+MONTH($A319)-MONTH(Premissas!$C$18)),"")</f>
        <v>1233975.10921806</v>
      </c>
      <c r="P319" s="31" t="n">
        <f aca="false">(1+IF(YEAR($A319)&lt;=2026,Premissas!$C$49,IF(YEAR($A319)=2027,Premissas!$C$50,IF(YEAR($A319)=2028,Premissas!$C$51,Premissas!$C$52)))*(1-Premissas!$C$53))^(1/12)-1</f>
        <v>0.00682149336596227</v>
      </c>
      <c r="Q319" s="22" t="n">
        <f aca="false">($A319=Premissas!$C$16)*Premissas!$C$13</f>
        <v>0</v>
      </c>
      <c r="R319" s="22" t="n">
        <f aca="false">L319-M319-N319-Q319</f>
        <v>3607.19701768658</v>
      </c>
      <c r="S319" s="22" t="n">
        <f aca="false">S318+R319</f>
        <v>335986.043010982</v>
      </c>
      <c r="T319" s="22" t="n">
        <f aca="false">IF($A319&gt;=Premissas!$C$18,O319*(1-Premissas!$C$45)-Premissas!$C$46*MAX(0,O319*(1-Premissas!$C$45)-(SUM($Q$5:$Q$355)+Premissas!$C$26*Premissas!$C$60)),"")</f>
        <v>1025916.12061197</v>
      </c>
      <c r="U319" s="22" t="n">
        <f aca="false">IF($A319&gt;=Premissas!$C$18,S319+T319,"")</f>
        <v>1361902.16362295</v>
      </c>
      <c r="V319" s="22" t="n">
        <f aca="false">V318*(1+$P319)-R319</f>
        <v>944128.512188749</v>
      </c>
      <c r="W319" s="22" t="n">
        <f aca="false">($A319=Premissas!$C$16)*Premissas!$C$9</f>
        <v>0</v>
      </c>
      <c r="X319" s="22" t="n">
        <f aca="false">L319-M319-N319-W319</f>
        <v>3607.19701768658</v>
      </c>
      <c r="Y319" s="22" t="n">
        <f aca="false">Y318+X319</f>
        <v>305058.043010982</v>
      </c>
      <c r="Z319" s="22" t="n">
        <f aca="false">IF($A319&gt;=Premissas!$C$18,O319*(1-Premissas!$C$45)-Premissas!$C$46*MAX(0,O319*(1-Premissas!$C$45)-(SUM($W$5:$W$355)+Premissas!$C$26*Premissas!$C$60)),"")</f>
        <v>1030555.32061197</v>
      </c>
      <c r="AA319" s="22" t="n">
        <f aca="false">IF($A319&gt;=Premissas!$C$18,Y319+Z319,"")</f>
        <v>1335613.36362295</v>
      </c>
      <c r="AB319" s="22" t="n">
        <f aca="false">AB318*(1+$P319)-X319</f>
        <v>1214198.28055647</v>
      </c>
      <c r="AC319" s="22" t="n">
        <f aca="false">AND($A319&gt;=Premissas!$C$16,$A319&lt;EDATE(Premissas!$C$16,3))*Premissas!$C$10/3*(1+Premissas!$C$56)^$C319</f>
        <v>0</v>
      </c>
      <c r="AD319" s="22" t="n">
        <f aca="false">L319-M319-N319-AC319</f>
        <v>3607.19701768658</v>
      </c>
      <c r="AE319" s="22" t="n">
        <f aca="false">AE318+AD319</f>
        <v>297437.579130957</v>
      </c>
      <c r="AF319" s="22" t="n">
        <f aca="false">IF($A319&gt;=Premissas!$C$18,O319*(1-Premissas!$C$45)-Premissas!$C$46*MAX(0,O319*(1-Premissas!$C$45)-(SUM($AC$5:$AC$355)+Premissas!$C$26*Premissas!$C$60)),"")</f>
        <v>1031698.39019398</v>
      </c>
      <c r="AG319" s="22" t="n">
        <f aca="false">IF($A319&gt;=Premissas!$C$18,AE319+AF319,"")</f>
        <v>1329135.96932493</v>
      </c>
      <c r="AH319" s="22" t="n">
        <f aca="false">AH318*(1+$P319)-AD319</f>
        <v>1257247.19327172</v>
      </c>
      <c r="AI319" s="22" t="n">
        <f aca="false">($A319=Premissas!$C$16)*0.2*Premissas!$C$11+AND($A319&gt;Premissas!$C$16,$A319&lt;=EDATE(Premissas!$C$16,43))*0.8*Premissas!$C$11/43*(1+Premissas!$C$56)^$C319</f>
        <v>0</v>
      </c>
      <c r="AJ319" s="22" t="n">
        <f aca="false">L319-M319-N319-AI319</f>
        <v>3607.19701768658</v>
      </c>
      <c r="AK319" s="22" t="n">
        <f aca="false">AK318+AJ319</f>
        <v>251573.093712895</v>
      </c>
      <c r="AL319" s="22" t="n">
        <f aca="false">IF($A319&gt;=Premissas!$C$18,O319*(1-Premissas!$C$45)-Premissas!$C$46*MAX(0,O319*(1-Premissas!$C$45)-(SUM($AI$5:$AI$355)+Premissas!$C$26*Premissas!$C$60)),"")</f>
        <v>1038578.06300669</v>
      </c>
      <c r="AM319" s="22" t="n">
        <f aca="false">IF($A319&gt;=Premissas!$C$18,AK319+AL319,"")</f>
        <v>1290151.15671958</v>
      </c>
      <c r="AN319" s="22" t="n">
        <f aca="false">AN318*(1+$P319)-AJ319</f>
        <v>1297414.29344816</v>
      </c>
      <c r="AO319" s="22" t="n">
        <f aca="false">V319+S319</f>
        <v>1280114.55519973</v>
      </c>
    </row>
    <row r="320" customFormat="false" ht="15" hidden="false" customHeight="false" outlineLevel="0" collapsed="false">
      <c r="A320" s="26" t="n">
        <f aca="false">DATE(YEAR(A319),MONTH(A319)+1,1)</f>
        <v>55885</v>
      </c>
      <c r="B320" s="22" t="str">
        <f aca="false">IF($A320&lt;Premissas!$C$18,"Obra",IF($A320&lt;Premissas!$C$20,"Entrega/mobília","Airbnb"))</f>
        <v>Airbnb</v>
      </c>
      <c r="C320" s="36" t="n">
        <f aca="false">(YEAR($A320)-YEAR(Premissas!$C$16))*12+MONTH($A320)-MONTH(Premissas!$C$16)</f>
        <v>315</v>
      </c>
      <c r="D320" s="33" t="n">
        <f aca="false">IF($A320&gt;=Premissas!$C$20,Premissas!$C$31*IF(((YEAR($A320)-YEAR(Premissas!$C$20))*12+MONTH($A320)-MONTH(Premissas!$C$20))&lt;Premissas!$C$33,Premissas!$C$34,1),0)</f>
        <v>0.62</v>
      </c>
      <c r="E320" s="22" t="n">
        <f aca="false">D320*Premissas!$C$30*Premissas!$C$32*(1+Premissas!$C$58)^$C320</f>
        <v>13019.0144635657</v>
      </c>
      <c r="F320" s="22" t="n">
        <f aca="false">E320*Premissas!$C$35</f>
        <v>2083.04231417052</v>
      </c>
      <c r="G320" s="22" t="n">
        <f aca="false">E320*Premissas!$C$36</f>
        <v>2603.80289271315</v>
      </c>
      <c r="H320" s="22" t="n">
        <f aca="false">IF($A320&gt;=Premissas!$C$18,Premissas!$C$37*(1+Premissas!$C$58)^$C320,0)</f>
        <v>1679.87283400848</v>
      </c>
      <c r="I320" s="22" t="n">
        <f aca="false">IF($A320&gt;=Premissas!$C$20,Premissas!$C$38*(1+Premissas!$C$58)^$C320,0)</f>
        <v>783.940655870625</v>
      </c>
      <c r="J320" s="22" t="n">
        <f aca="false">IF($A320&gt;=Premissas!$C$20,Premissas!$C$39*(1+Premissas!$C$58)^$C320,0)</f>
        <v>419.968208502121</v>
      </c>
      <c r="K320" s="22" t="n">
        <f aca="false">IF($A320&gt;=Premissas!$C$20,MAX(0,E320-F320-G320-H320)*Premissas!$C$41,0)</f>
        <v>1829.38151623524</v>
      </c>
      <c r="L320" s="22" t="n">
        <f aca="false">E320-F320-G320-H320-I320-J320-K320</f>
        <v>3619.00604206561</v>
      </c>
      <c r="M320" s="22" t="n">
        <f aca="false">($A320=Premissas!$C$18)*Premissas!$C$26*Premissas!$C$60</f>
        <v>0</v>
      </c>
      <c r="N320" s="22" t="n">
        <f aca="false">IF(AND($A320&gt;=Premissas!$C$18,$A320&lt;Premissas!$C$20),Premissas!$C$27/MAX(1,Premissas!$C$19),0)</f>
        <v>0</v>
      </c>
      <c r="O320" s="22" t="n">
        <f aca="false">IF($A320&gt;=Premissas!$C$18,Premissas!$C$60*(1+Premissas!$C$59)^((YEAR($A320)-YEAR(Premissas!$C$18))*12+MONTH($A320)-MONTH(Premissas!$C$18)),"")</f>
        <v>1239002.47655895</v>
      </c>
      <c r="P320" s="31" t="n">
        <f aca="false">(1+IF(YEAR($A320)&lt;=2026,Premissas!$C$49,IF(YEAR($A320)=2027,Premissas!$C$50,IF(YEAR($A320)=2028,Premissas!$C$51,Premissas!$C$52)))*(1-Premissas!$C$53))^(1/12)-1</f>
        <v>0.00682149336596227</v>
      </c>
      <c r="Q320" s="22" t="n">
        <f aca="false">($A320=Premissas!$C$16)*Premissas!$C$13</f>
        <v>0</v>
      </c>
      <c r="R320" s="22" t="n">
        <f aca="false">L320-M320-N320-Q320</f>
        <v>3619.00604206561</v>
      </c>
      <c r="S320" s="22" t="n">
        <f aca="false">S319+R320</f>
        <v>339605.049053047</v>
      </c>
      <c r="T320" s="22" t="n">
        <f aca="false">IF($A320&gt;=Premissas!$C$18,O320*(1-Premissas!$C$45)-Premissas!$C$46*MAX(0,O320*(1-Premissas!$C$45)-(SUM($Q$5:$Q$355)+Premissas!$C$26*Premissas!$C$60)),"")</f>
        <v>1029932.98711735</v>
      </c>
      <c r="U320" s="22" t="n">
        <f aca="false">IF($A320&gt;=Premissas!$C$18,S320+T320,"")</f>
        <v>1369538.0361704</v>
      </c>
      <c r="V320" s="22" t="n">
        <f aca="false">V319*(1+$P320)-R320</f>
        <v>946949.872529194</v>
      </c>
      <c r="W320" s="22" t="n">
        <f aca="false">($A320=Premissas!$C$16)*Premissas!$C$9</f>
        <v>0</v>
      </c>
      <c r="X320" s="22" t="n">
        <f aca="false">L320-M320-N320-W320</f>
        <v>3619.00604206561</v>
      </c>
      <c r="Y320" s="22" t="n">
        <f aca="false">Y319+X320</f>
        <v>308677.049053047</v>
      </c>
      <c r="Z320" s="22" t="n">
        <f aca="false">IF($A320&gt;=Premissas!$C$18,O320*(1-Premissas!$C$45)-Premissas!$C$46*MAX(0,O320*(1-Premissas!$C$45)-(SUM($W$5:$W$355)+Premissas!$C$26*Premissas!$C$60)),"")</f>
        <v>1034572.18711735</v>
      </c>
      <c r="AA320" s="22" t="n">
        <f aca="false">IF($A320&gt;=Premissas!$C$18,Y320+Z320,"")</f>
        <v>1343249.2361704</v>
      </c>
      <c r="AB320" s="22" t="n">
        <f aca="false">AB319*(1+$P320)-X320</f>
        <v>1218861.92003019</v>
      </c>
      <c r="AC320" s="22" t="n">
        <f aca="false">AND($A320&gt;=Premissas!$C$16,$A320&lt;EDATE(Premissas!$C$16,3))*Premissas!$C$10/3*(1+Premissas!$C$56)^$C320</f>
        <v>0</v>
      </c>
      <c r="AD320" s="22" t="n">
        <f aca="false">L320-M320-N320-AC320</f>
        <v>3619.00604206561</v>
      </c>
      <c r="AE320" s="22" t="n">
        <f aca="false">AE319+AD320</f>
        <v>301056.585173023</v>
      </c>
      <c r="AF320" s="22" t="n">
        <f aca="false">IF($A320&gt;=Premissas!$C$18,O320*(1-Premissas!$C$45)-Premissas!$C$46*MAX(0,O320*(1-Premissas!$C$45)-(SUM($AC$5:$AC$355)+Premissas!$C$26*Premissas!$C$60)),"")</f>
        <v>1035715.25669935</v>
      </c>
      <c r="AG320" s="22" t="n">
        <f aca="false">IF($A320&gt;=Premissas!$C$18,AE320+AF320,"")</f>
        <v>1336771.84187237</v>
      </c>
      <c r="AH320" s="22" t="n">
        <f aca="false">AH319*(1+$P320)-AD320</f>
        <v>1262204.49061793</v>
      </c>
      <c r="AI320" s="22" t="n">
        <f aca="false">($A320=Premissas!$C$16)*0.2*Premissas!$C$11+AND($A320&gt;Premissas!$C$16,$A320&lt;=EDATE(Premissas!$C$16,43))*0.8*Premissas!$C$11/43*(1+Premissas!$C$56)^$C320</f>
        <v>0</v>
      </c>
      <c r="AJ320" s="22" t="n">
        <f aca="false">L320-M320-N320-AI320</f>
        <v>3619.00604206561</v>
      </c>
      <c r="AK320" s="22" t="n">
        <f aca="false">AK319+AJ320</f>
        <v>255192.099754961</v>
      </c>
      <c r="AL320" s="22" t="n">
        <f aca="false">IF($A320&gt;=Premissas!$C$18,O320*(1-Premissas!$C$45)-Premissas!$C$46*MAX(0,O320*(1-Premissas!$C$45)-(SUM($AI$5:$AI$355)+Premissas!$C$26*Premissas!$C$60)),"")</f>
        <v>1042594.92951206</v>
      </c>
      <c r="AM320" s="22" t="n">
        <f aca="false">IF($A320&gt;=Premissas!$C$18,AK320+AL320,"")</f>
        <v>1297787.02926702</v>
      </c>
      <c r="AN320" s="22" t="n">
        <f aca="false">AN319*(1+$P320)-AJ320</f>
        <v>1302645.59040175</v>
      </c>
      <c r="AO320" s="22" t="n">
        <f aca="false">V320+S320</f>
        <v>1286554.92158224</v>
      </c>
    </row>
    <row r="321" customFormat="false" ht="15" hidden="false" customHeight="false" outlineLevel="0" collapsed="false">
      <c r="A321" s="26" t="n">
        <f aca="false">DATE(YEAR(A320),MONTH(A320)+1,1)</f>
        <v>55916</v>
      </c>
      <c r="B321" s="22" t="str">
        <f aca="false">IF($A321&lt;Premissas!$C$18,"Obra",IF($A321&lt;Premissas!$C$20,"Entrega/mobília","Airbnb"))</f>
        <v>Airbnb</v>
      </c>
      <c r="C321" s="36" t="n">
        <f aca="false">(YEAR($A321)-YEAR(Premissas!$C$16))*12+MONTH($A321)-MONTH(Premissas!$C$16)</f>
        <v>316</v>
      </c>
      <c r="D321" s="33" t="n">
        <f aca="false">IF($A321&gt;=Premissas!$C$20,Premissas!$C$31*IF(((YEAR($A321)-YEAR(Premissas!$C$20))*12+MONTH($A321)-MONTH(Premissas!$C$20))&lt;Premissas!$C$33,Premissas!$C$34,1),0)</f>
        <v>0.62</v>
      </c>
      <c r="E321" s="22" t="n">
        <f aca="false">D321*Premissas!$C$30*Premissas!$C$32*(1+Premissas!$C$58)^$C321</f>
        <v>13061.6353291401</v>
      </c>
      <c r="F321" s="22" t="n">
        <f aca="false">E321*Premissas!$C$35</f>
        <v>2089.86165266242</v>
      </c>
      <c r="G321" s="22" t="n">
        <f aca="false">E321*Premissas!$C$36</f>
        <v>2612.32706582803</v>
      </c>
      <c r="H321" s="22" t="n">
        <f aca="false">IF($A321&gt;=Premissas!$C$18,Premissas!$C$37*(1+Premissas!$C$58)^$C321,0)</f>
        <v>1685.37230053421</v>
      </c>
      <c r="I321" s="22" t="n">
        <f aca="false">IF($A321&gt;=Premissas!$C$20,Premissas!$C$38*(1+Premissas!$C$58)^$C321,0)</f>
        <v>786.507073582632</v>
      </c>
      <c r="J321" s="22" t="n">
        <f aca="false">IF($A321&gt;=Premissas!$C$20,Premissas!$C$39*(1+Premissas!$C$58)^$C321,0)</f>
        <v>421.343075133553</v>
      </c>
      <c r="K321" s="22" t="n">
        <f aca="false">IF($A321&gt;=Premissas!$C$20,MAX(0,E321-F321-G321-H321)*Premissas!$C$41,0)</f>
        <v>1835.37043528176</v>
      </c>
      <c r="L321" s="22" t="n">
        <f aca="false">E321-F321-G321-H321-I321-J321-K321</f>
        <v>3630.85372611754</v>
      </c>
      <c r="M321" s="22" t="n">
        <f aca="false">($A321=Premissas!$C$18)*Premissas!$C$26*Premissas!$C$60</f>
        <v>0</v>
      </c>
      <c r="N321" s="22" t="n">
        <f aca="false">IF(AND($A321&gt;=Premissas!$C$18,$A321&lt;Premissas!$C$20),Premissas!$C$27/MAX(1,Premissas!$C$19),0)</f>
        <v>0</v>
      </c>
      <c r="O321" s="22" t="n">
        <f aca="false">IF($A321&gt;=Premissas!$C$18,Premissas!$C$60*(1+Premissas!$C$59)^((YEAR($A321)-YEAR(Premissas!$C$18))*12+MONTH($A321)-MONTH(Premissas!$C$18)),"")</f>
        <v>1244050.3260167</v>
      </c>
      <c r="P321" s="31" t="n">
        <f aca="false">(1+IF(YEAR($A321)&lt;=2026,Premissas!$C$49,IF(YEAR($A321)=2027,Premissas!$C$50,IF(YEAR($A321)=2028,Premissas!$C$51,Premissas!$C$52)))*(1-Premissas!$C$53))^(1/12)-1</f>
        <v>0.00682149336596227</v>
      </c>
      <c r="Q321" s="22" t="n">
        <f aca="false">($A321=Premissas!$C$16)*Premissas!$C$13</f>
        <v>0</v>
      </c>
      <c r="R321" s="22" t="n">
        <f aca="false">L321-M321-N321-Q321</f>
        <v>3630.85372611754</v>
      </c>
      <c r="S321" s="22" t="n">
        <f aca="false">S320+R321</f>
        <v>343235.902779165</v>
      </c>
      <c r="T321" s="22" t="n">
        <f aca="false">IF($A321&gt;=Premissas!$C$18,O321*(1-Premissas!$C$45)-Premissas!$C$46*MAX(0,O321*(1-Premissas!$C$45)-(SUM($Q$5:$Q$355)+Premissas!$C$26*Premissas!$C$60)),"")</f>
        <v>1033966.21883409</v>
      </c>
      <c r="U321" s="22" t="n">
        <f aca="false">IF($A321&gt;=Premissas!$C$18,S321+T321,"")</f>
        <v>1377202.12161325</v>
      </c>
      <c r="V321" s="22" t="n">
        <f aca="false">V320*(1+$P321)-R321</f>
        <v>949778.631076434</v>
      </c>
      <c r="W321" s="22" t="n">
        <f aca="false">($A321=Premissas!$C$16)*Premissas!$C$9</f>
        <v>0</v>
      </c>
      <c r="X321" s="22" t="n">
        <f aca="false">L321-M321-N321-W321</f>
        <v>3630.85372611754</v>
      </c>
      <c r="Y321" s="22" t="n">
        <f aca="false">Y320+X321</f>
        <v>312307.902779165</v>
      </c>
      <c r="Z321" s="22" t="n">
        <f aca="false">IF($A321&gt;=Premissas!$C$18,O321*(1-Premissas!$C$45)-Premissas!$C$46*MAX(0,O321*(1-Premissas!$C$45)-(SUM($W$5:$W$355)+Premissas!$C$26*Premissas!$C$60)),"")</f>
        <v>1038605.41883409</v>
      </c>
      <c r="AA321" s="22" t="n">
        <f aca="false">IF($A321&gt;=Premissas!$C$18,Y321+Z321,"")</f>
        <v>1350913.32161325</v>
      </c>
      <c r="AB321" s="22" t="n">
        <f aca="false">AB320*(1+$P321)-X321</f>
        <v>1223545.52480558</v>
      </c>
      <c r="AC321" s="22" t="n">
        <f aca="false">AND($A321&gt;=Premissas!$C$16,$A321&lt;EDATE(Premissas!$C$16,3))*Premissas!$C$10/3*(1+Premissas!$C$56)^$C321</f>
        <v>0</v>
      </c>
      <c r="AD321" s="22" t="n">
        <f aca="false">L321-M321-N321-AC321</f>
        <v>3630.85372611754</v>
      </c>
      <c r="AE321" s="22" t="n">
        <f aca="false">AE320+AD321</f>
        <v>304687.43889914</v>
      </c>
      <c r="AF321" s="22" t="n">
        <f aca="false">IF($A321&gt;=Premissas!$C$18,O321*(1-Premissas!$C$45)-Premissas!$C$46*MAX(0,O321*(1-Premissas!$C$45)-(SUM($AC$5:$AC$355)+Premissas!$C$26*Premissas!$C$60)),"")</f>
        <v>1039748.48841609</v>
      </c>
      <c r="AG321" s="22" t="n">
        <f aca="false">IF($A321&gt;=Premissas!$C$18,AE321+AF321,"")</f>
        <v>1344435.92731523</v>
      </c>
      <c r="AH321" s="22" t="n">
        <f aca="false">AH320*(1+$P321)-AD321</f>
        <v>1267183.75645105</v>
      </c>
      <c r="AI321" s="22" t="n">
        <f aca="false">($A321=Premissas!$C$16)*0.2*Premissas!$C$11+AND($A321&gt;Premissas!$C$16,$A321&lt;=EDATE(Premissas!$C$16,43))*0.8*Premissas!$C$11/43*(1+Premissas!$C$56)^$C321</f>
        <v>0</v>
      </c>
      <c r="AJ321" s="22" t="n">
        <f aca="false">L321-M321-N321-AI321</f>
        <v>3630.85372611754</v>
      </c>
      <c r="AK321" s="22" t="n">
        <f aca="false">AK320+AJ321</f>
        <v>258822.953481078</v>
      </c>
      <c r="AL321" s="22" t="n">
        <f aca="false">IF($A321&gt;=Premissas!$C$18,O321*(1-Premissas!$C$45)-Premissas!$C$46*MAX(0,O321*(1-Premissas!$C$45)-(SUM($AI$5:$AI$355)+Premissas!$C$26*Premissas!$C$60)),"")</f>
        <v>1046628.1612288</v>
      </c>
      <c r="AM321" s="22" t="n">
        <f aca="false">IF($A321&gt;=Premissas!$C$18,AK321+AL321,"")</f>
        <v>1305451.11470988</v>
      </c>
      <c r="AN321" s="22" t="n">
        <f aca="false">AN320*(1+$P321)-AJ321</f>
        <v>1307900.72492876</v>
      </c>
      <c r="AO321" s="22" t="n">
        <f aca="false">V321+S321</f>
        <v>1293014.5338556</v>
      </c>
    </row>
    <row r="322" customFormat="false" ht="15" hidden="false" customHeight="false" outlineLevel="0" collapsed="false">
      <c r="A322" s="26" t="n">
        <f aca="false">DATE(YEAR(A321),MONTH(A321)+1,1)</f>
        <v>55944</v>
      </c>
      <c r="B322" s="22" t="str">
        <f aca="false">IF($A322&lt;Premissas!$C$18,"Obra",IF($A322&lt;Premissas!$C$20,"Entrega/mobília","Airbnb"))</f>
        <v>Airbnb</v>
      </c>
      <c r="C322" s="36" t="n">
        <f aca="false">(YEAR($A322)-YEAR(Premissas!$C$16))*12+MONTH($A322)-MONTH(Premissas!$C$16)</f>
        <v>317</v>
      </c>
      <c r="D322" s="33" t="n">
        <f aca="false">IF($A322&gt;=Premissas!$C$20,Premissas!$C$31*IF(((YEAR($A322)-YEAR(Premissas!$C$20))*12+MONTH($A322)-MONTH(Premissas!$C$20))&lt;Premissas!$C$33,Premissas!$C$34,1),0)</f>
        <v>0.62</v>
      </c>
      <c r="E322" s="22" t="n">
        <f aca="false">D322*Premissas!$C$30*Premissas!$C$32*(1+Premissas!$C$58)^$C322</f>
        <v>13104.3957243377</v>
      </c>
      <c r="F322" s="22" t="n">
        <f aca="false">E322*Premissas!$C$35</f>
        <v>2096.70331589404</v>
      </c>
      <c r="G322" s="22" t="n">
        <f aca="false">E322*Premissas!$C$36</f>
        <v>2620.87914486754</v>
      </c>
      <c r="H322" s="22" t="n">
        <f aca="false">IF($A322&gt;=Premissas!$C$18,Premissas!$C$37*(1+Premissas!$C$58)^$C322,0)</f>
        <v>1690.88977088229</v>
      </c>
      <c r="I322" s="22" t="n">
        <f aca="false">IF($A322&gt;=Premissas!$C$20,Premissas!$C$38*(1+Premissas!$C$58)^$C322,0)</f>
        <v>789.081893078401</v>
      </c>
      <c r="J322" s="22" t="n">
        <f aca="false">IF($A322&gt;=Premissas!$C$20,Premissas!$C$39*(1+Premissas!$C$58)^$C322,0)</f>
        <v>422.722442720572</v>
      </c>
      <c r="K322" s="22" t="n">
        <f aca="false">IF($A322&gt;=Premissas!$C$20,MAX(0,E322-F322-G322-H322)*Premissas!$C$41,0)</f>
        <v>1841.37896049081</v>
      </c>
      <c r="L322" s="22" t="n">
        <f aca="false">E322-F322-G322-H322-I322-J322-K322</f>
        <v>3642.74019640407</v>
      </c>
      <c r="M322" s="22" t="n">
        <f aca="false">($A322=Premissas!$C$18)*Premissas!$C$26*Premissas!$C$60</f>
        <v>0</v>
      </c>
      <c r="N322" s="22" t="n">
        <f aca="false">IF(AND($A322&gt;=Premissas!$C$18,$A322&lt;Premissas!$C$20),Premissas!$C$27/MAX(1,Premissas!$C$19),0)</f>
        <v>0</v>
      </c>
      <c r="O322" s="22" t="n">
        <f aca="false">IF($A322&gt;=Premissas!$C$18,Premissas!$C$60*(1+Premissas!$C$59)^((YEAR($A322)-YEAR(Premissas!$C$18))*12+MONTH($A322)-MONTH(Premissas!$C$18)),"")</f>
        <v>1249118.74103798</v>
      </c>
      <c r="P322" s="31" t="n">
        <f aca="false">(1+IF(YEAR($A322)&lt;=2026,Premissas!$C$49,IF(YEAR($A322)=2027,Premissas!$C$50,IF(YEAR($A322)=2028,Premissas!$C$51,Premissas!$C$52)))*(1-Premissas!$C$53))^(1/12)-1</f>
        <v>0.00682149336596227</v>
      </c>
      <c r="Q322" s="22" t="n">
        <f aca="false">($A322=Premissas!$C$16)*Premissas!$C$13</f>
        <v>0</v>
      </c>
      <c r="R322" s="22" t="n">
        <f aca="false">L322-M322-N322-Q322</f>
        <v>3642.74019640407</v>
      </c>
      <c r="S322" s="22" t="n">
        <f aca="false">S321+R322</f>
        <v>346878.642975569</v>
      </c>
      <c r="T322" s="22" t="n">
        <f aca="false">IF($A322&gt;=Premissas!$C$18,O322*(1-Premissas!$C$45)-Premissas!$C$46*MAX(0,O322*(1-Premissas!$C$45)-(SUM($Q$5:$Q$355)+Premissas!$C$26*Premissas!$C$60)),"")</f>
        <v>1038015.88243609</v>
      </c>
      <c r="U322" s="22" t="n">
        <f aca="false">IF($A322&gt;=Premissas!$C$18,S322+T322,"")</f>
        <v>1384894.52541166</v>
      </c>
      <c r="V322" s="22" t="n">
        <f aca="false">V321*(1+$P322)-R322</f>
        <v>952614.79951105</v>
      </c>
      <c r="W322" s="22" t="n">
        <f aca="false">($A322=Premissas!$C$16)*Premissas!$C$9</f>
        <v>0</v>
      </c>
      <c r="X322" s="22" t="n">
        <f aca="false">L322-M322-N322-W322</f>
        <v>3642.74019640407</v>
      </c>
      <c r="Y322" s="22" t="n">
        <f aca="false">Y321+X322</f>
        <v>315950.642975569</v>
      </c>
      <c r="Z322" s="22" t="n">
        <f aca="false">IF($A322&gt;=Premissas!$C$18,O322*(1-Premissas!$C$45)-Premissas!$C$46*MAX(0,O322*(1-Premissas!$C$45)-(SUM($W$5:$W$355)+Premissas!$C$26*Premissas!$C$60)),"")</f>
        <v>1042655.08243609</v>
      </c>
      <c r="AA322" s="22" t="n">
        <f aca="false">IF($A322&gt;=Premissas!$C$18,Y322+Z322,"")</f>
        <v>1358605.72541166</v>
      </c>
      <c r="AB322" s="22" t="n">
        <f aca="false">AB321*(1+$P322)-X322</f>
        <v>1228249.19228959</v>
      </c>
      <c r="AC322" s="22" t="n">
        <f aca="false">AND($A322&gt;=Premissas!$C$16,$A322&lt;EDATE(Premissas!$C$16,3))*Premissas!$C$10/3*(1+Premissas!$C$56)^$C322</f>
        <v>0</v>
      </c>
      <c r="AD322" s="22" t="n">
        <f aca="false">L322-M322-N322-AC322</f>
        <v>3642.74019640407</v>
      </c>
      <c r="AE322" s="22" t="n">
        <f aca="false">AE321+AD322</f>
        <v>308330.179095544</v>
      </c>
      <c r="AF322" s="22" t="n">
        <f aca="false">IF($A322&gt;=Premissas!$C$18,O322*(1-Premissas!$C$45)-Premissas!$C$46*MAX(0,O322*(1-Premissas!$C$45)-(SUM($AC$5:$AC$355)+Premissas!$C$26*Premissas!$C$60)),"")</f>
        <v>1043798.1520181</v>
      </c>
      <c r="AG322" s="22" t="n">
        <f aca="false">IF($A322&gt;=Premissas!$C$18,AE322+AF322,"")</f>
        <v>1352128.33111364</v>
      </c>
      <c r="AH322" s="22" t="n">
        <f aca="false">AH321*(1+$P322)-AD322</f>
        <v>1272185.10184273</v>
      </c>
      <c r="AI322" s="22" t="n">
        <f aca="false">($A322=Premissas!$C$16)*0.2*Premissas!$C$11+AND($A322&gt;Premissas!$C$16,$A322&lt;=EDATE(Premissas!$C$16,43))*0.8*Premissas!$C$11/43*(1+Premissas!$C$56)^$C322</f>
        <v>0</v>
      </c>
      <c r="AJ322" s="22" t="n">
        <f aca="false">L322-M322-N322-AI322</f>
        <v>3642.74019640407</v>
      </c>
      <c r="AK322" s="22" t="n">
        <f aca="false">AK321+AJ322</f>
        <v>262465.693677482</v>
      </c>
      <c r="AL322" s="22" t="n">
        <f aca="false">IF($A322&gt;=Premissas!$C$18,O322*(1-Premissas!$C$45)-Premissas!$C$46*MAX(0,O322*(1-Premissas!$C$45)-(SUM($AI$5:$AI$355)+Premissas!$C$26*Premissas!$C$60)),"")</f>
        <v>1050677.8248308</v>
      </c>
      <c r="AM322" s="22" t="n">
        <f aca="false">IF($A322&gt;=Premissas!$C$18,AK322+AL322,"")</f>
        <v>1313143.51850829</v>
      </c>
      <c r="AN322" s="22" t="n">
        <f aca="false">AN321*(1+$P322)-AJ322</f>
        <v>1313179.8208508</v>
      </c>
      <c r="AO322" s="22" t="n">
        <f aca="false">V322+S322</f>
        <v>1299493.44248662</v>
      </c>
    </row>
    <row r="323" customFormat="false" ht="15" hidden="false" customHeight="false" outlineLevel="0" collapsed="false">
      <c r="A323" s="26" t="n">
        <f aca="false">DATE(YEAR(A322),MONTH(A322)+1,1)</f>
        <v>55975</v>
      </c>
      <c r="B323" s="22" t="str">
        <f aca="false">IF($A323&lt;Premissas!$C$18,"Obra",IF($A323&lt;Premissas!$C$20,"Entrega/mobília","Airbnb"))</f>
        <v>Airbnb</v>
      </c>
      <c r="C323" s="36" t="n">
        <f aca="false">(YEAR($A323)-YEAR(Premissas!$C$16))*12+MONTH($A323)-MONTH(Premissas!$C$16)</f>
        <v>318</v>
      </c>
      <c r="D323" s="33" t="n">
        <f aca="false">IF($A323&gt;=Premissas!$C$20,Premissas!$C$31*IF(((YEAR($A323)-YEAR(Premissas!$C$20))*12+MONTH($A323)-MONTH(Premissas!$C$20))&lt;Premissas!$C$33,Premissas!$C$34,1),0)</f>
        <v>0.62</v>
      </c>
      <c r="E323" s="22" t="n">
        <f aca="false">D323*Premissas!$C$30*Premissas!$C$32*(1+Premissas!$C$58)^$C323</f>
        <v>13147.2961059422</v>
      </c>
      <c r="F323" s="22" t="n">
        <f aca="false">E323*Premissas!$C$35</f>
        <v>2103.56737695075</v>
      </c>
      <c r="G323" s="22" t="n">
        <f aca="false">E323*Premissas!$C$36</f>
        <v>2629.45922118843</v>
      </c>
      <c r="H323" s="22" t="n">
        <f aca="false">IF($A323&gt;=Premissas!$C$18,Premissas!$C$37*(1+Premissas!$C$58)^$C323,0)</f>
        <v>1696.42530399254</v>
      </c>
      <c r="I323" s="22" t="n">
        <f aca="false">IF($A323&gt;=Premissas!$C$20,Premissas!$C$38*(1+Premissas!$C$58)^$C323,0)</f>
        <v>791.665141863184</v>
      </c>
      <c r="J323" s="22" t="n">
        <f aca="false">IF($A323&gt;=Premissas!$C$20,Premissas!$C$39*(1+Premissas!$C$58)^$C323,0)</f>
        <v>424.106325998134</v>
      </c>
      <c r="K323" s="22" t="n">
        <f aca="false">IF($A323&gt;=Premissas!$C$20,MAX(0,E323-F323-G323-H323)*Premissas!$C$41,0)</f>
        <v>1847.40715604787</v>
      </c>
      <c r="L323" s="22" t="n">
        <f aca="false">E323-F323-G323-H323-I323-J323-K323</f>
        <v>3654.66557990125</v>
      </c>
      <c r="M323" s="22" t="n">
        <f aca="false">($A323=Premissas!$C$18)*Premissas!$C$26*Premissas!$C$60</f>
        <v>0</v>
      </c>
      <c r="N323" s="22" t="n">
        <f aca="false">IF(AND($A323&gt;=Premissas!$C$18,$A323&lt;Premissas!$C$20),Premissas!$C$27/MAX(1,Premissas!$C$19),0)</f>
        <v>0</v>
      </c>
      <c r="O323" s="22" t="n">
        <f aca="false">IF($A323&gt;=Premissas!$C$18,Premissas!$C$60*(1+Premissas!$C$59)^((YEAR($A323)-YEAR(Premissas!$C$18))*12+MONTH($A323)-MONTH(Premissas!$C$18)),"")</f>
        <v>1254207.80540944</v>
      </c>
      <c r="P323" s="31" t="n">
        <f aca="false">(1+IF(YEAR($A323)&lt;=2026,Premissas!$C$49,IF(YEAR($A323)=2027,Premissas!$C$50,IF(YEAR($A323)=2028,Premissas!$C$51,Premissas!$C$52)))*(1-Premissas!$C$53))^(1/12)-1</f>
        <v>0.00682149336596227</v>
      </c>
      <c r="Q323" s="22" t="n">
        <f aca="false">($A323=Premissas!$C$16)*Premissas!$C$13</f>
        <v>0</v>
      </c>
      <c r="R323" s="22" t="n">
        <f aca="false">L323-M323-N323-Q323</f>
        <v>3654.66557990125</v>
      </c>
      <c r="S323" s="22" t="n">
        <f aca="false">S322+R323</f>
        <v>350533.30855547</v>
      </c>
      <c r="T323" s="22" t="n">
        <f aca="false">IF($A323&gt;=Premissas!$C$18,O323*(1-Premissas!$C$45)-Premissas!$C$46*MAX(0,O323*(1-Premissas!$C$45)-(SUM($Q$5:$Q$355)+Premissas!$C$26*Premissas!$C$60)),"")</f>
        <v>1042082.04486889</v>
      </c>
      <c r="U323" s="22" t="n">
        <f aca="false">IF($A323&gt;=Premissas!$C$18,S323+T323,"")</f>
        <v>1392615.35342436</v>
      </c>
      <c r="V323" s="22" t="n">
        <f aca="false">V322*(1+$P323)-R323</f>
        <v>955458.389466331</v>
      </c>
      <c r="W323" s="22" t="n">
        <f aca="false">($A323=Premissas!$C$16)*Premissas!$C$9</f>
        <v>0</v>
      </c>
      <c r="X323" s="22" t="n">
        <f aca="false">L323-M323-N323-W323</f>
        <v>3654.66557990125</v>
      </c>
      <c r="Y323" s="22" t="n">
        <f aca="false">Y322+X323</f>
        <v>319605.30855547</v>
      </c>
      <c r="Z323" s="22" t="n">
        <f aca="false">IF($A323&gt;=Premissas!$C$18,O323*(1-Premissas!$C$45)-Premissas!$C$46*MAX(0,O323*(1-Premissas!$C$45)-(SUM($W$5:$W$355)+Premissas!$C$26*Premissas!$C$60)),"")</f>
        <v>1046721.24486889</v>
      </c>
      <c r="AA323" s="22" t="n">
        <f aca="false">IF($A323&gt;=Premissas!$C$18,Y323+Z323,"")</f>
        <v>1366326.55342436</v>
      </c>
      <c r="AB323" s="22" t="n">
        <f aca="false">AB322*(1+$P323)-X323</f>
        <v>1232973.02042664</v>
      </c>
      <c r="AC323" s="22" t="n">
        <f aca="false">AND($A323&gt;=Premissas!$C$16,$A323&lt;EDATE(Premissas!$C$16,3))*Premissas!$C$10/3*(1+Premissas!$C$56)^$C323</f>
        <v>0</v>
      </c>
      <c r="AD323" s="22" t="n">
        <f aca="false">L323-M323-N323-AC323</f>
        <v>3654.66557990125</v>
      </c>
      <c r="AE323" s="22" t="n">
        <f aca="false">AE322+AD323</f>
        <v>311984.844675445</v>
      </c>
      <c r="AF323" s="22" t="n">
        <f aca="false">IF($A323&gt;=Premissas!$C$18,O323*(1-Premissas!$C$45)-Premissas!$C$46*MAX(0,O323*(1-Premissas!$C$45)-(SUM($AC$5:$AC$355)+Premissas!$C$26*Premissas!$C$60)),"")</f>
        <v>1047864.31445089</v>
      </c>
      <c r="AG323" s="22" t="n">
        <f aca="false">IF($A323&gt;=Premissas!$C$18,AE323+AF323,"")</f>
        <v>1359849.15912634</v>
      </c>
      <c r="AH323" s="22" t="n">
        <f aca="false">AH322*(1+$P323)-AD323</f>
        <v>1277208.63849533</v>
      </c>
      <c r="AI323" s="22" t="n">
        <f aca="false">($A323=Premissas!$C$16)*0.2*Premissas!$C$11+AND($A323&gt;Premissas!$C$16,$A323&lt;=EDATE(Premissas!$C$16,43))*0.8*Premissas!$C$11/43*(1+Premissas!$C$56)^$C323</f>
        <v>0</v>
      </c>
      <c r="AJ323" s="22" t="n">
        <f aca="false">L323-M323-N323-AI323</f>
        <v>3654.66557990125</v>
      </c>
      <c r="AK323" s="22" t="n">
        <f aca="false">AK322+AJ323</f>
        <v>266120.359257384</v>
      </c>
      <c r="AL323" s="22" t="n">
        <f aca="false">IF($A323&gt;=Premissas!$C$18,O323*(1-Premissas!$C$45)-Premissas!$C$46*MAX(0,O323*(1-Premissas!$C$45)-(SUM($AI$5:$AI$355)+Premissas!$C$26*Premissas!$C$60)),"")</f>
        <v>1054743.9872636</v>
      </c>
      <c r="AM323" s="22" t="n">
        <f aca="false">IF($A323&gt;=Premissas!$C$18,AK323+AL323,"")</f>
        <v>1320864.34652099</v>
      </c>
      <c r="AN323" s="22" t="n">
        <f aca="false">AN322*(1+$P323)-AJ323</f>
        <v>1318483.00270714</v>
      </c>
      <c r="AO323" s="22" t="n">
        <f aca="false">V323+S323</f>
        <v>1305991.6980218</v>
      </c>
    </row>
    <row r="324" customFormat="false" ht="15" hidden="false" customHeight="false" outlineLevel="0" collapsed="false">
      <c r="A324" s="26" t="n">
        <f aca="false">DATE(YEAR(A323),MONTH(A323)+1,1)</f>
        <v>56005</v>
      </c>
      <c r="B324" s="22" t="str">
        <f aca="false">IF($A324&lt;Premissas!$C$18,"Obra",IF($A324&lt;Premissas!$C$20,"Entrega/mobília","Airbnb"))</f>
        <v>Airbnb</v>
      </c>
      <c r="C324" s="36" t="n">
        <f aca="false">(YEAR($A324)-YEAR(Premissas!$C$16))*12+MONTH($A324)-MONTH(Premissas!$C$16)</f>
        <v>319</v>
      </c>
      <c r="D324" s="33" t="n">
        <f aca="false">IF($A324&gt;=Premissas!$C$20,Premissas!$C$31*IF(((YEAR($A324)-YEAR(Premissas!$C$20))*12+MONTH($A324)-MONTH(Premissas!$C$20))&lt;Premissas!$C$33,Premissas!$C$34,1),0)</f>
        <v>0.62</v>
      </c>
      <c r="E324" s="22" t="n">
        <f aca="false">D324*Premissas!$C$30*Premissas!$C$32*(1+Premissas!$C$58)^$C324</f>
        <v>13190.3369322325</v>
      </c>
      <c r="F324" s="22" t="n">
        <f aca="false">E324*Premissas!$C$35</f>
        <v>2110.45390915721</v>
      </c>
      <c r="G324" s="22" t="n">
        <f aca="false">E324*Premissas!$C$36</f>
        <v>2638.06738644651</v>
      </c>
      <c r="H324" s="22" t="n">
        <f aca="false">IF($A324&gt;=Premissas!$C$18,Premissas!$C$37*(1+Premissas!$C$58)^$C324,0)</f>
        <v>1701.97895899775</v>
      </c>
      <c r="I324" s="22" t="n">
        <f aca="false">IF($A324&gt;=Premissas!$C$20,Premissas!$C$38*(1+Premissas!$C$58)^$C324,0)</f>
        <v>794.256847532282</v>
      </c>
      <c r="J324" s="22" t="n">
        <f aca="false">IF($A324&gt;=Premissas!$C$20,Premissas!$C$39*(1+Premissas!$C$58)^$C324,0)</f>
        <v>425.494739749437</v>
      </c>
      <c r="K324" s="22" t="n">
        <f aca="false">IF($A324&gt;=Premissas!$C$20,MAX(0,E324-F324-G324-H324)*Premissas!$C$41,0)</f>
        <v>1853.45508634855</v>
      </c>
      <c r="L324" s="22" t="n">
        <f aca="false">E324-F324-G324-H324-I324-J324-K324</f>
        <v>3666.63000400081</v>
      </c>
      <c r="M324" s="22" t="n">
        <f aca="false">($A324=Premissas!$C$18)*Premissas!$C$26*Premissas!$C$60</f>
        <v>0</v>
      </c>
      <c r="N324" s="22" t="n">
        <f aca="false">IF(AND($A324&gt;=Premissas!$C$18,$A324&lt;Premissas!$C$20),Premissas!$C$27/MAX(1,Premissas!$C$19),0)</f>
        <v>0</v>
      </c>
      <c r="O324" s="22" t="n">
        <f aca="false">IF($A324&gt;=Premissas!$C$18,Premissas!$C$60*(1+Premissas!$C$59)^((YEAR($A324)-YEAR(Premissas!$C$18))*12+MONTH($A324)-MONTH(Premissas!$C$18)),"")</f>
        <v>1259317.6032591</v>
      </c>
      <c r="P324" s="31" t="n">
        <f aca="false">(1+IF(YEAR($A324)&lt;=2026,Premissas!$C$49,IF(YEAR($A324)=2027,Premissas!$C$50,IF(YEAR($A324)=2028,Premissas!$C$51,Premissas!$C$52)))*(1-Premissas!$C$53))^(1/12)-1</f>
        <v>0.00682149336596227</v>
      </c>
      <c r="Q324" s="22" t="n">
        <f aca="false">($A324=Premissas!$C$16)*Premissas!$C$13</f>
        <v>0</v>
      </c>
      <c r="R324" s="22" t="n">
        <f aca="false">L324-M324-N324-Q324</f>
        <v>3666.63000400081</v>
      </c>
      <c r="S324" s="22" t="n">
        <f aca="false">S323+R324</f>
        <v>354199.938559471</v>
      </c>
      <c r="T324" s="22" t="n">
        <f aca="false">IF($A324&gt;=Premissas!$C$18,O324*(1-Premissas!$C$45)-Premissas!$C$46*MAX(0,O324*(1-Premissas!$C$45)-(SUM($Q$5:$Q$355)+Premissas!$C$26*Premissas!$C$60)),"")</f>
        <v>1046164.77335077</v>
      </c>
      <c r="U324" s="22" t="n">
        <f aca="false">IF($A324&gt;=Premissas!$C$18,S324+T324,"")</f>
        <v>1400364.71191024</v>
      </c>
      <c r="V324" s="22" t="n">
        <f aca="false">V323*(1+$P324)-R324</f>
        <v>958309.412527528</v>
      </c>
      <c r="W324" s="22" t="n">
        <f aca="false">($A324=Premissas!$C$16)*Premissas!$C$9</f>
        <v>0</v>
      </c>
      <c r="X324" s="22" t="n">
        <f aca="false">L324-M324-N324-W324</f>
        <v>3666.63000400081</v>
      </c>
      <c r="Y324" s="22" t="n">
        <f aca="false">Y323+X324</f>
        <v>323271.938559471</v>
      </c>
      <c r="Z324" s="22" t="n">
        <f aca="false">IF($A324&gt;=Premissas!$C$18,O324*(1-Premissas!$C$45)-Premissas!$C$46*MAX(0,O324*(1-Premissas!$C$45)-(SUM($W$5:$W$355)+Premissas!$C$26*Premissas!$C$60)),"")</f>
        <v>1050803.97335077</v>
      </c>
      <c r="AA324" s="22" t="n">
        <f aca="false">IF($A324&gt;=Premissas!$C$18,Y324+Z324,"")</f>
        <v>1374075.91191024</v>
      </c>
      <c r="AB324" s="22" t="n">
        <f aca="false">AB323*(1+$P324)-X324</f>
        <v>1237717.10770189</v>
      </c>
      <c r="AC324" s="22" t="n">
        <f aca="false">AND($A324&gt;=Premissas!$C$16,$A324&lt;EDATE(Premissas!$C$16,3))*Premissas!$C$10/3*(1+Premissas!$C$56)^$C324</f>
        <v>0</v>
      </c>
      <c r="AD324" s="22" t="n">
        <f aca="false">L324-M324-N324-AC324</f>
        <v>3666.63000400081</v>
      </c>
      <c r="AE324" s="22" t="n">
        <f aca="false">AE323+AD324</f>
        <v>315651.474679446</v>
      </c>
      <c r="AF324" s="22" t="n">
        <f aca="false">IF($A324&gt;=Premissas!$C$18,O324*(1-Premissas!$C$45)-Premissas!$C$46*MAX(0,O324*(1-Premissas!$C$45)-(SUM($AC$5:$AC$355)+Premissas!$C$26*Premissas!$C$60)),"")</f>
        <v>1051947.04293277</v>
      </c>
      <c r="AG324" s="22" t="n">
        <f aca="false">IF($A324&gt;=Premissas!$C$18,AE324+AF324,"")</f>
        <v>1367598.51761222</v>
      </c>
      <c r="AH324" s="22" t="n">
        <f aca="false">AH323*(1+$P324)-AD324</f>
        <v>1282254.47874577</v>
      </c>
      <c r="AI324" s="22" t="n">
        <f aca="false">($A324=Premissas!$C$16)*0.2*Premissas!$C$11+AND($A324&gt;Premissas!$C$16,$A324&lt;=EDATE(Premissas!$C$16,43))*0.8*Premissas!$C$11/43*(1+Premissas!$C$56)^$C324</f>
        <v>0</v>
      </c>
      <c r="AJ324" s="22" t="n">
        <f aca="false">L324-M324-N324-AI324</f>
        <v>3666.63000400081</v>
      </c>
      <c r="AK324" s="22" t="n">
        <f aca="false">AK323+AJ324</f>
        <v>269786.989261384</v>
      </c>
      <c r="AL324" s="22" t="n">
        <f aca="false">IF($A324&gt;=Premissas!$C$18,O324*(1-Premissas!$C$45)-Premissas!$C$46*MAX(0,O324*(1-Premissas!$C$45)-(SUM($AI$5:$AI$355)+Premissas!$C$26*Premissas!$C$60)),"")</f>
        <v>1058826.71574548</v>
      </c>
      <c r="AM324" s="22" t="n">
        <f aca="false">IF($A324&gt;=Premissas!$C$18,AK324+AL324,"")</f>
        <v>1328613.70500686</v>
      </c>
      <c r="AN324" s="22" t="n">
        <f aca="false">AN323*(1+$P324)-AJ324</f>
        <v>1323810.39575924</v>
      </c>
      <c r="AO324" s="22" t="n">
        <f aca="false">V324+S324</f>
        <v>1312509.351087</v>
      </c>
    </row>
    <row r="325" customFormat="false" ht="15" hidden="false" customHeight="false" outlineLevel="0" collapsed="false">
      <c r="A325" s="26" t="n">
        <f aca="false">DATE(YEAR(A324),MONTH(A324)+1,1)</f>
        <v>56036</v>
      </c>
      <c r="B325" s="22" t="str">
        <f aca="false">IF($A325&lt;Premissas!$C$18,"Obra",IF($A325&lt;Premissas!$C$20,"Entrega/mobília","Airbnb"))</f>
        <v>Airbnb</v>
      </c>
      <c r="C325" s="36" t="n">
        <f aca="false">(YEAR($A325)-YEAR(Premissas!$C$16))*12+MONTH($A325)-MONTH(Premissas!$C$16)</f>
        <v>320</v>
      </c>
      <c r="D325" s="33" t="n">
        <f aca="false">IF($A325&gt;=Premissas!$C$20,Premissas!$C$31*IF(((YEAR($A325)-YEAR(Premissas!$C$20))*12+MONTH($A325)-MONTH(Premissas!$C$20))&lt;Premissas!$C$33,Premissas!$C$34,1),0)</f>
        <v>0.62</v>
      </c>
      <c r="E325" s="22" t="n">
        <f aca="false">D325*Premissas!$C$30*Premissas!$C$32*(1+Premissas!$C$58)^$C325</f>
        <v>13233.5186629882</v>
      </c>
      <c r="F325" s="22" t="n">
        <f aca="false">E325*Premissas!$C$35</f>
        <v>2117.36298607811</v>
      </c>
      <c r="G325" s="22" t="n">
        <f aca="false">E325*Premissas!$C$36</f>
        <v>2646.70373259764</v>
      </c>
      <c r="H325" s="22" t="n">
        <f aca="false">IF($A325&gt;=Premissas!$C$18,Premissas!$C$37*(1+Premissas!$C$58)^$C325,0)</f>
        <v>1707.55079522428</v>
      </c>
      <c r="I325" s="22" t="n">
        <f aca="false">IF($A325&gt;=Premissas!$C$20,Premissas!$C$38*(1+Premissas!$C$58)^$C325,0)</f>
        <v>796.857037771332</v>
      </c>
      <c r="J325" s="22" t="n">
        <f aca="false">IF($A325&gt;=Premissas!$C$20,Premissas!$C$39*(1+Premissas!$C$58)^$C325,0)</f>
        <v>426.887698806071</v>
      </c>
      <c r="K325" s="22" t="n">
        <f aca="false">IF($A325&gt;=Premissas!$C$20,MAX(0,E325-F325-G325-H325)*Premissas!$C$41,0)</f>
        <v>1859.52281599924</v>
      </c>
      <c r="L325" s="22" t="n">
        <f aca="false">E325-F325-G325-H325-I325-J325-K325</f>
        <v>3678.63359651151</v>
      </c>
      <c r="M325" s="22" t="n">
        <f aca="false">($A325=Premissas!$C$18)*Premissas!$C$26*Premissas!$C$60</f>
        <v>0</v>
      </c>
      <c r="N325" s="22" t="n">
        <f aca="false">IF(AND($A325&gt;=Premissas!$C$18,$A325&lt;Premissas!$C$20),Premissas!$C$27/MAX(1,Premissas!$C$19),0)</f>
        <v>0</v>
      </c>
      <c r="O325" s="22" t="n">
        <f aca="false">IF($A325&gt;=Premissas!$C$18,Premissas!$C$60*(1+Premissas!$C$59)^((YEAR($A325)-YEAR(Premissas!$C$18))*12+MONTH($A325)-MONTH(Premissas!$C$18)),"")</f>
        <v>1264448.2190577</v>
      </c>
      <c r="P325" s="31" t="n">
        <f aca="false">(1+IF(YEAR($A325)&lt;=2026,Premissas!$C$49,IF(YEAR($A325)=2027,Premissas!$C$50,IF(YEAR($A325)=2028,Premissas!$C$51,Premissas!$C$52)))*(1-Premissas!$C$53))^(1/12)-1</f>
        <v>0.00682149336596227</v>
      </c>
      <c r="Q325" s="22" t="n">
        <f aca="false">($A325=Premissas!$C$16)*Premissas!$C$13</f>
        <v>0</v>
      </c>
      <c r="R325" s="22" t="n">
        <f aca="false">L325-M325-N325-Q325</f>
        <v>3678.63359651151</v>
      </c>
      <c r="S325" s="22" t="n">
        <f aca="false">S324+R325</f>
        <v>357878.572155982</v>
      </c>
      <c r="T325" s="22" t="n">
        <f aca="false">IF($A325&gt;=Premissas!$C$18,O325*(1-Premissas!$C$45)-Premissas!$C$46*MAX(0,O325*(1-Premissas!$C$45)-(SUM($Q$5:$Q$355)+Premissas!$C$26*Premissas!$C$60)),"")</f>
        <v>1050264.13537385</v>
      </c>
      <c r="U325" s="22" t="n">
        <f aca="false">IF($A325&gt;=Premissas!$C$18,S325+T325,"")</f>
        <v>1408142.70752983</v>
      </c>
      <c r="V325" s="22" t="n">
        <f aca="false">V324*(1+$P325)-R325</f>
        <v>961167.880231112</v>
      </c>
      <c r="W325" s="22" t="n">
        <f aca="false">($A325=Premissas!$C$16)*Premissas!$C$9</f>
        <v>0</v>
      </c>
      <c r="X325" s="22" t="n">
        <f aca="false">L325-M325-N325-W325</f>
        <v>3678.63359651151</v>
      </c>
      <c r="Y325" s="22" t="n">
        <f aca="false">Y324+X325</f>
        <v>326950.572155983</v>
      </c>
      <c r="Z325" s="22" t="n">
        <f aca="false">IF($A325&gt;=Premissas!$C$18,O325*(1-Premissas!$C$45)-Premissas!$C$46*MAX(0,O325*(1-Premissas!$C$45)-(SUM($W$5:$W$355)+Premissas!$C$26*Premissas!$C$60)),"")</f>
        <v>1054903.33537385</v>
      </c>
      <c r="AA325" s="22" t="n">
        <f aca="false">IF($A325&gt;=Premissas!$C$18,Y325+Z325,"")</f>
        <v>1381853.90752983</v>
      </c>
      <c r="AB325" s="22" t="n">
        <f aca="false">AB324*(1+$P325)-X325</f>
        <v>1242481.5531445</v>
      </c>
      <c r="AC325" s="22" t="n">
        <f aca="false">AND($A325&gt;=Premissas!$C$16,$A325&lt;EDATE(Premissas!$C$16,3))*Premissas!$C$10/3*(1+Premissas!$C$56)^$C325</f>
        <v>0</v>
      </c>
      <c r="AD325" s="22" t="n">
        <f aca="false">L325-M325-N325-AC325</f>
        <v>3678.63359651151</v>
      </c>
      <c r="AE325" s="22" t="n">
        <f aca="false">AE324+AD325</f>
        <v>319330.108275958</v>
      </c>
      <c r="AF325" s="22" t="n">
        <f aca="false">IF($A325&gt;=Premissas!$C$18,O325*(1-Premissas!$C$45)-Premissas!$C$46*MAX(0,O325*(1-Premissas!$C$45)-(SUM($AC$5:$AC$355)+Premissas!$C$26*Premissas!$C$60)),"")</f>
        <v>1056046.40495586</v>
      </c>
      <c r="AG325" s="22" t="n">
        <f aca="false">IF($A325&gt;=Premissas!$C$18,AE325+AF325,"")</f>
        <v>1375376.51323181</v>
      </c>
      <c r="AH325" s="22" t="n">
        <f aca="false">AH324*(1+$P325)-AD325</f>
        <v>1287322.7355695</v>
      </c>
      <c r="AI325" s="22" t="n">
        <f aca="false">($A325=Premissas!$C$16)*0.2*Premissas!$C$11+AND($A325&gt;Premissas!$C$16,$A325&lt;=EDATE(Premissas!$C$16,43))*0.8*Premissas!$C$11/43*(1+Premissas!$C$56)^$C325</f>
        <v>0</v>
      </c>
      <c r="AJ325" s="22" t="n">
        <f aca="false">L325-M325-N325-AI325</f>
        <v>3678.63359651151</v>
      </c>
      <c r="AK325" s="22" t="n">
        <f aca="false">AK324+AJ325</f>
        <v>273465.622857896</v>
      </c>
      <c r="AL325" s="22" t="n">
        <f aca="false">IF($A325&gt;=Premissas!$C$18,O325*(1-Premissas!$C$45)-Premissas!$C$46*MAX(0,O325*(1-Premissas!$C$45)-(SUM($AI$5:$AI$355)+Premissas!$C$26*Premissas!$C$60)),"")</f>
        <v>1062926.07776856</v>
      </c>
      <c r="AM325" s="22" t="n">
        <f aca="false">IF($A325&gt;=Premissas!$C$18,AK325+AL325,"")</f>
        <v>1336391.70062646</v>
      </c>
      <c r="AN325" s="22" t="n">
        <f aca="false">AN324*(1+$P325)-AJ325</f>
        <v>1329162.1259952</v>
      </c>
      <c r="AO325" s="22" t="n">
        <f aca="false">V325+S325</f>
        <v>1319046.45238709</v>
      </c>
    </row>
    <row r="326" customFormat="false" ht="15" hidden="false" customHeight="false" outlineLevel="0" collapsed="false">
      <c r="A326" s="26" t="n">
        <f aca="false">DATE(YEAR(A325),MONTH(A325)+1,1)</f>
        <v>56066</v>
      </c>
      <c r="B326" s="22" t="str">
        <f aca="false">IF($A326&lt;Premissas!$C$18,"Obra",IF($A326&lt;Premissas!$C$20,"Entrega/mobília","Airbnb"))</f>
        <v>Airbnb</v>
      </c>
      <c r="C326" s="36" t="n">
        <f aca="false">(YEAR($A326)-YEAR(Premissas!$C$16))*12+MONTH($A326)-MONTH(Premissas!$C$16)</f>
        <v>321</v>
      </c>
      <c r="D326" s="33" t="n">
        <f aca="false">IF($A326&gt;=Premissas!$C$20,Premissas!$C$31*IF(((YEAR($A326)-YEAR(Premissas!$C$20))*12+MONTH($A326)-MONTH(Premissas!$C$20))&lt;Premissas!$C$33,Premissas!$C$34,1),0)</f>
        <v>0.62</v>
      </c>
      <c r="E326" s="22" t="n">
        <f aca="false">D326*Premissas!$C$30*Premissas!$C$32*(1+Premissas!$C$58)^$C326</f>
        <v>13276.8417594937</v>
      </c>
      <c r="F326" s="22" t="n">
        <f aca="false">E326*Premissas!$C$35</f>
        <v>2124.29468151899</v>
      </c>
      <c r="G326" s="22" t="n">
        <f aca="false">E326*Premissas!$C$36</f>
        <v>2655.36835189874</v>
      </c>
      <c r="H326" s="22" t="n">
        <f aca="false">IF($A326&gt;=Premissas!$C$18,Premissas!$C$37*(1+Premissas!$C$58)^$C326,0)</f>
        <v>1713.14087219273</v>
      </c>
      <c r="I326" s="22" t="n">
        <f aca="false">IF($A326&gt;=Premissas!$C$20,Premissas!$C$38*(1+Premissas!$C$58)^$C326,0)</f>
        <v>799.465740356609</v>
      </c>
      <c r="J326" s="22" t="n">
        <f aca="false">IF($A326&gt;=Premissas!$C$20,Premissas!$C$39*(1+Premissas!$C$58)^$C326,0)</f>
        <v>428.285218048184</v>
      </c>
      <c r="K326" s="22" t="n">
        <f aca="false">IF($A326&gt;=Premissas!$C$20,MAX(0,E326-F326-G326-H326)*Premissas!$C$41,0)</f>
        <v>1865.61040981789</v>
      </c>
      <c r="L326" s="22" t="n">
        <f aca="false">E326-F326-G326-H326-I326-J326-K326</f>
        <v>3690.67648566055</v>
      </c>
      <c r="M326" s="22" t="n">
        <f aca="false">($A326=Premissas!$C$18)*Premissas!$C$26*Premissas!$C$60</f>
        <v>0</v>
      </c>
      <c r="N326" s="22" t="n">
        <f aca="false">IF(AND($A326&gt;=Premissas!$C$18,$A326&lt;Premissas!$C$20),Premissas!$C$27/MAX(1,Premissas!$C$19),0)</f>
        <v>0</v>
      </c>
      <c r="O326" s="22" t="n">
        <f aca="false">IF($A326&gt;=Premissas!$C$18,Premissas!$C$60*(1+Premissas!$C$59)^((YEAR($A326)-YEAR(Premissas!$C$18))*12+MONTH($A326)-MONTH(Premissas!$C$18)),"")</f>
        <v>1269599.73762016</v>
      </c>
      <c r="P326" s="31" t="n">
        <f aca="false">(1+IF(YEAR($A326)&lt;=2026,Premissas!$C$49,IF(YEAR($A326)=2027,Premissas!$C$50,IF(YEAR($A326)=2028,Premissas!$C$51,Premissas!$C$52)))*(1-Premissas!$C$53))^(1/12)-1</f>
        <v>0.00682149336596227</v>
      </c>
      <c r="Q326" s="22" t="n">
        <f aca="false">($A326=Premissas!$C$16)*Premissas!$C$13</f>
        <v>0</v>
      </c>
      <c r="R326" s="22" t="n">
        <f aca="false">L326-M326-N326-Q326</f>
        <v>3690.67648566055</v>
      </c>
      <c r="S326" s="22" t="n">
        <f aca="false">S325+R326</f>
        <v>361569.248641643</v>
      </c>
      <c r="T326" s="22" t="n">
        <f aca="false">IF($A326&gt;=Premissas!$C$18,O326*(1-Premissas!$C$45)-Premissas!$C$46*MAX(0,O326*(1-Premissas!$C$45)-(SUM($Q$5:$Q$355)+Premissas!$C$26*Premissas!$C$60)),"")</f>
        <v>1054380.19870525</v>
      </c>
      <c r="U326" s="22" t="n">
        <f aca="false">IF($A326&gt;=Premissas!$C$18,S326+T326,"")</f>
        <v>1415949.4473469</v>
      </c>
      <c r="V326" s="22" t="n">
        <f aca="false">V325*(1+$P326)-R326</f>
        <v>964033.804064024</v>
      </c>
      <c r="W326" s="22" t="n">
        <f aca="false">($A326=Premissas!$C$16)*Premissas!$C$9</f>
        <v>0</v>
      </c>
      <c r="X326" s="22" t="n">
        <f aca="false">L326-M326-N326-W326</f>
        <v>3690.67648566055</v>
      </c>
      <c r="Y326" s="22" t="n">
        <f aca="false">Y325+X326</f>
        <v>330641.248641643</v>
      </c>
      <c r="Z326" s="22" t="n">
        <f aca="false">IF($A326&gt;=Premissas!$C$18,O326*(1-Premissas!$C$45)-Premissas!$C$46*MAX(0,O326*(1-Premissas!$C$45)-(SUM($W$5:$W$355)+Premissas!$C$26*Premissas!$C$60)),"")</f>
        <v>1059019.39870525</v>
      </c>
      <c r="AA326" s="22" t="n">
        <f aca="false">IF($A326&gt;=Premissas!$C$18,Y326+Z326,"")</f>
        <v>1389660.6473469</v>
      </c>
      <c r="AB326" s="22" t="n">
        <f aca="false">AB325*(1+$P326)-X326</f>
        <v>1247266.45633095</v>
      </c>
      <c r="AC326" s="22" t="n">
        <f aca="false">AND($A326&gt;=Premissas!$C$16,$A326&lt;EDATE(Premissas!$C$16,3))*Premissas!$C$10/3*(1+Premissas!$C$56)^$C326</f>
        <v>0</v>
      </c>
      <c r="AD326" s="22" t="n">
        <f aca="false">L326-M326-N326-AC326</f>
        <v>3690.67648566055</v>
      </c>
      <c r="AE326" s="22" t="n">
        <f aca="false">AE325+AD326</f>
        <v>323020.784761618</v>
      </c>
      <c r="AF326" s="22" t="n">
        <f aca="false">IF($A326&gt;=Premissas!$C$18,O326*(1-Premissas!$C$45)-Premissas!$C$46*MAX(0,O326*(1-Premissas!$C$45)-(SUM($AC$5:$AC$355)+Premissas!$C$26*Premissas!$C$60)),"")</f>
        <v>1060162.46828726</v>
      </c>
      <c r="AG326" s="22" t="n">
        <f aca="false">IF($A326&gt;=Premissas!$C$18,AE326+AF326,"")</f>
        <v>1383183.25304887</v>
      </c>
      <c r="AH326" s="22" t="n">
        <f aca="false">AH325*(1+$P326)-AD326</f>
        <v>1292413.52258438</v>
      </c>
      <c r="AI326" s="22" t="n">
        <f aca="false">($A326=Premissas!$C$16)*0.2*Premissas!$C$11+AND($A326&gt;Premissas!$C$16,$A326&lt;=EDATE(Premissas!$C$16,43))*0.8*Premissas!$C$11/43*(1+Premissas!$C$56)^$C326</f>
        <v>0</v>
      </c>
      <c r="AJ326" s="22" t="n">
        <f aca="false">L326-M326-N326-AI326</f>
        <v>3690.67648566055</v>
      </c>
      <c r="AK326" s="22" t="n">
        <f aca="false">AK325+AJ326</f>
        <v>277156.299343556</v>
      </c>
      <c r="AL326" s="22" t="n">
        <f aca="false">IF($A326&gt;=Premissas!$C$18,O326*(1-Premissas!$C$45)-Premissas!$C$46*MAX(0,O326*(1-Premissas!$C$45)-(SUM($AI$5:$AI$355)+Premissas!$C$26*Premissas!$C$60)),"")</f>
        <v>1067042.14109997</v>
      </c>
      <c r="AM326" s="22" t="n">
        <f aca="false">IF($A326&gt;=Premissas!$C$18,AK326+AL326,"")</f>
        <v>1344198.44044352</v>
      </c>
      <c r="AN326" s="22" t="n">
        <f aca="false">AN325*(1+$P326)-AJ326</f>
        <v>1334538.3201343</v>
      </c>
      <c r="AO326" s="22" t="n">
        <f aca="false">V326+S326</f>
        <v>1325603.05270567</v>
      </c>
    </row>
    <row r="327" customFormat="false" ht="15" hidden="false" customHeight="false" outlineLevel="0" collapsed="false">
      <c r="A327" s="26" t="n">
        <f aca="false">DATE(YEAR(A326),MONTH(A326)+1,1)</f>
        <v>56097</v>
      </c>
      <c r="B327" s="22" t="str">
        <f aca="false">IF($A327&lt;Premissas!$C$18,"Obra",IF($A327&lt;Premissas!$C$20,"Entrega/mobília","Airbnb"))</f>
        <v>Airbnb</v>
      </c>
      <c r="C327" s="36" t="n">
        <f aca="false">(YEAR($A327)-YEAR(Premissas!$C$16))*12+MONTH($A327)-MONTH(Premissas!$C$16)</f>
        <v>322</v>
      </c>
      <c r="D327" s="33" t="n">
        <f aca="false">IF($A327&gt;=Premissas!$C$20,Premissas!$C$31*IF(((YEAR($A327)-YEAR(Premissas!$C$20))*12+MONTH($A327)-MONTH(Premissas!$C$20))&lt;Premissas!$C$33,Premissas!$C$34,1),0)</f>
        <v>0.62</v>
      </c>
      <c r="E327" s="22" t="n">
        <f aca="false">D327*Premissas!$C$30*Premissas!$C$32*(1+Premissas!$C$58)^$C327</f>
        <v>13320.3066845437</v>
      </c>
      <c r="F327" s="22" t="n">
        <f aca="false">E327*Premissas!$C$35</f>
        <v>2131.24906952699</v>
      </c>
      <c r="G327" s="22" t="n">
        <f aca="false">E327*Premissas!$C$36</f>
        <v>2664.06133690874</v>
      </c>
      <c r="H327" s="22" t="n">
        <f aca="false">IF($A327&gt;=Premissas!$C$18,Premissas!$C$37*(1+Premissas!$C$58)^$C327,0)</f>
        <v>1718.74924961854</v>
      </c>
      <c r="I327" s="22" t="n">
        <f aca="false">IF($A327&gt;=Premissas!$C$20,Premissas!$C$38*(1+Premissas!$C$58)^$C327,0)</f>
        <v>802.08298315532</v>
      </c>
      <c r="J327" s="22" t="n">
        <f aca="false">IF($A327&gt;=Premissas!$C$20,Premissas!$C$39*(1+Premissas!$C$58)^$C327,0)</f>
        <v>429.687312404636</v>
      </c>
      <c r="K327" s="22" t="n">
        <f aca="false">IF($A327&gt;=Premissas!$C$20,MAX(0,E327-F327-G327-H327)*Premissas!$C$41,0)</f>
        <v>1871.71793283459</v>
      </c>
      <c r="L327" s="22" t="n">
        <f aca="false">E327-F327-G327-H327-I327-J327-K327</f>
        <v>3702.75880009488</v>
      </c>
      <c r="M327" s="22" t="n">
        <f aca="false">($A327=Premissas!$C$18)*Premissas!$C$26*Premissas!$C$60</f>
        <v>0</v>
      </c>
      <c r="N327" s="22" t="n">
        <f aca="false">IF(AND($A327&gt;=Premissas!$C$18,$A327&lt;Premissas!$C$20),Premissas!$C$27/MAX(1,Premissas!$C$19),0)</f>
        <v>0</v>
      </c>
      <c r="O327" s="22" t="n">
        <f aca="false">IF($A327&gt;=Premissas!$C$18,Premissas!$C$60*(1+Premissas!$C$59)^((YEAR($A327)-YEAR(Premissas!$C$18))*12+MONTH($A327)-MONTH(Premissas!$C$18)),"")</f>
        <v>1274772.24410691</v>
      </c>
      <c r="P327" s="31" t="n">
        <f aca="false">(1+IF(YEAR($A327)&lt;=2026,Premissas!$C$49,IF(YEAR($A327)=2027,Premissas!$C$50,IF(YEAR($A327)=2028,Premissas!$C$51,Premissas!$C$52)))*(1-Premissas!$C$53))^(1/12)-1</f>
        <v>0.00682149336596227</v>
      </c>
      <c r="Q327" s="22" t="n">
        <f aca="false">($A327=Premissas!$C$16)*Premissas!$C$13</f>
        <v>0</v>
      </c>
      <c r="R327" s="22" t="n">
        <f aca="false">L327-M327-N327-Q327</f>
        <v>3702.75880009488</v>
      </c>
      <c r="S327" s="22" t="n">
        <f aca="false">S326+R327</f>
        <v>365272.007441738</v>
      </c>
      <c r="T327" s="22" t="n">
        <f aca="false">IF($A327&gt;=Premissas!$C$18,O327*(1-Premissas!$C$45)-Premissas!$C$46*MAX(0,O327*(1-Premissas!$C$45)-(SUM($Q$5:$Q$355)+Premissas!$C$26*Premissas!$C$60)),"")</f>
        <v>1058513.03138817</v>
      </c>
      <c r="U327" s="22" t="n">
        <f aca="false">IF($A327&gt;=Premissas!$C$18,S327+T327,"")</f>
        <v>1423785.03882991</v>
      </c>
      <c r="V327" s="22" t="n">
        <f aca="false">V326*(1+$P327)-R327</f>
        <v>966907.195462915</v>
      </c>
      <c r="W327" s="22" t="n">
        <f aca="false">($A327=Premissas!$C$16)*Premissas!$C$9</f>
        <v>0</v>
      </c>
      <c r="X327" s="22" t="n">
        <f aca="false">L327-M327-N327-W327</f>
        <v>3702.75880009488</v>
      </c>
      <c r="Y327" s="22" t="n">
        <f aca="false">Y326+X327</f>
        <v>334344.007441738</v>
      </c>
      <c r="Z327" s="22" t="n">
        <f aca="false">IF($A327&gt;=Premissas!$C$18,O327*(1-Premissas!$C$45)-Premissas!$C$46*MAX(0,O327*(1-Premissas!$C$45)-(SUM($W$5:$W$355)+Premissas!$C$26*Premissas!$C$60)),"")</f>
        <v>1063152.23138817</v>
      </c>
      <c r="AA327" s="22" t="n">
        <f aca="false">IF($A327&gt;=Premissas!$C$18,Y327+Z327,"")</f>
        <v>1397496.23882991</v>
      </c>
      <c r="AB327" s="22" t="n">
        <f aca="false">AB326*(1+$P327)-X327</f>
        <v>1252071.9173883</v>
      </c>
      <c r="AC327" s="22" t="n">
        <f aca="false">AND($A327&gt;=Premissas!$C$16,$A327&lt;EDATE(Premissas!$C$16,3))*Premissas!$C$10/3*(1+Premissas!$C$56)^$C327</f>
        <v>0</v>
      </c>
      <c r="AD327" s="22" t="n">
        <f aca="false">L327-M327-N327-AC327</f>
        <v>3702.75880009488</v>
      </c>
      <c r="AE327" s="22" t="n">
        <f aca="false">AE326+AD327</f>
        <v>326723.543561713</v>
      </c>
      <c r="AF327" s="22" t="n">
        <f aca="false">IF($A327&gt;=Premissas!$C$18,O327*(1-Premissas!$C$45)-Premissas!$C$46*MAX(0,O327*(1-Premissas!$C$45)-(SUM($AC$5:$AC$355)+Premissas!$C$26*Premissas!$C$60)),"")</f>
        <v>1064295.30097017</v>
      </c>
      <c r="AG327" s="22" t="n">
        <f aca="false">IF($A327&gt;=Premissas!$C$18,AE327+AF327,"")</f>
        <v>1391018.84453188</v>
      </c>
      <c r="AH327" s="22" t="n">
        <f aca="false">AH326*(1+$P327)-AD327</f>
        <v>1297526.95405467</v>
      </c>
      <c r="AI327" s="22" t="n">
        <f aca="false">($A327=Premissas!$C$16)*0.2*Premissas!$C$11+AND($A327&gt;Premissas!$C$16,$A327&lt;=EDATE(Premissas!$C$16,43))*0.8*Premissas!$C$11/43*(1+Premissas!$C$56)^$C327</f>
        <v>0</v>
      </c>
      <c r="AJ327" s="22" t="n">
        <f aca="false">L327-M327-N327-AI327</f>
        <v>3702.75880009488</v>
      </c>
      <c r="AK327" s="22" t="n">
        <f aca="false">AK326+AJ327</f>
        <v>280859.058143651</v>
      </c>
      <c r="AL327" s="22" t="n">
        <f aca="false">IF($A327&gt;=Premissas!$C$18,O327*(1-Premissas!$C$45)-Premissas!$C$46*MAX(0,O327*(1-Premissas!$C$45)-(SUM($AI$5:$AI$355)+Premissas!$C$26*Premissas!$C$60)),"")</f>
        <v>1071174.97378288</v>
      </c>
      <c r="AM327" s="22" t="n">
        <f aca="false">IF($A327&gt;=Premissas!$C$18,AK327+AL327,"")</f>
        <v>1352034.03192653</v>
      </c>
      <c r="AN327" s="22" t="n">
        <f aca="false">AN326*(1+$P327)-AJ327</f>
        <v>1339939.10563162</v>
      </c>
      <c r="AO327" s="22" t="n">
        <f aca="false">V327+S327</f>
        <v>1332179.20290465</v>
      </c>
    </row>
    <row r="328" customFormat="false" ht="15" hidden="false" customHeight="false" outlineLevel="0" collapsed="false">
      <c r="A328" s="26" t="n">
        <f aca="false">DATE(YEAR(A327),MONTH(A327)+1,1)</f>
        <v>56128</v>
      </c>
      <c r="B328" s="22" t="str">
        <f aca="false">IF($A328&lt;Premissas!$C$18,"Obra",IF($A328&lt;Premissas!$C$20,"Entrega/mobília","Airbnb"))</f>
        <v>Airbnb</v>
      </c>
      <c r="C328" s="36" t="n">
        <f aca="false">(YEAR($A328)-YEAR(Premissas!$C$16))*12+MONTH($A328)-MONTH(Premissas!$C$16)</f>
        <v>323</v>
      </c>
      <c r="D328" s="33" t="n">
        <f aca="false">IF($A328&gt;=Premissas!$C$20,Premissas!$C$31*IF(((YEAR($A328)-YEAR(Premissas!$C$20))*12+MONTH($A328)-MONTH(Premissas!$C$20))&lt;Premissas!$C$33,Premissas!$C$34,1),0)</f>
        <v>0.62</v>
      </c>
      <c r="E328" s="22" t="n">
        <f aca="false">D328*Premissas!$C$30*Premissas!$C$32*(1+Premissas!$C$58)^$C328</f>
        <v>13363.913902448</v>
      </c>
      <c r="F328" s="22" t="n">
        <f aca="false">E328*Premissas!$C$35</f>
        <v>2138.22622439168</v>
      </c>
      <c r="G328" s="22" t="n">
        <f aca="false">E328*Premissas!$C$36</f>
        <v>2672.7827804896</v>
      </c>
      <c r="H328" s="22" t="n">
        <f aca="false">IF($A328&gt;=Premissas!$C$18,Premissas!$C$37*(1+Premissas!$C$58)^$C328,0)</f>
        <v>1724.37598741264</v>
      </c>
      <c r="I328" s="22" t="n">
        <f aca="false">IF($A328&gt;=Premissas!$C$20,Premissas!$C$38*(1+Premissas!$C$58)^$C328,0)</f>
        <v>804.7087941259</v>
      </c>
      <c r="J328" s="22" t="n">
        <f aca="false">IF($A328&gt;=Premissas!$C$20,Premissas!$C$39*(1+Premissas!$C$58)^$C328,0)</f>
        <v>431.093996853161</v>
      </c>
      <c r="K328" s="22" t="n">
        <f aca="false">IF($A328&gt;=Premissas!$C$20,MAX(0,E328-F328-G328-H328)*Premissas!$C$41,0)</f>
        <v>1877.84545029237</v>
      </c>
      <c r="L328" s="22" t="n">
        <f aca="false">E328-F328-G328-H328-I328-J328-K328</f>
        <v>3714.88066888264</v>
      </c>
      <c r="M328" s="22" t="n">
        <f aca="false">($A328=Premissas!$C$18)*Premissas!$C$26*Premissas!$C$60</f>
        <v>0</v>
      </c>
      <c r="N328" s="22" t="n">
        <f aca="false">IF(AND($A328&gt;=Premissas!$C$18,$A328&lt;Premissas!$C$20),Premissas!$C$27/MAX(1,Premissas!$C$19),0)</f>
        <v>0</v>
      </c>
      <c r="O328" s="22" t="n">
        <f aca="false">IF($A328&gt;=Premissas!$C$18,Premissas!$C$60*(1+Premissas!$C$59)^((YEAR($A328)-YEAR(Premissas!$C$18))*12+MONTH($A328)-MONTH(Premissas!$C$18)),"")</f>
        <v>1279965.82402536</v>
      </c>
      <c r="P328" s="31" t="n">
        <f aca="false">(1+IF(YEAR($A328)&lt;=2026,Premissas!$C$49,IF(YEAR($A328)=2027,Premissas!$C$50,IF(YEAR($A328)=2028,Premissas!$C$51,Premissas!$C$52)))*(1-Premissas!$C$53))^(1/12)-1</f>
        <v>0.00682149336596227</v>
      </c>
      <c r="Q328" s="22" t="n">
        <f aca="false">($A328=Premissas!$C$16)*Premissas!$C$13</f>
        <v>0</v>
      </c>
      <c r="R328" s="22" t="n">
        <f aca="false">L328-M328-N328-Q328</f>
        <v>3714.88066888264</v>
      </c>
      <c r="S328" s="22" t="n">
        <f aca="false">S327+R328</f>
        <v>368986.88811062</v>
      </c>
      <c r="T328" s="22" t="n">
        <f aca="false">IF($A328&gt;=Premissas!$C$18,O328*(1-Premissas!$C$45)-Premissas!$C$46*MAX(0,O328*(1-Premissas!$C$45)-(SUM($Q$5:$Q$355)+Premissas!$C$26*Premissas!$C$60)),"")</f>
        <v>1062662.70174301</v>
      </c>
      <c r="U328" s="22" t="n">
        <f aca="false">IF($A328&gt;=Premissas!$C$18,S328+T328,"")</f>
        <v>1431649.58985363</v>
      </c>
      <c r="V328" s="22" t="n">
        <f aca="false">V327*(1+$P328)-R328</f>
        <v>969788.065813384</v>
      </c>
      <c r="W328" s="22" t="n">
        <f aca="false">($A328=Premissas!$C$16)*Premissas!$C$9</f>
        <v>0</v>
      </c>
      <c r="X328" s="22" t="n">
        <f aca="false">L328-M328-N328-W328</f>
        <v>3714.88066888264</v>
      </c>
      <c r="Y328" s="22" t="n">
        <f aca="false">Y327+X328</f>
        <v>338058.888110621</v>
      </c>
      <c r="Z328" s="22" t="n">
        <f aca="false">IF($A328&gt;=Premissas!$C$18,O328*(1-Premissas!$C$45)-Premissas!$C$46*MAX(0,O328*(1-Premissas!$C$45)-(SUM($W$5:$W$355)+Premissas!$C$26*Premissas!$C$60)),"")</f>
        <v>1067301.90174301</v>
      </c>
      <c r="AA328" s="22" t="n">
        <f aca="false">IF($A328&gt;=Premissas!$C$18,Y328+Z328,"")</f>
        <v>1405360.78985363</v>
      </c>
      <c r="AB328" s="22" t="n">
        <f aca="false">AB327*(1+$P328)-X328</f>
        <v>1256898.03699759</v>
      </c>
      <c r="AC328" s="22" t="n">
        <f aca="false">AND($A328&gt;=Premissas!$C$16,$A328&lt;EDATE(Premissas!$C$16,3))*Premissas!$C$10/3*(1+Premissas!$C$56)^$C328</f>
        <v>0</v>
      </c>
      <c r="AD328" s="22" t="n">
        <f aca="false">L328-M328-N328-AC328</f>
        <v>3714.88066888264</v>
      </c>
      <c r="AE328" s="22" t="n">
        <f aca="false">AE327+AD328</f>
        <v>330438.424230596</v>
      </c>
      <c r="AF328" s="22" t="n">
        <f aca="false">IF($A328&gt;=Premissas!$C$18,O328*(1-Premissas!$C$45)-Premissas!$C$46*MAX(0,O328*(1-Premissas!$C$45)-(SUM($AC$5:$AC$355)+Premissas!$C$26*Premissas!$C$60)),"")</f>
        <v>1068444.97132501</v>
      </c>
      <c r="AG328" s="22" t="n">
        <f aca="false">IF($A328&gt;=Premissas!$C$18,AE328+AF328,"")</f>
        <v>1398883.39555561</v>
      </c>
      <c r="AH328" s="22" t="n">
        <f aca="false">AH327*(1+$P328)-AD328</f>
        <v>1302663.14489503</v>
      </c>
      <c r="AI328" s="22" t="n">
        <f aca="false">($A328=Premissas!$C$16)*0.2*Premissas!$C$11+AND($A328&gt;Premissas!$C$16,$A328&lt;=EDATE(Premissas!$C$16,43))*0.8*Premissas!$C$11/43*(1+Premissas!$C$56)^$C328</f>
        <v>0</v>
      </c>
      <c r="AJ328" s="22" t="n">
        <f aca="false">L328-M328-N328-AI328</f>
        <v>3714.88066888264</v>
      </c>
      <c r="AK328" s="22" t="n">
        <f aca="false">AK327+AJ328</f>
        <v>284573.938812534</v>
      </c>
      <c r="AL328" s="22" t="n">
        <f aca="false">IF($A328&gt;=Premissas!$C$18,O328*(1-Premissas!$C$45)-Premissas!$C$46*MAX(0,O328*(1-Premissas!$C$45)-(SUM($AI$5:$AI$355)+Premissas!$C$26*Premissas!$C$60)),"")</f>
        <v>1075324.64413772</v>
      </c>
      <c r="AM328" s="22" t="n">
        <f aca="false">IF($A328&gt;=Premissas!$C$18,AK328+AL328,"")</f>
        <v>1359898.58295026</v>
      </c>
      <c r="AN328" s="22" t="n">
        <f aca="false">AN327*(1+$P328)-AJ328</f>
        <v>1345364.6106826</v>
      </c>
      <c r="AO328" s="22" t="n">
        <f aca="false">V328+S328</f>
        <v>1338774.953924</v>
      </c>
    </row>
    <row r="329" customFormat="false" ht="15" hidden="false" customHeight="false" outlineLevel="0" collapsed="false">
      <c r="A329" s="26" t="n">
        <f aca="false">DATE(YEAR(A328),MONTH(A328)+1,1)</f>
        <v>56158</v>
      </c>
      <c r="B329" s="22" t="str">
        <f aca="false">IF($A329&lt;Premissas!$C$18,"Obra",IF($A329&lt;Premissas!$C$20,"Entrega/mobília","Airbnb"))</f>
        <v>Airbnb</v>
      </c>
      <c r="C329" s="36" t="n">
        <f aca="false">(YEAR($A329)-YEAR(Premissas!$C$16))*12+MONTH($A329)-MONTH(Premissas!$C$16)</f>
        <v>324</v>
      </c>
      <c r="D329" s="33" t="n">
        <f aca="false">IF($A329&gt;=Premissas!$C$20,Premissas!$C$31*IF(((YEAR($A329)-YEAR(Premissas!$C$20))*12+MONTH($A329)-MONTH(Premissas!$C$20))&lt;Premissas!$C$33,Premissas!$C$34,1),0)</f>
        <v>0.62</v>
      </c>
      <c r="E329" s="22" t="n">
        <f aca="false">D329*Premissas!$C$30*Premissas!$C$32*(1+Premissas!$C$58)^$C329</f>
        <v>13407.6638790363</v>
      </c>
      <c r="F329" s="22" t="n">
        <f aca="false">E329*Premissas!$C$35</f>
        <v>2145.22622064581</v>
      </c>
      <c r="G329" s="22" t="n">
        <f aca="false">E329*Premissas!$C$36</f>
        <v>2681.53277580726</v>
      </c>
      <c r="H329" s="22" t="n">
        <f aca="false">IF($A329&gt;=Premissas!$C$18,Premissas!$C$37*(1+Premissas!$C$58)^$C329,0)</f>
        <v>1730.0211456821</v>
      </c>
      <c r="I329" s="22" t="n">
        <f aca="false">IF($A329&gt;=Premissas!$C$20,Premissas!$C$38*(1+Premissas!$C$58)^$C329,0)</f>
        <v>807.343201318315</v>
      </c>
      <c r="J329" s="22" t="n">
        <f aca="false">IF($A329&gt;=Premissas!$C$20,Premissas!$C$39*(1+Premissas!$C$58)^$C329,0)</f>
        <v>432.505286420526</v>
      </c>
      <c r="K329" s="22" t="n">
        <f aca="false">IF($A329&gt;=Premissas!$C$20,MAX(0,E329-F329-G329-H329)*Premissas!$C$41,0)</f>
        <v>1883.99302764781</v>
      </c>
      <c r="L329" s="22" t="n">
        <f aca="false">E329-F329-G329-H329-I329-J329-K329</f>
        <v>3727.04222151448</v>
      </c>
      <c r="M329" s="22" t="n">
        <f aca="false">($A329=Premissas!$C$18)*Premissas!$C$26*Premissas!$C$60</f>
        <v>0</v>
      </c>
      <c r="N329" s="22" t="n">
        <f aca="false">IF(AND($A329&gt;=Premissas!$C$18,$A329&lt;Premissas!$C$20),Premissas!$C$27/MAX(1,Premissas!$C$19),0)</f>
        <v>0</v>
      </c>
      <c r="O329" s="22" t="n">
        <f aca="false">IF($A329&gt;=Premissas!$C$18,Premissas!$C$60*(1+Premissas!$C$59)^((YEAR($A329)-YEAR(Premissas!$C$18))*12+MONTH($A329)-MONTH(Premissas!$C$18)),"")</f>
        <v>1285180.56323128</v>
      </c>
      <c r="P329" s="31" t="n">
        <f aca="false">(1+IF(YEAR($A329)&lt;=2026,Premissas!$C$49,IF(YEAR($A329)=2027,Premissas!$C$50,IF(YEAR($A329)=2028,Premissas!$C$51,Premissas!$C$52)))*(1-Premissas!$C$53))^(1/12)-1</f>
        <v>0.00682149336596227</v>
      </c>
      <c r="Q329" s="22" t="n">
        <f aca="false">($A329=Premissas!$C$16)*Premissas!$C$13</f>
        <v>0</v>
      </c>
      <c r="R329" s="22" t="n">
        <f aca="false">L329-M329-N329-Q329</f>
        <v>3727.04222151448</v>
      </c>
      <c r="S329" s="22" t="n">
        <f aca="false">S328+R329</f>
        <v>372713.930332135</v>
      </c>
      <c r="T329" s="22" t="n">
        <f aca="false">IF($A329&gt;=Premissas!$C$18,O329*(1-Premissas!$C$45)-Premissas!$C$46*MAX(0,O329*(1-Premissas!$C$45)-(SUM($Q$5:$Q$355)+Premissas!$C$26*Premissas!$C$60)),"")</f>
        <v>1066829.27836854</v>
      </c>
      <c r="U329" s="22" t="n">
        <f aca="false">IF($A329&gt;=Premissas!$C$18,S329+T329,"")</f>
        <v>1439543.20870067</v>
      </c>
      <c r="V329" s="22" t="n">
        <f aca="false">V328*(1+$P329)-R329</f>
        <v>972676.426449205</v>
      </c>
      <c r="W329" s="22" t="n">
        <f aca="false">($A329=Premissas!$C$16)*Premissas!$C$9</f>
        <v>0</v>
      </c>
      <c r="X329" s="22" t="n">
        <f aca="false">L329-M329-N329-W329</f>
        <v>3727.04222151448</v>
      </c>
      <c r="Y329" s="22" t="n">
        <f aca="false">Y328+X329</f>
        <v>341785.930332135</v>
      </c>
      <c r="Z329" s="22" t="n">
        <f aca="false">IF($A329&gt;=Premissas!$C$18,O329*(1-Premissas!$C$45)-Premissas!$C$46*MAX(0,O329*(1-Premissas!$C$45)-(SUM($W$5:$W$355)+Premissas!$C$26*Premissas!$C$60)),"")</f>
        <v>1071468.47836854</v>
      </c>
      <c r="AA329" s="22" t="n">
        <f aca="false">IF($A329&gt;=Premissas!$C$18,Y329+Z329,"")</f>
        <v>1413254.40870067</v>
      </c>
      <c r="AB329" s="22" t="n">
        <f aca="false">AB328*(1+$P329)-X329</f>
        <v>1261744.91639715</v>
      </c>
      <c r="AC329" s="22" t="n">
        <f aca="false">AND($A329&gt;=Premissas!$C$16,$A329&lt;EDATE(Premissas!$C$16,3))*Premissas!$C$10/3*(1+Premissas!$C$56)^$C329</f>
        <v>0</v>
      </c>
      <c r="AD329" s="22" t="n">
        <f aca="false">L329-M329-N329-AC329</f>
        <v>3727.04222151448</v>
      </c>
      <c r="AE329" s="22" t="n">
        <f aca="false">AE328+AD329</f>
        <v>334165.46645211</v>
      </c>
      <c r="AF329" s="22" t="n">
        <f aca="false">IF($A329&gt;=Premissas!$C$18,O329*(1-Premissas!$C$45)-Premissas!$C$46*MAX(0,O329*(1-Premissas!$C$45)-(SUM($AC$5:$AC$355)+Premissas!$C$26*Premissas!$C$60)),"")</f>
        <v>1072611.54795054</v>
      </c>
      <c r="AG329" s="22" t="n">
        <f aca="false">IF($A329&gt;=Premissas!$C$18,AE329+AF329,"")</f>
        <v>1406777.01440265</v>
      </c>
      <c r="AH329" s="22" t="n">
        <f aca="false">AH328*(1+$P329)-AD329</f>
        <v>1307822.2106745</v>
      </c>
      <c r="AI329" s="22" t="n">
        <f aca="false">($A329=Premissas!$C$16)*0.2*Premissas!$C$11+AND($A329&gt;Premissas!$C$16,$A329&lt;=EDATE(Premissas!$C$16,43))*0.8*Premissas!$C$11/43*(1+Premissas!$C$56)^$C329</f>
        <v>0</v>
      </c>
      <c r="AJ329" s="22" t="n">
        <f aca="false">L329-M329-N329-AI329</f>
        <v>3727.04222151448</v>
      </c>
      <c r="AK329" s="22" t="n">
        <f aca="false">AK328+AJ329</f>
        <v>288300.981034048</v>
      </c>
      <c r="AL329" s="22" t="n">
        <f aca="false">IF($A329&gt;=Premissas!$C$18,O329*(1-Premissas!$C$45)-Premissas!$C$46*MAX(0,O329*(1-Premissas!$C$45)-(SUM($AI$5:$AI$355)+Premissas!$C$26*Premissas!$C$60)),"")</f>
        <v>1079491.22076325</v>
      </c>
      <c r="AM329" s="22" t="n">
        <f aca="false">IF($A329&gt;=Premissas!$C$18,AK329+AL329,"")</f>
        <v>1367792.2017973</v>
      </c>
      <c r="AN329" s="22" t="n">
        <f aca="false">AN328*(1+$P329)-AJ329</f>
        <v>1350814.96422766</v>
      </c>
      <c r="AO329" s="22" t="n">
        <f aca="false">V329+S329</f>
        <v>1345390.35678134</v>
      </c>
    </row>
    <row r="330" customFormat="false" ht="15" hidden="false" customHeight="false" outlineLevel="0" collapsed="false">
      <c r="A330" s="26" t="n">
        <f aca="false">DATE(YEAR(A329),MONTH(A329)+1,1)</f>
        <v>56189</v>
      </c>
      <c r="B330" s="22" t="str">
        <f aca="false">IF($A330&lt;Premissas!$C$18,"Obra",IF($A330&lt;Premissas!$C$20,"Entrega/mobília","Airbnb"))</f>
        <v>Airbnb</v>
      </c>
      <c r="C330" s="36" t="n">
        <f aca="false">(YEAR($A330)-YEAR(Premissas!$C$16))*12+MONTH($A330)-MONTH(Premissas!$C$16)</f>
        <v>325</v>
      </c>
      <c r="D330" s="33" t="n">
        <f aca="false">IF($A330&gt;=Premissas!$C$20,Premissas!$C$31*IF(((YEAR($A330)-YEAR(Premissas!$C$20))*12+MONTH($A330)-MONTH(Premissas!$C$20))&lt;Premissas!$C$33,Premissas!$C$34,1),0)</f>
        <v>0.62</v>
      </c>
      <c r="E330" s="22" t="n">
        <f aca="false">D330*Premissas!$C$30*Premissas!$C$32*(1+Premissas!$C$58)^$C330</f>
        <v>13451.5570816635</v>
      </c>
      <c r="F330" s="22" t="n">
        <f aca="false">E330*Premissas!$C$35</f>
        <v>2152.24913306615</v>
      </c>
      <c r="G330" s="22" t="n">
        <f aca="false">E330*Premissas!$C$36</f>
        <v>2690.31141633269</v>
      </c>
      <c r="H330" s="22" t="n">
        <f aca="false">IF($A330&gt;=Premissas!$C$18,Premissas!$C$37*(1+Premissas!$C$58)^$C330,0)</f>
        <v>1735.68478473077</v>
      </c>
      <c r="I330" s="22" t="n">
        <f aca="false">IF($A330&gt;=Premissas!$C$20,Premissas!$C$38*(1+Premissas!$C$58)^$C330,0)</f>
        <v>809.986232874359</v>
      </c>
      <c r="J330" s="22" t="n">
        <f aca="false">IF($A330&gt;=Premissas!$C$20,Premissas!$C$39*(1+Premissas!$C$58)^$C330,0)</f>
        <v>433.921196182692</v>
      </c>
      <c r="K330" s="22" t="n">
        <f aca="false">IF($A330&gt;=Premissas!$C$20,MAX(0,E330-F330-G330-H330)*Premissas!$C$41,0)</f>
        <v>1890.16073057181</v>
      </c>
      <c r="L330" s="22" t="n">
        <f aca="false">E330-F330-G330-H330-I330-J330-K330</f>
        <v>3739.24358790499</v>
      </c>
      <c r="M330" s="22" t="n">
        <f aca="false">($A330=Premissas!$C$18)*Premissas!$C$26*Premissas!$C$60</f>
        <v>0</v>
      </c>
      <c r="N330" s="22" t="n">
        <f aca="false">IF(AND($A330&gt;=Premissas!$C$18,$A330&lt;Premissas!$C$20),Premissas!$C$27/MAX(1,Premissas!$C$19),0)</f>
        <v>0</v>
      </c>
      <c r="O330" s="22" t="n">
        <f aca="false">IF($A330&gt;=Premissas!$C$18,Premissas!$C$60*(1+Premissas!$C$59)^((YEAR($A330)-YEAR(Premissas!$C$18))*12+MONTH($A330)-MONTH(Premissas!$C$18)),"")</f>
        <v>1290416.54793022</v>
      </c>
      <c r="P330" s="31" t="n">
        <f aca="false">(1+IF(YEAR($A330)&lt;=2026,Premissas!$C$49,IF(YEAR($A330)=2027,Premissas!$C$50,IF(YEAR($A330)=2028,Premissas!$C$51,Premissas!$C$52)))*(1-Premissas!$C$53))^(1/12)-1</f>
        <v>0.00682149336596227</v>
      </c>
      <c r="Q330" s="22" t="n">
        <f aca="false">($A330=Premissas!$C$16)*Premissas!$C$13</f>
        <v>0</v>
      </c>
      <c r="R330" s="22" t="n">
        <f aca="false">L330-M330-N330-Q330</f>
        <v>3739.24358790499</v>
      </c>
      <c r="S330" s="22" t="n">
        <f aca="false">S329+R330</f>
        <v>376453.17392004</v>
      </c>
      <c r="T330" s="22" t="n">
        <f aca="false">IF($A330&gt;=Premissas!$C$18,O330*(1-Premissas!$C$45)-Premissas!$C$46*MAX(0,O330*(1-Premissas!$C$45)-(SUM($Q$5:$Q$355)+Premissas!$C$26*Premissas!$C$60)),"")</f>
        <v>1071012.83014299</v>
      </c>
      <c r="U330" s="22" t="n">
        <f aca="false">IF($A330&gt;=Premissas!$C$18,S330+T330,"")</f>
        <v>1447466.00406303</v>
      </c>
      <c r="V330" s="22" t="n">
        <f aca="false">V329*(1+$P330)-R330</f>
        <v>975572.288651551</v>
      </c>
      <c r="W330" s="22" t="n">
        <f aca="false">($A330=Premissas!$C$16)*Premissas!$C$9</f>
        <v>0</v>
      </c>
      <c r="X330" s="22" t="n">
        <f aca="false">L330-M330-N330-W330</f>
        <v>3739.24358790499</v>
      </c>
      <c r="Y330" s="22" t="n">
        <f aca="false">Y329+X330</f>
        <v>345525.17392004</v>
      </c>
      <c r="Z330" s="22" t="n">
        <f aca="false">IF($A330&gt;=Premissas!$C$18,O330*(1-Premissas!$C$45)-Premissas!$C$46*MAX(0,O330*(1-Premissas!$C$45)-(SUM($W$5:$W$355)+Premissas!$C$26*Premissas!$C$60)),"")</f>
        <v>1075652.03014299</v>
      </c>
      <c r="AA330" s="22" t="n">
        <f aca="false">IF($A330&gt;=Premissas!$C$18,Y330+Z330,"")</f>
        <v>1421177.20406303</v>
      </c>
      <c r="AB330" s="22" t="n">
        <f aca="false">AB329*(1+$P330)-X330</f>
        <v>1266612.65738598</v>
      </c>
      <c r="AC330" s="22" t="n">
        <f aca="false">AND($A330&gt;=Premissas!$C$16,$A330&lt;EDATE(Premissas!$C$16,3))*Premissas!$C$10/3*(1+Premissas!$C$56)^$C330</f>
        <v>0</v>
      </c>
      <c r="AD330" s="22" t="n">
        <f aca="false">L330-M330-N330-AC330</f>
        <v>3739.24358790499</v>
      </c>
      <c r="AE330" s="22" t="n">
        <f aca="false">AE329+AD330</f>
        <v>337904.710040015</v>
      </c>
      <c r="AF330" s="22" t="n">
        <f aca="false">IF($A330&gt;=Premissas!$C$18,O330*(1-Premissas!$C$45)-Premissas!$C$46*MAX(0,O330*(1-Premissas!$C$45)-(SUM($AC$5:$AC$355)+Premissas!$C$26*Premissas!$C$60)),"")</f>
        <v>1076795.099725</v>
      </c>
      <c r="AG330" s="22" t="n">
        <f aca="false">IF($A330&gt;=Premissas!$C$18,AE330+AF330,"")</f>
        <v>1414699.80976501</v>
      </c>
      <c r="AH330" s="22" t="n">
        <f aca="false">AH329*(1+$P330)-AD330</f>
        <v>1313004.26762057</v>
      </c>
      <c r="AI330" s="22" t="n">
        <f aca="false">($A330=Premissas!$C$16)*0.2*Premissas!$C$11+AND($A330&gt;Premissas!$C$16,$A330&lt;=EDATE(Premissas!$C$16,43))*0.8*Premissas!$C$11/43*(1+Premissas!$C$56)^$C330</f>
        <v>0</v>
      </c>
      <c r="AJ330" s="22" t="n">
        <f aca="false">L330-M330-N330-AI330</f>
        <v>3739.24358790499</v>
      </c>
      <c r="AK330" s="22" t="n">
        <f aca="false">AK329+AJ330</f>
        <v>292040.224621953</v>
      </c>
      <c r="AL330" s="22" t="n">
        <f aca="false">IF($A330&gt;=Premissas!$C$18,O330*(1-Premissas!$C$45)-Premissas!$C$46*MAX(0,O330*(1-Premissas!$C$45)-(SUM($AI$5:$AI$355)+Premissas!$C$26*Premissas!$C$60)),"")</f>
        <v>1083674.77253771</v>
      </c>
      <c r="AM330" s="22" t="n">
        <f aca="false">IF($A330&gt;=Premissas!$C$18,AK330+AL330,"")</f>
        <v>1375714.99715966</v>
      </c>
      <c r="AN330" s="22" t="n">
        <f aca="false">AN329*(1+$P330)-AJ330</f>
        <v>1356290.29595687</v>
      </c>
      <c r="AO330" s="22" t="n">
        <f aca="false">V330+S330</f>
        <v>1352025.46257159</v>
      </c>
    </row>
    <row r="331" customFormat="false" ht="15" hidden="false" customHeight="false" outlineLevel="0" collapsed="false">
      <c r="A331" s="26" t="n">
        <f aca="false">DATE(YEAR(A330),MONTH(A330)+1,1)</f>
        <v>56219</v>
      </c>
      <c r="B331" s="22" t="str">
        <f aca="false">IF($A331&lt;Premissas!$C$18,"Obra",IF($A331&lt;Premissas!$C$20,"Entrega/mobília","Airbnb"))</f>
        <v>Airbnb</v>
      </c>
      <c r="C331" s="36" t="n">
        <f aca="false">(YEAR($A331)-YEAR(Premissas!$C$16))*12+MONTH($A331)-MONTH(Premissas!$C$16)</f>
        <v>326</v>
      </c>
      <c r="D331" s="33" t="n">
        <f aca="false">IF($A331&gt;=Premissas!$C$20,Premissas!$C$31*IF(((YEAR($A331)-YEAR(Premissas!$C$20))*12+MONTH($A331)-MONTH(Premissas!$C$20))&lt;Premissas!$C$33,Premissas!$C$34,1),0)</f>
        <v>0.62</v>
      </c>
      <c r="E331" s="22" t="n">
        <f aca="false">D331*Premissas!$C$30*Premissas!$C$32*(1+Premissas!$C$58)^$C331</f>
        <v>13495.5939792142</v>
      </c>
      <c r="F331" s="22" t="n">
        <f aca="false">E331*Premissas!$C$35</f>
        <v>2159.29503667428</v>
      </c>
      <c r="G331" s="22" t="n">
        <f aca="false">E331*Premissas!$C$36</f>
        <v>2699.11879584284</v>
      </c>
      <c r="H331" s="22" t="n">
        <f aca="false">IF($A331&gt;=Premissas!$C$18,Premissas!$C$37*(1+Premissas!$C$58)^$C331,0)</f>
        <v>1741.3669650599</v>
      </c>
      <c r="I331" s="22" t="n">
        <f aca="false">IF($A331&gt;=Premissas!$C$20,Premissas!$C$38*(1+Premissas!$C$58)^$C331,0)</f>
        <v>812.637917027953</v>
      </c>
      <c r="J331" s="22" t="n">
        <f aca="false">IF($A331&gt;=Premissas!$C$20,Premissas!$C$39*(1+Premissas!$C$58)^$C331,0)</f>
        <v>435.341741264975</v>
      </c>
      <c r="K331" s="22" t="n">
        <f aca="false">IF($A331&gt;=Premissas!$C$20,MAX(0,E331-F331-G331-H331)*Premissas!$C$41,0)</f>
        <v>1896.34862495023</v>
      </c>
      <c r="L331" s="22" t="n">
        <f aca="false">E331-F331-G331-H331-I331-J331-K331</f>
        <v>3751.48489839404</v>
      </c>
      <c r="M331" s="22" t="n">
        <f aca="false">($A331=Premissas!$C$18)*Premissas!$C$26*Premissas!$C$60</f>
        <v>0</v>
      </c>
      <c r="N331" s="22" t="n">
        <f aca="false">IF(AND($A331&gt;=Premissas!$C$18,$A331&lt;Premissas!$C$20),Premissas!$C$27/MAX(1,Premissas!$C$19),0)</f>
        <v>0</v>
      </c>
      <c r="O331" s="22" t="n">
        <f aca="false">IF($A331&gt;=Premissas!$C$18,Premissas!$C$60*(1+Premissas!$C$59)^((YEAR($A331)-YEAR(Premissas!$C$18))*12+MONTH($A331)-MONTH(Premissas!$C$18)),"")</f>
        <v>1295673.86467896</v>
      </c>
      <c r="P331" s="31" t="n">
        <f aca="false">(1+IF(YEAR($A331)&lt;=2026,Premissas!$C$49,IF(YEAR($A331)=2027,Premissas!$C$50,IF(YEAR($A331)=2028,Premissas!$C$51,Premissas!$C$52)))*(1-Premissas!$C$53))^(1/12)-1</f>
        <v>0.00682149336596227</v>
      </c>
      <c r="Q331" s="22" t="n">
        <f aca="false">($A331=Premissas!$C$16)*Premissas!$C$13</f>
        <v>0</v>
      </c>
      <c r="R331" s="22" t="n">
        <f aca="false">L331-M331-N331-Q331</f>
        <v>3751.48489839404</v>
      </c>
      <c r="S331" s="22" t="n">
        <f aca="false">S330+R331</f>
        <v>380204.658818434</v>
      </c>
      <c r="T331" s="22" t="n">
        <f aca="false">IF($A331&gt;=Premissas!$C$18,O331*(1-Premissas!$C$45)-Premissas!$C$46*MAX(0,O331*(1-Premissas!$C$45)-(SUM($Q$5:$Q$355)+Premissas!$C$26*Premissas!$C$60)),"")</f>
        <v>1075213.42622523</v>
      </c>
      <c r="U331" s="22" t="n">
        <f aca="false">IF($A331&gt;=Premissas!$C$18,S331+T331,"")</f>
        <v>1455418.08504367</v>
      </c>
      <c r="V331" s="22" t="n">
        <f aca="false">V330*(1+$P331)-R331</f>
        <v>978475.66364821</v>
      </c>
      <c r="W331" s="22" t="n">
        <f aca="false">($A331=Premissas!$C$16)*Premissas!$C$9</f>
        <v>0</v>
      </c>
      <c r="X331" s="22" t="n">
        <f aca="false">L331-M331-N331-W331</f>
        <v>3751.48489839404</v>
      </c>
      <c r="Y331" s="22" t="n">
        <f aca="false">Y330+X331</f>
        <v>349276.658818434</v>
      </c>
      <c r="Z331" s="22" t="n">
        <f aca="false">IF($A331&gt;=Premissas!$C$18,O331*(1-Premissas!$C$45)-Premissas!$C$46*MAX(0,O331*(1-Premissas!$C$45)-(SUM($W$5:$W$355)+Premissas!$C$26*Premissas!$C$60)),"")</f>
        <v>1079852.62622523</v>
      </c>
      <c r="AA331" s="22" t="n">
        <f aca="false">IF($A331&gt;=Premissas!$C$18,Y331+Z331,"")</f>
        <v>1429129.28504367</v>
      </c>
      <c r="AB331" s="22" t="n">
        <f aca="false">AB330*(1+$P331)-X331</f>
        <v>1271501.36232719</v>
      </c>
      <c r="AC331" s="22" t="n">
        <f aca="false">AND($A331&gt;=Premissas!$C$16,$A331&lt;EDATE(Premissas!$C$16,3))*Premissas!$C$10/3*(1+Premissas!$C$56)^$C331</f>
        <v>0</v>
      </c>
      <c r="AD331" s="22" t="n">
        <f aca="false">L331-M331-N331-AC331</f>
        <v>3751.48489839404</v>
      </c>
      <c r="AE331" s="22" t="n">
        <f aca="false">AE330+AD331</f>
        <v>341656.194938409</v>
      </c>
      <c r="AF331" s="22" t="n">
        <f aca="false">IF($A331&gt;=Premissas!$C$18,O331*(1-Premissas!$C$45)-Premissas!$C$46*MAX(0,O331*(1-Premissas!$C$45)-(SUM($AC$5:$AC$355)+Premissas!$C$26*Premissas!$C$60)),"")</f>
        <v>1080995.69580724</v>
      </c>
      <c r="AG331" s="22" t="n">
        <f aca="false">IF($A331&gt;=Premissas!$C$18,AE331+AF331,"")</f>
        <v>1422651.89074565</v>
      </c>
      <c r="AH331" s="22" t="n">
        <f aca="false">AH330*(1+$P331)-AD331</f>
        <v>1318209.43262323</v>
      </c>
      <c r="AI331" s="22" t="n">
        <f aca="false">($A331=Premissas!$C$16)*0.2*Premissas!$C$11+AND($A331&gt;Premissas!$C$16,$A331&lt;=EDATE(Premissas!$C$16,43))*0.8*Premissas!$C$11/43*(1+Premissas!$C$56)^$C331</f>
        <v>0</v>
      </c>
      <c r="AJ331" s="22" t="n">
        <f aca="false">L331-M331-N331-AI331</f>
        <v>3751.48489839404</v>
      </c>
      <c r="AK331" s="22" t="n">
        <f aca="false">AK330+AJ331</f>
        <v>295791.709520347</v>
      </c>
      <c r="AL331" s="22" t="n">
        <f aca="false">IF($A331&gt;=Premissas!$C$18,O331*(1-Premissas!$C$45)-Premissas!$C$46*MAX(0,O331*(1-Premissas!$C$45)-(SUM($AI$5:$AI$355)+Premissas!$C$26*Premissas!$C$60)),"")</f>
        <v>1087875.36861995</v>
      </c>
      <c r="AM331" s="22" t="n">
        <f aca="false">IF($A331&gt;=Premissas!$C$18,AK331+AL331,"")</f>
        <v>1383667.07814029</v>
      </c>
      <c r="AN331" s="22" t="n">
        <f aca="false">AN330*(1+$P331)-AJ331</f>
        <v>1361790.73631467</v>
      </c>
      <c r="AO331" s="22" t="n">
        <f aca="false">V331+S331</f>
        <v>1358680.32246664</v>
      </c>
    </row>
    <row r="332" customFormat="false" ht="15" hidden="false" customHeight="false" outlineLevel="0" collapsed="false">
      <c r="A332" s="26" t="n">
        <f aca="false">DATE(YEAR(A331),MONTH(A331)+1,1)</f>
        <v>56250</v>
      </c>
      <c r="B332" s="22" t="str">
        <f aca="false">IF($A332&lt;Premissas!$C$18,"Obra",IF($A332&lt;Premissas!$C$20,"Entrega/mobília","Airbnb"))</f>
        <v>Airbnb</v>
      </c>
      <c r="C332" s="36" t="n">
        <f aca="false">(YEAR($A332)-YEAR(Premissas!$C$16))*12+MONTH($A332)-MONTH(Premissas!$C$16)</f>
        <v>327</v>
      </c>
      <c r="D332" s="33" t="n">
        <f aca="false">IF($A332&gt;=Premissas!$C$20,Premissas!$C$31*IF(((YEAR($A332)-YEAR(Premissas!$C$20))*12+MONTH($A332)-MONTH(Premissas!$C$20))&lt;Premissas!$C$33,Premissas!$C$34,1),0)</f>
        <v>0.62</v>
      </c>
      <c r="E332" s="22" t="n">
        <f aca="false">D332*Premissas!$C$30*Premissas!$C$32*(1+Premissas!$C$58)^$C332</f>
        <v>13539.7750421084</v>
      </c>
      <c r="F332" s="22" t="n">
        <f aca="false">E332*Premissas!$C$35</f>
        <v>2166.36400673734</v>
      </c>
      <c r="G332" s="22" t="n">
        <f aca="false">E332*Premissas!$C$36</f>
        <v>2707.95500842168</v>
      </c>
      <c r="H332" s="22" t="n">
        <f aca="false">IF($A332&gt;=Premissas!$C$18,Premissas!$C$37*(1+Premissas!$C$58)^$C332,0)</f>
        <v>1747.06774736882</v>
      </c>
      <c r="I332" s="22" t="n">
        <f aca="false">IF($A332&gt;=Premissas!$C$20,Premissas!$C$38*(1+Premissas!$C$58)^$C332,0)</f>
        <v>815.298282105451</v>
      </c>
      <c r="J332" s="22" t="n">
        <f aca="false">IF($A332&gt;=Premissas!$C$20,Premissas!$C$39*(1+Premissas!$C$58)^$C332,0)</f>
        <v>436.766936842206</v>
      </c>
      <c r="K332" s="22" t="n">
        <f aca="false">IF($A332&gt;=Premissas!$C$20,MAX(0,E332-F332-G332-H332)*Premissas!$C$41,0)</f>
        <v>1902.55677688465</v>
      </c>
      <c r="L332" s="22" t="n">
        <f aca="false">E332-F332-G332-H332-I332-J332-K332</f>
        <v>3763.76628374824</v>
      </c>
      <c r="M332" s="22" t="n">
        <f aca="false">($A332=Premissas!$C$18)*Premissas!$C$26*Premissas!$C$60</f>
        <v>0</v>
      </c>
      <c r="N332" s="22" t="n">
        <f aca="false">IF(AND($A332&gt;=Premissas!$C$18,$A332&lt;Premissas!$C$20),Premissas!$C$27/MAX(1,Premissas!$C$19),0)</f>
        <v>0</v>
      </c>
      <c r="O332" s="22" t="n">
        <f aca="false">IF($A332&gt;=Premissas!$C$18,Premissas!$C$60*(1+Premissas!$C$59)^((YEAR($A332)-YEAR(Premissas!$C$18))*12+MONTH($A332)-MONTH(Premissas!$C$18)),"")</f>
        <v>1300952.6003869</v>
      </c>
      <c r="P332" s="31" t="n">
        <f aca="false">(1+IF(YEAR($A332)&lt;=2026,Premissas!$C$49,IF(YEAR($A332)=2027,Premissas!$C$50,IF(YEAR($A332)=2028,Premissas!$C$51,Premissas!$C$52)))*(1-Premissas!$C$53))^(1/12)-1</f>
        <v>0.00682149336596227</v>
      </c>
      <c r="Q332" s="22" t="n">
        <f aca="false">($A332=Premissas!$C$16)*Premissas!$C$13</f>
        <v>0</v>
      </c>
      <c r="R332" s="22" t="n">
        <f aca="false">L332-M332-N332-Q332</f>
        <v>3763.76628374824</v>
      </c>
      <c r="S332" s="22" t="n">
        <f aca="false">S331+R332</f>
        <v>383968.425102182</v>
      </c>
      <c r="T332" s="22" t="n">
        <f aca="false">IF($A332&gt;=Premissas!$C$18,O332*(1-Premissas!$C$45)-Premissas!$C$46*MAX(0,O332*(1-Premissas!$C$45)-(SUM($Q$5:$Q$355)+Premissas!$C$26*Premissas!$C$60)),"")</f>
        <v>1079431.13605588</v>
      </c>
      <c r="U332" s="22" t="n">
        <f aca="false">IF($A332&gt;=Premissas!$C$18,S332+T332,"")</f>
        <v>1463399.56115806</v>
      </c>
      <c r="V332" s="22" t="n">
        <f aca="false">V331*(1+$P332)-R332</f>
        <v>981386.562612794</v>
      </c>
      <c r="W332" s="22" t="n">
        <f aca="false">($A332=Premissas!$C$16)*Premissas!$C$9</f>
        <v>0</v>
      </c>
      <c r="X332" s="22" t="n">
        <f aca="false">L332-M332-N332-W332</f>
        <v>3763.76628374824</v>
      </c>
      <c r="Y332" s="22" t="n">
        <f aca="false">Y331+X332</f>
        <v>353040.425102182</v>
      </c>
      <c r="Z332" s="22" t="n">
        <f aca="false">IF($A332&gt;=Premissas!$C$18,O332*(1-Premissas!$C$45)-Premissas!$C$46*MAX(0,O332*(1-Premissas!$C$45)-(SUM($W$5:$W$355)+Premissas!$C$26*Premissas!$C$60)),"")</f>
        <v>1084070.33605588</v>
      </c>
      <c r="AA332" s="22" t="n">
        <f aca="false">IF($A332&gt;=Premissas!$C$18,Y332+Z332,"")</f>
        <v>1437110.76115806</v>
      </c>
      <c r="AB332" s="22" t="n">
        <f aca="false">AB331*(1+$P332)-X332</f>
        <v>1276411.13415137</v>
      </c>
      <c r="AC332" s="22" t="n">
        <f aca="false">AND($A332&gt;=Premissas!$C$16,$A332&lt;EDATE(Premissas!$C$16,3))*Premissas!$C$10/3*(1+Premissas!$C$56)^$C332</f>
        <v>0</v>
      </c>
      <c r="AD332" s="22" t="n">
        <f aca="false">L332-M332-N332-AC332</f>
        <v>3763.76628374824</v>
      </c>
      <c r="AE332" s="22" t="n">
        <f aca="false">AE331+AD332</f>
        <v>345419.961222157</v>
      </c>
      <c r="AF332" s="22" t="n">
        <f aca="false">IF($A332&gt;=Premissas!$C$18,O332*(1-Premissas!$C$45)-Premissas!$C$46*MAX(0,O332*(1-Premissas!$C$45)-(SUM($AC$5:$AC$355)+Premissas!$C$26*Premissas!$C$60)),"")</f>
        <v>1085213.40563788</v>
      </c>
      <c r="AG332" s="22" t="n">
        <f aca="false">IF($A332&gt;=Premissas!$C$18,AE332+AF332,"")</f>
        <v>1430633.36686004</v>
      </c>
      <c r="AH332" s="22" t="n">
        <f aca="false">AH331*(1+$P332)-AD332</f>
        <v>1323437.82323907</v>
      </c>
      <c r="AI332" s="22" t="n">
        <f aca="false">($A332=Premissas!$C$16)*0.2*Premissas!$C$11+AND($A332&gt;Premissas!$C$16,$A332&lt;=EDATE(Premissas!$C$16,43))*0.8*Premissas!$C$11/43*(1+Premissas!$C$56)^$C332</f>
        <v>0</v>
      </c>
      <c r="AJ332" s="22" t="n">
        <f aca="false">L332-M332-N332-AI332</f>
        <v>3763.76628374824</v>
      </c>
      <c r="AK332" s="22" t="n">
        <f aca="false">AK331+AJ332</f>
        <v>299555.475804096</v>
      </c>
      <c r="AL332" s="22" t="n">
        <f aca="false">IF($A332&gt;=Premissas!$C$18,O332*(1-Premissas!$C$45)-Premissas!$C$46*MAX(0,O332*(1-Premissas!$C$45)-(SUM($AI$5:$AI$355)+Premissas!$C$26*Premissas!$C$60)),"")</f>
        <v>1092093.07845059</v>
      </c>
      <c r="AM332" s="22" t="n">
        <f aca="false">IF($A332&gt;=Premissas!$C$18,AK332+AL332,"")</f>
        <v>1391648.55425469</v>
      </c>
      <c r="AN332" s="22" t="n">
        <f aca="false">AN331*(1+$P332)-AJ332</f>
        <v>1367316.41650452</v>
      </c>
      <c r="AO332" s="22" t="n">
        <f aca="false">V332+S332</f>
        <v>1365354.98771498</v>
      </c>
    </row>
    <row r="333" customFormat="false" ht="15" hidden="false" customHeight="false" outlineLevel="0" collapsed="false">
      <c r="A333" s="26" t="n">
        <f aca="false">DATE(YEAR(A332),MONTH(A332)+1,1)</f>
        <v>56281</v>
      </c>
      <c r="B333" s="22" t="str">
        <f aca="false">IF($A333&lt;Premissas!$C$18,"Obra",IF($A333&lt;Premissas!$C$20,"Entrega/mobília","Airbnb"))</f>
        <v>Airbnb</v>
      </c>
      <c r="C333" s="36" t="n">
        <f aca="false">(YEAR($A333)-YEAR(Premissas!$C$16))*12+MONTH($A333)-MONTH(Premissas!$C$16)</f>
        <v>328</v>
      </c>
      <c r="D333" s="33" t="n">
        <f aca="false">IF($A333&gt;=Premissas!$C$20,Premissas!$C$31*IF(((YEAR($A333)-YEAR(Premissas!$C$20))*12+MONTH($A333)-MONTH(Premissas!$C$20))&lt;Premissas!$C$33,Premissas!$C$34,1),0)</f>
        <v>0.62</v>
      </c>
      <c r="E333" s="22" t="n">
        <f aca="false">D333*Premissas!$C$30*Premissas!$C$32*(1+Premissas!$C$58)^$C333</f>
        <v>13584.1007423058</v>
      </c>
      <c r="F333" s="22" t="n">
        <f aca="false">E333*Premissas!$C$35</f>
        <v>2173.45611876892</v>
      </c>
      <c r="G333" s="22" t="n">
        <f aca="false">E333*Premissas!$C$36</f>
        <v>2716.82014846115</v>
      </c>
      <c r="H333" s="22" t="n">
        <f aca="false">IF($A333&gt;=Premissas!$C$18,Premissas!$C$37*(1+Premissas!$C$58)^$C333,0)</f>
        <v>1752.78719255558</v>
      </c>
      <c r="I333" s="22" t="n">
        <f aca="false">IF($A333&gt;=Premissas!$C$20,Premissas!$C$38*(1+Premissas!$C$58)^$C333,0)</f>
        <v>817.967356525938</v>
      </c>
      <c r="J333" s="22" t="n">
        <f aca="false">IF($A333&gt;=Premissas!$C$20,Premissas!$C$39*(1+Premissas!$C$58)^$C333,0)</f>
        <v>438.196798138895</v>
      </c>
      <c r="K333" s="22" t="n">
        <f aca="false">IF($A333&gt;=Premissas!$C$20,MAX(0,E333-F333-G333-H333)*Premissas!$C$41,0)</f>
        <v>1908.78525269303</v>
      </c>
      <c r="L333" s="22" t="n">
        <f aca="false">E333-F333-G333-H333-I333-J333-K333</f>
        <v>3776.08787516224</v>
      </c>
      <c r="M333" s="22" t="n">
        <f aca="false">($A333=Premissas!$C$18)*Premissas!$C$26*Premissas!$C$60</f>
        <v>0</v>
      </c>
      <c r="N333" s="22" t="n">
        <f aca="false">IF(AND($A333&gt;=Premissas!$C$18,$A333&lt;Premissas!$C$20),Premissas!$C$27/MAX(1,Premissas!$C$19),0)</f>
        <v>0</v>
      </c>
      <c r="O333" s="22" t="n">
        <f aca="false">IF($A333&gt;=Premissas!$C$18,Premissas!$C$60*(1+Premissas!$C$59)^((YEAR($A333)-YEAR(Premissas!$C$18))*12+MONTH($A333)-MONTH(Premissas!$C$18)),"")</f>
        <v>1306252.84231753</v>
      </c>
      <c r="P333" s="31" t="n">
        <f aca="false">(1+IF(YEAR($A333)&lt;=2026,Premissas!$C$49,IF(YEAR($A333)=2027,Premissas!$C$50,IF(YEAR($A333)=2028,Premissas!$C$51,Premissas!$C$52)))*(1-Premissas!$C$53))^(1/12)-1</f>
        <v>0.00682149336596227</v>
      </c>
      <c r="Q333" s="22" t="n">
        <f aca="false">($A333=Premissas!$C$16)*Premissas!$C$13</f>
        <v>0</v>
      </c>
      <c r="R333" s="22" t="n">
        <f aca="false">L333-M333-N333-Q333</f>
        <v>3776.08787516224</v>
      </c>
      <c r="S333" s="22" t="n">
        <f aca="false">S332+R333</f>
        <v>387744.512977344</v>
      </c>
      <c r="T333" s="22" t="n">
        <f aca="false">IF($A333&gt;=Premissas!$C$18,O333*(1-Premissas!$C$45)-Premissas!$C$46*MAX(0,O333*(1-Premissas!$C$45)-(SUM($Q$5:$Q$355)+Premissas!$C$26*Premissas!$C$60)),"")</f>
        <v>1083666.02935846</v>
      </c>
      <c r="U333" s="22" t="n">
        <f aca="false">IF($A333&gt;=Premissas!$C$18,S333+T333,"")</f>
        <v>1471410.5423358</v>
      </c>
      <c r="V333" s="22" t="n">
        <f aca="false">V332*(1+$P333)-R333</f>
        <v>984304.996663939</v>
      </c>
      <c r="W333" s="22" t="n">
        <f aca="false">($A333=Premissas!$C$16)*Premissas!$C$9</f>
        <v>0</v>
      </c>
      <c r="X333" s="22" t="n">
        <f aca="false">L333-M333-N333-W333</f>
        <v>3776.08787516224</v>
      </c>
      <c r="Y333" s="22" t="n">
        <f aca="false">Y332+X333</f>
        <v>356816.512977345</v>
      </c>
      <c r="Z333" s="22" t="n">
        <f aca="false">IF($A333&gt;=Premissas!$C$18,O333*(1-Premissas!$C$45)-Premissas!$C$46*MAX(0,O333*(1-Premissas!$C$45)-(SUM($W$5:$W$355)+Premissas!$C$26*Premissas!$C$60)),"")</f>
        <v>1088305.22935846</v>
      </c>
      <c r="AA333" s="22" t="n">
        <f aca="false">IF($A333&gt;=Premissas!$C$18,Y333+Z333,"")</f>
        <v>1445121.7423358</v>
      </c>
      <c r="AB333" s="22" t="n">
        <f aca="false">AB332*(1+$P333)-X333</f>
        <v>1281342.07636006</v>
      </c>
      <c r="AC333" s="22" t="n">
        <f aca="false">AND($A333&gt;=Premissas!$C$16,$A333&lt;EDATE(Premissas!$C$16,3))*Premissas!$C$10/3*(1+Premissas!$C$56)^$C333</f>
        <v>0</v>
      </c>
      <c r="AD333" s="22" t="n">
        <f aca="false">L333-M333-N333-AC333</f>
        <v>3776.08787516224</v>
      </c>
      <c r="AE333" s="22" t="n">
        <f aca="false">AE332+AD333</f>
        <v>349196.04909732</v>
      </c>
      <c r="AF333" s="22" t="n">
        <f aca="false">IF($A333&gt;=Premissas!$C$18,O333*(1-Premissas!$C$45)-Premissas!$C$46*MAX(0,O333*(1-Premissas!$C$45)-(SUM($AC$5:$AC$355)+Premissas!$C$26*Premissas!$C$60)),"")</f>
        <v>1089448.29894046</v>
      </c>
      <c r="AG333" s="22" t="n">
        <f aca="false">IF($A333&gt;=Premissas!$C$18,AE333+AF333,"")</f>
        <v>1438644.34803778</v>
      </c>
      <c r="AH333" s="22" t="n">
        <f aca="false">AH332*(1+$P333)-AD333</f>
        <v>1328689.5576954</v>
      </c>
      <c r="AI333" s="22" t="n">
        <f aca="false">($A333=Premissas!$C$16)*0.2*Premissas!$C$11+AND($A333&gt;Premissas!$C$16,$A333&lt;=EDATE(Premissas!$C$16,43))*0.8*Premissas!$C$11/43*(1+Premissas!$C$56)^$C333</f>
        <v>0</v>
      </c>
      <c r="AJ333" s="22" t="n">
        <f aca="false">L333-M333-N333-AI333</f>
        <v>3776.08787516224</v>
      </c>
      <c r="AK333" s="22" t="n">
        <f aca="false">AK332+AJ333</f>
        <v>303331.563679258</v>
      </c>
      <c r="AL333" s="22" t="n">
        <f aca="false">IF($A333&gt;=Premissas!$C$18,O333*(1-Premissas!$C$45)-Premissas!$C$46*MAX(0,O333*(1-Premissas!$C$45)-(SUM($AI$5:$AI$355)+Premissas!$C$26*Premissas!$C$60)),"")</f>
        <v>1096327.97175317</v>
      </c>
      <c r="AM333" s="22" t="n">
        <f aca="false">IF($A333&gt;=Premissas!$C$18,AK333+AL333,"")</f>
        <v>1399659.53543243</v>
      </c>
      <c r="AN333" s="22" t="n">
        <f aca="false">AN332*(1+$P333)-AJ333</f>
        <v>1372867.46849371</v>
      </c>
      <c r="AO333" s="22" t="n">
        <f aca="false">V333+S333</f>
        <v>1372049.50964128</v>
      </c>
    </row>
    <row r="334" customFormat="false" ht="15" hidden="false" customHeight="false" outlineLevel="0" collapsed="false">
      <c r="A334" s="26" t="n">
        <f aca="false">DATE(YEAR(A333),MONTH(A333)+1,1)</f>
        <v>56309</v>
      </c>
      <c r="B334" s="22" t="str">
        <f aca="false">IF($A334&lt;Premissas!$C$18,"Obra",IF($A334&lt;Premissas!$C$20,"Entrega/mobília","Airbnb"))</f>
        <v>Airbnb</v>
      </c>
      <c r="C334" s="36" t="n">
        <f aca="false">(YEAR($A334)-YEAR(Premissas!$C$16))*12+MONTH($A334)-MONTH(Premissas!$C$16)</f>
        <v>329</v>
      </c>
      <c r="D334" s="33" t="n">
        <f aca="false">IF($A334&gt;=Premissas!$C$20,Premissas!$C$31*IF(((YEAR($A334)-YEAR(Premissas!$C$20))*12+MONTH($A334)-MONTH(Premissas!$C$20))&lt;Premissas!$C$33,Premissas!$C$34,1),0)</f>
        <v>0.62</v>
      </c>
      <c r="E334" s="22" t="n">
        <f aca="false">D334*Premissas!$C$30*Premissas!$C$32*(1+Premissas!$C$58)^$C334</f>
        <v>13628.5715533112</v>
      </c>
      <c r="F334" s="22" t="n">
        <f aca="false">E334*Premissas!$C$35</f>
        <v>2180.5714485298</v>
      </c>
      <c r="G334" s="22" t="n">
        <f aca="false">E334*Premissas!$C$36</f>
        <v>2725.71431066225</v>
      </c>
      <c r="H334" s="22" t="n">
        <f aca="false">IF($A334&gt;=Premissas!$C$18,Premissas!$C$37*(1+Premissas!$C$58)^$C334,0)</f>
        <v>1758.52536171758</v>
      </c>
      <c r="I334" s="22" t="n">
        <f aca="false">IF($A334&gt;=Premissas!$C$20,Premissas!$C$38*(1+Premissas!$C$58)^$C334,0)</f>
        <v>820.645168801537</v>
      </c>
      <c r="J334" s="22" t="n">
        <f aca="false">IF($A334&gt;=Premissas!$C$20,Premissas!$C$39*(1+Premissas!$C$58)^$C334,0)</f>
        <v>439.631340429395</v>
      </c>
      <c r="K334" s="22" t="n">
        <f aca="false">IF($A334&gt;=Premissas!$C$20,MAX(0,E334-F334-G334-H334)*Premissas!$C$41,0)</f>
        <v>1915.03411891044</v>
      </c>
      <c r="L334" s="22" t="n">
        <f aca="false">E334-F334-G334-H334-I334-J334-K334</f>
        <v>3788.44980426024</v>
      </c>
      <c r="M334" s="22" t="n">
        <f aca="false">($A334=Premissas!$C$18)*Premissas!$C$26*Premissas!$C$60</f>
        <v>0</v>
      </c>
      <c r="N334" s="22" t="n">
        <f aca="false">IF(AND($A334&gt;=Premissas!$C$18,$A334&lt;Premissas!$C$20),Premissas!$C$27/MAX(1,Premissas!$C$19),0)</f>
        <v>0</v>
      </c>
      <c r="O334" s="22" t="n">
        <f aca="false">IF($A334&gt;=Premissas!$C$18,Premissas!$C$60*(1+Premissas!$C$59)^((YEAR($A334)-YEAR(Premissas!$C$18))*12+MONTH($A334)-MONTH(Premissas!$C$18)),"")</f>
        <v>1311574.67808988</v>
      </c>
      <c r="P334" s="31" t="n">
        <f aca="false">(1+IF(YEAR($A334)&lt;=2026,Premissas!$C$49,IF(YEAR($A334)=2027,Premissas!$C$50,IF(YEAR($A334)=2028,Premissas!$C$51,Premissas!$C$52)))*(1-Premissas!$C$53))^(1/12)-1</f>
        <v>0.00682149336596227</v>
      </c>
      <c r="Q334" s="22" t="n">
        <f aca="false">($A334=Premissas!$C$16)*Premissas!$C$13</f>
        <v>0</v>
      </c>
      <c r="R334" s="22" t="n">
        <f aca="false">L334-M334-N334-Q334</f>
        <v>3788.44980426024</v>
      </c>
      <c r="S334" s="22" t="n">
        <f aca="false">S333+R334</f>
        <v>391532.962781605</v>
      </c>
      <c r="T334" s="22" t="n">
        <f aca="false">IF($A334&gt;=Premissas!$C$18,O334*(1-Premissas!$C$45)-Premissas!$C$46*MAX(0,O334*(1-Premissas!$C$45)-(SUM($Q$5:$Q$355)+Premissas!$C$26*Premissas!$C$60)),"")</f>
        <v>1087918.17614056</v>
      </c>
      <c r="U334" s="22" t="n">
        <f aca="false">IF($A334&gt;=Premissas!$C$18,S334+T334,"")</f>
        <v>1479451.13892216</v>
      </c>
      <c r="V334" s="22" t="n">
        <f aca="false">V333*(1+$P334)-R334</f>
        <v>987230.976864505</v>
      </c>
      <c r="W334" s="22" t="n">
        <f aca="false">($A334=Premissas!$C$16)*Premissas!$C$9</f>
        <v>0</v>
      </c>
      <c r="X334" s="22" t="n">
        <f aca="false">L334-M334-N334-W334</f>
        <v>3788.44980426024</v>
      </c>
      <c r="Y334" s="22" t="n">
        <f aca="false">Y333+X334</f>
        <v>360604.962781605</v>
      </c>
      <c r="Z334" s="22" t="n">
        <f aca="false">IF($A334&gt;=Premissas!$C$18,O334*(1-Premissas!$C$45)-Premissas!$C$46*MAX(0,O334*(1-Premissas!$C$45)-(SUM($W$5:$W$355)+Premissas!$C$26*Premissas!$C$60)),"")</f>
        <v>1092557.37614056</v>
      </c>
      <c r="AA334" s="22" t="n">
        <f aca="false">IF($A334&gt;=Premissas!$C$18,Y334+Z334,"")</f>
        <v>1453162.33892216</v>
      </c>
      <c r="AB334" s="22" t="n">
        <f aca="false">AB333*(1+$P334)-X334</f>
        <v>1286294.29302922</v>
      </c>
      <c r="AC334" s="22" t="n">
        <f aca="false">AND($A334&gt;=Premissas!$C$16,$A334&lt;EDATE(Premissas!$C$16,3))*Premissas!$C$10/3*(1+Premissas!$C$56)^$C334</f>
        <v>0</v>
      </c>
      <c r="AD334" s="22" t="n">
        <f aca="false">L334-M334-N334-AC334</f>
        <v>3788.44980426024</v>
      </c>
      <c r="AE334" s="22" t="n">
        <f aca="false">AE333+AD334</f>
        <v>352984.49890158</v>
      </c>
      <c r="AF334" s="22" t="n">
        <f aca="false">IF($A334&gt;=Premissas!$C$18,O334*(1-Premissas!$C$45)-Premissas!$C$46*MAX(0,O334*(1-Premissas!$C$45)-(SUM($AC$5:$AC$355)+Premissas!$C$26*Premissas!$C$60)),"")</f>
        <v>1093700.44572256</v>
      </c>
      <c r="AG334" s="22" t="n">
        <f aca="false">IF($A334&gt;=Premissas!$C$18,AE334+AF334,"")</f>
        <v>1446684.94462414</v>
      </c>
      <c r="AH334" s="22" t="n">
        <f aca="false">AH333*(1+$P334)-AD334</f>
        <v>1333964.75489438</v>
      </c>
      <c r="AI334" s="22" t="n">
        <f aca="false">($A334=Premissas!$C$16)*0.2*Premissas!$C$11+AND($A334&gt;Premissas!$C$16,$A334&lt;=EDATE(Premissas!$C$16,43))*0.8*Premissas!$C$11/43*(1+Premissas!$C$56)^$C334</f>
        <v>0</v>
      </c>
      <c r="AJ334" s="22" t="n">
        <f aca="false">L334-M334-N334-AI334</f>
        <v>3788.44980426024</v>
      </c>
      <c r="AK334" s="22" t="n">
        <f aca="false">AK333+AJ334</f>
        <v>307120.013483518</v>
      </c>
      <c r="AL334" s="22" t="n">
        <f aca="false">IF($A334&gt;=Premissas!$C$18,O334*(1-Premissas!$C$45)-Premissas!$C$46*MAX(0,O334*(1-Premissas!$C$45)-(SUM($AI$5:$AI$355)+Premissas!$C$26*Premissas!$C$60)),"")</f>
        <v>1100580.11853527</v>
      </c>
      <c r="AM334" s="22" t="n">
        <f aca="false">IF($A334&gt;=Premissas!$C$18,AK334+AL334,"")</f>
        <v>1407700.13201879</v>
      </c>
      <c r="AN334" s="22" t="n">
        <f aca="false">AN333*(1+$P334)-AJ334</f>
        <v>1378444.02501813</v>
      </c>
      <c r="AO334" s="22" t="n">
        <f aca="false">V334+S334</f>
        <v>1378763.93964611</v>
      </c>
    </row>
    <row r="335" customFormat="false" ht="15" hidden="false" customHeight="false" outlineLevel="0" collapsed="false">
      <c r="A335" s="26" t="n">
        <f aca="false">DATE(YEAR(A334),MONTH(A334)+1,1)</f>
        <v>56340</v>
      </c>
      <c r="B335" s="22" t="str">
        <f aca="false">IF($A335&lt;Premissas!$C$18,"Obra",IF($A335&lt;Premissas!$C$20,"Entrega/mobília","Airbnb"))</f>
        <v>Airbnb</v>
      </c>
      <c r="C335" s="36" t="n">
        <f aca="false">(YEAR($A335)-YEAR(Premissas!$C$16))*12+MONTH($A335)-MONTH(Premissas!$C$16)</f>
        <v>330</v>
      </c>
      <c r="D335" s="33" t="n">
        <f aca="false">IF($A335&gt;=Premissas!$C$20,Premissas!$C$31*IF(((YEAR($A335)-YEAR(Premissas!$C$20))*12+MONTH($A335)-MONTH(Premissas!$C$20))&lt;Premissas!$C$33,Premissas!$C$34,1),0)</f>
        <v>0.62</v>
      </c>
      <c r="E335" s="22" t="n">
        <f aca="false">D335*Premissas!$C$30*Premissas!$C$32*(1+Premissas!$C$58)^$C335</f>
        <v>13673.1879501799</v>
      </c>
      <c r="F335" s="22" t="n">
        <f aca="false">E335*Premissas!$C$35</f>
        <v>2187.71007202878</v>
      </c>
      <c r="G335" s="22" t="n">
        <f aca="false">E335*Premissas!$C$36</f>
        <v>2734.63759003597</v>
      </c>
      <c r="H335" s="22" t="n">
        <f aca="false">IF($A335&gt;=Premissas!$C$18,Premissas!$C$37*(1+Premissas!$C$58)^$C335,0)</f>
        <v>1764.28231615224</v>
      </c>
      <c r="I335" s="22" t="n">
        <f aca="false">IF($A335&gt;=Premissas!$C$20,Premissas!$C$38*(1+Premissas!$C$58)^$C335,0)</f>
        <v>823.331747537712</v>
      </c>
      <c r="J335" s="22" t="n">
        <f aca="false">IF($A335&gt;=Premissas!$C$20,Premissas!$C$39*(1+Premissas!$C$58)^$C335,0)</f>
        <v>441.07057903806</v>
      </c>
      <c r="K335" s="22" t="n">
        <f aca="false">IF($A335&gt;=Premissas!$C$20,MAX(0,E335-F335-G335-H335)*Premissas!$C$41,0)</f>
        <v>1921.30344228979</v>
      </c>
      <c r="L335" s="22" t="n">
        <f aca="false">E335-F335-G335-H335-I335-J335-K335</f>
        <v>3800.85220309731</v>
      </c>
      <c r="M335" s="22" t="n">
        <f aca="false">($A335=Premissas!$C$18)*Premissas!$C$26*Premissas!$C$60</f>
        <v>0</v>
      </c>
      <c r="N335" s="22" t="n">
        <f aca="false">IF(AND($A335&gt;=Premissas!$C$18,$A335&lt;Premissas!$C$20),Premissas!$C$27/MAX(1,Premissas!$C$19),0)</f>
        <v>0</v>
      </c>
      <c r="O335" s="22" t="n">
        <f aca="false">IF($A335&gt;=Premissas!$C$18,Premissas!$C$60*(1+Premissas!$C$59)^((YEAR($A335)-YEAR(Premissas!$C$18))*12+MONTH($A335)-MONTH(Premissas!$C$18)),"")</f>
        <v>1316918.19567992</v>
      </c>
      <c r="P335" s="31" t="n">
        <f aca="false">(1+IF(YEAR($A335)&lt;=2026,Premissas!$C$49,IF(YEAR($A335)=2027,Premissas!$C$50,IF(YEAR($A335)=2028,Premissas!$C$51,Premissas!$C$52)))*(1-Premissas!$C$53))^(1/12)-1</f>
        <v>0.00682149336596227</v>
      </c>
      <c r="Q335" s="22" t="n">
        <f aca="false">($A335=Premissas!$C$16)*Premissas!$C$13</f>
        <v>0</v>
      </c>
      <c r="R335" s="22" t="n">
        <f aca="false">L335-M335-N335-Q335</f>
        <v>3800.85220309731</v>
      </c>
      <c r="S335" s="22" t="n">
        <f aca="false">S334+R335</f>
        <v>395333.814984702</v>
      </c>
      <c r="T335" s="22" t="n">
        <f aca="false">IF($A335&gt;=Premissas!$C$18,O335*(1-Premissas!$C$45)-Premissas!$C$46*MAX(0,O335*(1-Premissas!$C$45)-(SUM($Q$5:$Q$355)+Premissas!$C$26*Premissas!$C$60)),"")</f>
        <v>1092187.646695</v>
      </c>
      <c r="U335" s="22" t="n">
        <f aca="false">IF($A335&gt;=Premissas!$C$18,S335+T335,"")</f>
        <v>1487521.4616797</v>
      </c>
      <c r="V335" s="22" t="n">
        <f aca="false">V334*(1+$P335)-R335</f>
        <v>990164.514220762</v>
      </c>
      <c r="W335" s="22" t="n">
        <f aca="false">($A335=Premissas!$C$16)*Premissas!$C$9</f>
        <v>0</v>
      </c>
      <c r="X335" s="22" t="n">
        <f aca="false">L335-M335-N335-W335</f>
        <v>3800.85220309731</v>
      </c>
      <c r="Y335" s="22" t="n">
        <f aca="false">Y334+X335</f>
        <v>364405.814984702</v>
      </c>
      <c r="Z335" s="22" t="n">
        <f aca="false">IF($A335&gt;=Premissas!$C$18,O335*(1-Premissas!$C$45)-Premissas!$C$46*MAX(0,O335*(1-Premissas!$C$45)-(SUM($W$5:$W$355)+Premissas!$C$26*Premissas!$C$60)),"")</f>
        <v>1096826.846695</v>
      </c>
      <c r="AA335" s="22" t="n">
        <f aca="false">IF($A335&gt;=Premissas!$C$18,Y335+Z335,"")</f>
        <v>1461232.6616797</v>
      </c>
      <c r="AB335" s="22" t="n">
        <f aca="false">AB334*(1+$P335)-X335</f>
        <v>1291267.8888127</v>
      </c>
      <c r="AC335" s="22" t="n">
        <f aca="false">AND($A335&gt;=Premissas!$C$16,$A335&lt;EDATE(Premissas!$C$16,3))*Premissas!$C$10/3*(1+Premissas!$C$56)^$C335</f>
        <v>0</v>
      </c>
      <c r="AD335" s="22" t="n">
        <f aca="false">L335-M335-N335-AC335</f>
        <v>3800.85220309731</v>
      </c>
      <c r="AE335" s="22" t="n">
        <f aca="false">AE334+AD335</f>
        <v>356785.351104677</v>
      </c>
      <c r="AF335" s="22" t="n">
        <f aca="false">IF($A335&gt;=Premissas!$C$18,O335*(1-Premissas!$C$45)-Premissas!$C$46*MAX(0,O335*(1-Premissas!$C$45)-(SUM($AC$5:$AC$355)+Premissas!$C$26*Premissas!$C$60)),"")</f>
        <v>1097969.916277</v>
      </c>
      <c r="AG335" s="22" t="n">
        <f aca="false">IF($A335&gt;=Premissas!$C$18,AE335+AF335,"")</f>
        <v>1454755.26738168</v>
      </c>
      <c r="AH335" s="22" t="n">
        <f aca="false">AH334*(1+$P335)-AD335</f>
        <v>1339263.53441722</v>
      </c>
      <c r="AI335" s="22" t="n">
        <f aca="false">($A335=Premissas!$C$16)*0.2*Premissas!$C$11+AND($A335&gt;Premissas!$C$16,$A335&lt;=EDATE(Premissas!$C$16,43))*0.8*Premissas!$C$11/43*(1+Premissas!$C$56)^$C335</f>
        <v>0</v>
      </c>
      <c r="AJ335" s="22" t="n">
        <f aca="false">L335-M335-N335-AI335</f>
        <v>3800.85220309731</v>
      </c>
      <c r="AK335" s="22" t="n">
        <f aca="false">AK334+AJ335</f>
        <v>310920.865686615</v>
      </c>
      <c r="AL335" s="22" t="n">
        <f aca="false">IF($A335&gt;=Premissas!$C$18,O335*(1-Premissas!$C$45)-Premissas!$C$46*MAX(0,O335*(1-Premissas!$C$45)-(SUM($AI$5:$AI$355)+Premissas!$C$26*Premissas!$C$60)),"")</f>
        <v>1104849.58908971</v>
      </c>
      <c r="AM335" s="22" t="n">
        <f aca="false">IF($A335&gt;=Premissas!$C$18,AK335+AL335,"")</f>
        <v>1415770.45477633</v>
      </c>
      <c r="AN335" s="22" t="n">
        <f aca="false">AN334*(1+$P335)-AJ335</f>
        <v>1384046.21958704</v>
      </c>
      <c r="AO335" s="22" t="n">
        <f aca="false">V335+S335</f>
        <v>1385498.32920546</v>
      </c>
    </row>
    <row r="336" customFormat="false" ht="15" hidden="false" customHeight="false" outlineLevel="0" collapsed="false">
      <c r="A336" s="26" t="n">
        <f aca="false">DATE(YEAR(A335),MONTH(A335)+1,1)</f>
        <v>56370</v>
      </c>
      <c r="B336" s="22" t="str">
        <f aca="false">IF($A336&lt;Premissas!$C$18,"Obra",IF($A336&lt;Premissas!$C$20,"Entrega/mobília","Airbnb"))</f>
        <v>Airbnb</v>
      </c>
      <c r="C336" s="36" t="n">
        <f aca="false">(YEAR($A336)-YEAR(Premissas!$C$16))*12+MONTH($A336)-MONTH(Premissas!$C$16)</f>
        <v>331</v>
      </c>
      <c r="D336" s="33" t="n">
        <f aca="false">IF($A336&gt;=Premissas!$C$20,Premissas!$C$31*IF(((YEAR($A336)-YEAR(Premissas!$C$20))*12+MONTH($A336)-MONTH(Premissas!$C$20))&lt;Premissas!$C$33,Premissas!$C$34,1),0)</f>
        <v>0.62</v>
      </c>
      <c r="E336" s="22" t="n">
        <f aca="false">D336*Premissas!$C$30*Premissas!$C$32*(1+Premissas!$C$58)^$C336</f>
        <v>13717.9504095218</v>
      </c>
      <c r="F336" s="22" t="n">
        <f aca="false">E336*Premissas!$C$35</f>
        <v>2194.8720655235</v>
      </c>
      <c r="G336" s="22" t="n">
        <f aca="false">E336*Premissas!$C$36</f>
        <v>2743.59008190437</v>
      </c>
      <c r="H336" s="22" t="n">
        <f aca="false">IF($A336&gt;=Premissas!$C$18,Premissas!$C$37*(1+Premissas!$C$58)^$C336,0)</f>
        <v>1770.05811735766</v>
      </c>
      <c r="I336" s="22" t="n">
        <f aca="false">IF($A336&gt;=Premissas!$C$20,Premissas!$C$38*(1+Premissas!$C$58)^$C336,0)</f>
        <v>826.027121433574</v>
      </c>
      <c r="J336" s="22" t="n">
        <f aca="false">IF($A336&gt;=Premissas!$C$20,Premissas!$C$39*(1+Premissas!$C$58)^$C336,0)</f>
        <v>442.514529339414</v>
      </c>
      <c r="K336" s="22" t="n">
        <f aca="false">IF($A336&gt;=Premissas!$C$20,MAX(0,E336-F336-G336-H336)*Premissas!$C$41,0)</f>
        <v>1927.59328980249</v>
      </c>
      <c r="L336" s="22" t="n">
        <f aca="false">E336-F336-G336-H336-I336-J336-K336</f>
        <v>3813.29520416085</v>
      </c>
      <c r="M336" s="22" t="n">
        <f aca="false">($A336=Premissas!$C$18)*Premissas!$C$26*Premissas!$C$60</f>
        <v>0</v>
      </c>
      <c r="N336" s="22" t="n">
        <f aca="false">IF(AND($A336&gt;=Premissas!$C$18,$A336&lt;Premissas!$C$20),Premissas!$C$27/MAX(1,Premissas!$C$19),0)</f>
        <v>0</v>
      </c>
      <c r="O336" s="22" t="n">
        <f aca="false">IF($A336&gt;=Premissas!$C$18,Premissas!$C$60*(1+Premissas!$C$59)^((YEAR($A336)-YEAR(Premissas!$C$18))*12+MONTH($A336)-MONTH(Premissas!$C$18)),"")</f>
        <v>1322283.48342205</v>
      </c>
      <c r="P336" s="31" t="n">
        <f aca="false">(1+IF(YEAR($A336)&lt;=2026,Premissas!$C$49,IF(YEAR($A336)=2027,Premissas!$C$50,IF(YEAR($A336)=2028,Premissas!$C$51,Premissas!$C$52)))*(1-Premissas!$C$53))^(1/12)-1</f>
        <v>0.00682149336596227</v>
      </c>
      <c r="Q336" s="22" t="n">
        <f aca="false">($A336=Premissas!$C$16)*Premissas!$C$13</f>
        <v>0</v>
      </c>
      <c r="R336" s="22" t="n">
        <f aca="false">L336-M336-N336-Q336</f>
        <v>3813.29520416085</v>
      </c>
      <c r="S336" s="22" t="n">
        <f aca="false">S335+R336</f>
        <v>399147.110188863</v>
      </c>
      <c r="T336" s="22" t="n">
        <f aca="false">IF($A336&gt;=Premissas!$C$18,O336*(1-Premissas!$C$45)-Premissas!$C$46*MAX(0,O336*(1-Premissas!$C$45)-(SUM($Q$5:$Q$355)+Premissas!$C$26*Premissas!$C$60)),"")</f>
        <v>1096474.51160097</v>
      </c>
      <c r="U336" s="22" t="n">
        <f aca="false">IF($A336&gt;=Premissas!$C$18,S336+T336,"")</f>
        <v>1495621.62178983</v>
      </c>
      <c r="V336" s="22" t="n">
        <f aca="false">V335*(1+$P336)-R336</f>
        <v>993105.619681569</v>
      </c>
      <c r="W336" s="22" t="n">
        <f aca="false">($A336=Premissas!$C$16)*Premissas!$C$9</f>
        <v>0</v>
      </c>
      <c r="X336" s="22" t="n">
        <f aca="false">L336-M336-N336-W336</f>
        <v>3813.29520416085</v>
      </c>
      <c r="Y336" s="22" t="n">
        <f aca="false">Y335+X336</f>
        <v>368219.110188863</v>
      </c>
      <c r="Z336" s="22" t="n">
        <f aca="false">IF($A336&gt;=Premissas!$C$18,O336*(1-Premissas!$C$45)-Premissas!$C$46*MAX(0,O336*(1-Premissas!$C$45)-(SUM($W$5:$W$355)+Premissas!$C$26*Premissas!$C$60)),"")</f>
        <v>1101113.71160097</v>
      </c>
      <c r="AA336" s="22" t="n">
        <f aca="false">IF($A336&gt;=Premissas!$C$18,Y336+Z336,"")</f>
        <v>1469332.82178983</v>
      </c>
      <c r="AB336" s="22" t="n">
        <f aca="false">AB335*(1+$P336)-X336</f>
        <v>1296262.96894575</v>
      </c>
      <c r="AC336" s="22" t="n">
        <f aca="false">AND($A336&gt;=Premissas!$C$16,$A336&lt;EDATE(Premissas!$C$16,3))*Premissas!$C$10/3*(1+Premissas!$C$56)^$C336</f>
        <v>0</v>
      </c>
      <c r="AD336" s="22" t="n">
        <f aca="false">L336-M336-N336-AC336</f>
        <v>3813.29520416085</v>
      </c>
      <c r="AE336" s="22" t="n">
        <f aca="false">AE335+AD336</f>
        <v>360598.646308838</v>
      </c>
      <c r="AF336" s="22" t="n">
        <f aca="false">IF($A336&gt;=Premissas!$C$18,O336*(1-Premissas!$C$45)-Premissas!$C$46*MAX(0,O336*(1-Premissas!$C$45)-(SUM($AC$5:$AC$355)+Premissas!$C$26*Premissas!$C$60)),"")</f>
        <v>1102256.78118297</v>
      </c>
      <c r="AG336" s="22" t="n">
        <f aca="false">IF($A336&gt;=Premissas!$C$18,AE336+AF336,"")</f>
        <v>1462855.42749181</v>
      </c>
      <c r="AH336" s="22" t="n">
        <f aca="false">AH335*(1+$P336)-AD336</f>
        <v>1344586.01652837</v>
      </c>
      <c r="AI336" s="22" t="n">
        <f aca="false">($A336=Premissas!$C$16)*0.2*Premissas!$C$11+AND($A336&gt;Premissas!$C$16,$A336&lt;=EDATE(Premissas!$C$16,43))*0.8*Premissas!$C$11/43*(1+Premissas!$C$56)^$C336</f>
        <v>0</v>
      </c>
      <c r="AJ336" s="22" t="n">
        <f aca="false">L336-M336-N336-AI336</f>
        <v>3813.29520416085</v>
      </c>
      <c r="AK336" s="22" t="n">
        <f aca="false">AK335+AJ336</f>
        <v>314734.160890776</v>
      </c>
      <c r="AL336" s="22" t="n">
        <f aca="false">IF($A336&gt;=Premissas!$C$18,O336*(1-Premissas!$C$45)-Premissas!$C$46*MAX(0,O336*(1-Premissas!$C$45)-(SUM($AI$5:$AI$355)+Premissas!$C$26*Premissas!$C$60)),"")</f>
        <v>1109136.45399568</v>
      </c>
      <c r="AM336" s="22" t="n">
        <f aca="false">IF($A336&gt;=Premissas!$C$18,AK336+AL336,"")</f>
        <v>1423870.61488646</v>
      </c>
      <c r="AN336" s="22" t="n">
        <f aca="false">AN335*(1+$P336)-AJ336</f>
        <v>1389674.18648798</v>
      </c>
      <c r="AO336" s="22" t="n">
        <f aca="false">V336+S336</f>
        <v>1392252.72987043</v>
      </c>
    </row>
    <row r="337" customFormat="false" ht="15" hidden="false" customHeight="false" outlineLevel="0" collapsed="false">
      <c r="A337" s="26" t="n">
        <f aca="false">DATE(YEAR(A336),MONTH(A336)+1,1)</f>
        <v>56401</v>
      </c>
      <c r="B337" s="22" t="str">
        <f aca="false">IF($A337&lt;Premissas!$C$18,"Obra",IF($A337&lt;Premissas!$C$20,"Entrega/mobília","Airbnb"))</f>
        <v>Airbnb</v>
      </c>
      <c r="C337" s="36" t="n">
        <f aca="false">(YEAR($A337)-YEAR(Premissas!$C$16))*12+MONTH($A337)-MONTH(Premissas!$C$16)</f>
        <v>332</v>
      </c>
      <c r="D337" s="33" t="n">
        <f aca="false">IF($A337&gt;=Premissas!$C$20,Premissas!$C$31*IF(((YEAR($A337)-YEAR(Premissas!$C$20))*12+MONTH($A337)-MONTH(Premissas!$C$20))&lt;Premissas!$C$33,Premissas!$C$34,1),0)</f>
        <v>0.62</v>
      </c>
      <c r="E337" s="22" t="n">
        <f aca="false">D337*Premissas!$C$30*Premissas!$C$32*(1+Premissas!$C$58)^$C337</f>
        <v>13762.8594095077</v>
      </c>
      <c r="F337" s="22" t="n">
        <f aca="false">E337*Premissas!$C$35</f>
        <v>2202.05750552124</v>
      </c>
      <c r="G337" s="22" t="n">
        <f aca="false">E337*Premissas!$C$36</f>
        <v>2752.57188190155</v>
      </c>
      <c r="H337" s="22" t="n">
        <f aca="false">IF($A337&gt;=Premissas!$C$18,Premissas!$C$37*(1+Premissas!$C$58)^$C337,0)</f>
        <v>1775.85282703326</v>
      </c>
      <c r="I337" s="22" t="n">
        <f aca="false">IF($A337&gt;=Premissas!$C$20,Premissas!$C$38*(1+Premissas!$C$58)^$C337,0)</f>
        <v>828.731319282186</v>
      </c>
      <c r="J337" s="22" t="n">
        <f aca="false">IF($A337&gt;=Premissas!$C$20,Premissas!$C$39*(1+Premissas!$C$58)^$C337,0)</f>
        <v>443.963206758314</v>
      </c>
      <c r="K337" s="22" t="n">
        <f aca="false">IF($A337&gt;=Premissas!$C$20,MAX(0,E337-F337-G337-H337)*Premissas!$C$41,0)</f>
        <v>1933.90372863922</v>
      </c>
      <c r="L337" s="22" t="n">
        <f aca="false">E337-F337-G337-H337-I337-J337-K337</f>
        <v>3825.77894037198</v>
      </c>
      <c r="M337" s="22" t="n">
        <f aca="false">($A337=Premissas!$C$18)*Premissas!$C$26*Premissas!$C$60</f>
        <v>0</v>
      </c>
      <c r="N337" s="22" t="n">
        <f aca="false">IF(AND($A337&gt;=Premissas!$C$18,$A337&lt;Premissas!$C$20),Premissas!$C$27/MAX(1,Premissas!$C$19),0)</f>
        <v>0</v>
      </c>
      <c r="O337" s="22" t="n">
        <f aca="false">IF($A337&gt;=Premissas!$C$18,Premissas!$C$60*(1+Premissas!$C$59)^((YEAR($A337)-YEAR(Premissas!$C$18))*12+MONTH($A337)-MONTH(Premissas!$C$18)),"")</f>
        <v>1327670.63001059</v>
      </c>
      <c r="P337" s="31" t="n">
        <f aca="false">(1+IF(YEAR($A337)&lt;=2026,Premissas!$C$49,IF(YEAR($A337)=2027,Premissas!$C$50,IF(YEAR($A337)=2028,Premissas!$C$51,Premissas!$C$52)))*(1-Premissas!$C$53))^(1/12)-1</f>
        <v>0.00682149336596227</v>
      </c>
      <c r="Q337" s="22" t="n">
        <f aca="false">($A337=Premissas!$C$16)*Premissas!$C$13</f>
        <v>0</v>
      </c>
      <c r="R337" s="22" t="n">
        <f aca="false">L337-M337-N337-Q337</f>
        <v>3825.77894037198</v>
      </c>
      <c r="S337" s="22" t="n">
        <f aca="false">S336+R337</f>
        <v>402972.889129235</v>
      </c>
      <c r="T337" s="22" t="n">
        <f aca="false">IF($A337&gt;=Premissas!$C$18,O337*(1-Premissas!$C$45)-Premissas!$C$46*MAX(0,O337*(1-Premissas!$C$45)-(SUM($Q$5:$Q$355)+Premissas!$C$26*Premissas!$C$60)),"")</f>
        <v>1100778.84172521</v>
      </c>
      <c r="U337" s="22" t="n">
        <f aca="false">IF($A337&gt;=Premissas!$C$18,S337+T337,"")</f>
        <v>1503751.73085444</v>
      </c>
      <c r="V337" s="22" t="n">
        <f aca="false">V336*(1+$P337)-R337</f>
        <v>996054.304137555</v>
      </c>
      <c r="W337" s="22" t="n">
        <f aca="false">($A337=Premissas!$C$16)*Premissas!$C$9</f>
        <v>0</v>
      </c>
      <c r="X337" s="22" t="n">
        <f aca="false">L337-M337-N337-W337</f>
        <v>3825.77894037198</v>
      </c>
      <c r="Y337" s="22" t="n">
        <f aca="false">Y336+X337</f>
        <v>372044.889129235</v>
      </c>
      <c r="Z337" s="22" t="n">
        <f aca="false">IF($A337&gt;=Premissas!$C$18,O337*(1-Premissas!$C$45)-Premissas!$C$46*MAX(0,O337*(1-Premissas!$C$45)-(SUM($W$5:$W$355)+Premissas!$C$26*Premissas!$C$60)),"")</f>
        <v>1105418.04172521</v>
      </c>
      <c r="AA337" s="22" t="n">
        <f aca="false">IF($A337&gt;=Premissas!$C$18,Y337+Z337,"")</f>
        <v>1477462.93085444</v>
      </c>
      <c r="AB337" s="22" t="n">
        <f aca="false">AB336*(1+$P337)-X337</f>
        <v>1301279.63924859</v>
      </c>
      <c r="AC337" s="22" t="n">
        <f aca="false">AND($A337&gt;=Premissas!$C$16,$A337&lt;EDATE(Premissas!$C$16,3))*Premissas!$C$10/3*(1+Premissas!$C$56)^$C337</f>
        <v>0</v>
      </c>
      <c r="AD337" s="22" t="n">
        <f aca="false">L337-M337-N337-AC337</f>
        <v>3825.77894037198</v>
      </c>
      <c r="AE337" s="22" t="n">
        <f aca="false">AE336+AD337</f>
        <v>364424.42524921</v>
      </c>
      <c r="AF337" s="22" t="n">
        <f aca="false">IF($A337&gt;=Premissas!$C$18,O337*(1-Premissas!$C$45)-Premissas!$C$46*MAX(0,O337*(1-Premissas!$C$45)-(SUM($AC$5:$AC$355)+Premissas!$C$26*Premissas!$C$60)),"")</f>
        <v>1106561.11130721</v>
      </c>
      <c r="AG337" s="22" t="n">
        <f aca="false">IF($A337&gt;=Premissas!$C$18,AE337+AF337,"")</f>
        <v>1470985.53655642</v>
      </c>
      <c r="AH337" s="22" t="n">
        <f aca="false">AH336*(1+$P337)-AD337</f>
        <v>1349932.32217971</v>
      </c>
      <c r="AI337" s="22" t="n">
        <f aca="false">($A337=Premissas!$C$16)*0.2*Premissas!$C$11+AND($A337&gt;Premissas!$C$16,$A337&lt;=EDATE(Premissas!$C$16,43))*0.8*Premissas!$C$11/43*(1+Premissas!$C$56)^$C337</f>
        <v>0</v>
      </c>
      <c r="AJ337" s="22" t="n">
        <f aca="false">L337-M337-N337-AI337</f>
        <v>3825.77894037198</v>
      </c>
      <c r="AK337" s="22" t="n">
        <f aca="false">AK336+AJ337</f>
        <v>318559.939831148</v>
      </c>
      <c r="AL337" s="22" t="n">
        <f aca="false">IF($A337&gt;=Premissas!$C$18,O337*(1-Premissas!$C$45)-Premissas!$C$46*MAX(0,O337*(1-Premissas!$C$45)-(SUM($AI$5:$AI$355)+Premissas!$C$26*Premissas!$C$60)),"")</f>
        <v>1113440.78411992</v>
      </c>
      <c r="AM337" s="22" t="n">
        <f aca="false">IF($A337&gt;=Premissas!$C$18,AK337+AL337,"")</f>
        <v>1432000.72395107</v>
      </c>
      <c r="AN337" s="22" t="n">
        <f aca="false">AN336*(1+$P337)-AJ337</f>
        <v>1395328.06079159</v>
      </c>
      <c r="AO337" s="22" t="n">
        <f aca="false">V337+S337</f>
        <v>1399027.19326679</v>
      </c>
    </row>
    <row r="338" customFormat="false" ht="15" hidden="false" customHeight="false" outlineLevel="0" collapsed="false">
      <c r="A338" s="26" t="n">
        <f aca="false">DATE(YEAR(A337),MONTH(A337)+1,1)</f>
        <v>56431</v>
      </c>
      <c r="B338" s="22" t="str">
        <f aca="false">IF($A338&lt;Premissas!$C$18,"Obra",IF($A338&lt;Premissas!$C$20,"Entrega/mobília","Airbnb"))</f>
        <v>Airbnb</v>
      </c>
      <c r="C338" s="36" t="n">
        <f aca="false">(YEAR($A338)-YEAR(Premissas!$C$16))*12+MONTH($A338)-MONTH(Premissas!$C$16)</f>
        <v>333</v>
      </c>
      <c r="D338" s="33" t="n">
        <f aca="false">IF($A338&gt;=Premissas!$C$20,Premissas!$C$31*IF(((YEAR($A338)-YEAR(Premissas!$C$20))*12+MONTH($A338)-MONTH(Premissas!$C$20))&lt;Premissas!$C$33,Premissas!$C$34,1),0)</f>
        <v>0.62</v>
      </c>
      <c r="E338" s="22" t="n">
        <f aca="false">D338*Premissas!$C$30*Premissas!$C$32*(1+Premissas!$C$58)^$C338</f>
        <v>13807.9154298734</v>
      </c>
      <c r="F338" s="22" t="n">
        <f aca="false">E338*Premissas!$C$35</f>
        <v>2209.26646877975</v>
      </c>
      <c r="G338" s="22" t="n">
        <f aca="false">E338*Premissas!$C$36</f>
        <v>2761.58308597469</v>
      </c>
      <c r="H338" s="22" t="n">
        <f aca="false">IF($A338&gt;=Premissas!$C$18,Premissas!$C$37*(1+Premissas!$C$58)^$C338,0)</f>
        <v>1781.66650708044</v>
      </c>
      <c r="I338" s="22" t="n">
        <f aca="false">IF($A338&gt;=Premissas!$C$20,Premissas!$C$38*(1+Premissas!$C$58)^$C338,0)</f>
        <v>831.444369970874</v>
      </c>
      <c r="J338" s="22" t="n">
        <f aca="false">IF($A338&gt;=Premissas!$C$20,Premissas!$C$39*(1+Premissas!$C$58)^$C338,0)</f>
        <v>445.416626770111</v>
      </c>
      <c r="K338" s="22" t="n">
        <f aca="false">IF($A338&gt;=Premissas!$C$20,MAX(0,E338-F338-G338-H338)*Premissas!$C$41,0)</f>
        <v>1940.2348262106</v>
      </c>
      <c r="L338" s="22" t="n">
        <f aca="false">E338-F338-G338-H338-I338-J338-K338</f>
        <v>3838.30354508697</v>
      </c>
      <c r="M338" s="22" t="n">
        <f aca="false">($A338=Premissas!$C$18)*Premissas!$C$26*Premissas!$C$60</f>
        <v>0</v>
      </c>
      <c r="N338" s="22" t="n">
        <f aca="false">IF(AND($A338&gt;=Premissas!$C$18,$A338&lt;Premissas!$C$20),Premissas!$C$27/MAX(1,Premissas!$C$19),0)</f>
        <v>0</v>
      </c>
      <c r="O338" s="22" t="n">
        <f aca="false">IF($A338&gt;=Premissas!$C$18,Premissas!$C$60*(1+Premissas!$C$59)^((YEAR($A338)-YEAR(Premissas!$C$18))*12+MONTH($A338)-MONTH(Premissas!$C$18)),"")</f>
        <v>1333079.72450117</v>
      </c>
      <c r="P338" s="31" t="n">
        <f aca="false">(1+IF(YEAR($A338)&lt;=2026,Premissas!$C$49,IF(YEAR($A338)=2027,Premissas!$C$50,IF(YEAR($A338)=2028,Premissas!$C$51,Premissas!$C$52)))*(1-Premissas!$C$53))^(1/12)-1</f>
        <v>0.00682149336596227</v>
      </c>
      <c r="Q338" s="22" t="n">
        <f aca="false">($A338=Premissas!$C$16)*Premissas!$C$13</f>
        <v>0</v>
      </c>
      <c r="R338" s="22" t="n">
        <f aca="false">L338-M338-N338-Q338</f>
        <v>3838.30354508697</v>
      </c>
      <c r="S338" s="22" t="n">
        <f aca="false">S337+R338</f>
        <v>406811.192674322</v>
      </c>
      <c r="T338" s="22" t="n">
        <f aca="false">IF($A338&gt;=Premissas!$C$18,O338*(1-Premissas!$C$45)-Premissas!$C$46*MAX(0,O338*(1-Premissas!$C$45)-(SUM($Q$5:$Q$355)+Premissas!$C$26*Premissas!$C$60)),"")</f>
        <v>1105100.70822318</v>
      </c>
      <c r="U338" s="22" t="n">
        <f aca="false">IF($A338&gt;=Premissas!$C$18,S338+T338,"")</f>
        <v>1511911.9008975</v>
      </c>
      <c r="V338" s="22" t="n">
        <f aca="false">V337*(1+$P338)-R338</f>
        <v>999010.57842028</v>
      </c>
      <c r="W338" s="22" t="n">
        <f aca="false">($A338=Premissas!$C$16)*Premissas!$C$9</f>
        <v>0</v>
      </c>
      <c r="X338" s="22" t="n">
        <f aca="false">L338-M338-N338-W338</f>
        <v>3838.30354508697</v>
      </c>
      <c r="Y338" s="22" t="n">
        <f aca="false">Y337+X338</f>
        <v>375883.192674322</v>
      </c>
      <c r="Z338" s="22" t="n">
        <f aca="false">IF($A338&gt;=Premissas!$C$18,O338*(1-Premissas!$C$45)-Premissas!$C$46*MAX(0,O338*(1-Premissas!$C$45)-(SUM($W$5:$W$355)+Premissas!$C$26*Premissas!$C$60)),"")</f>
        <v>1109739.90822318</v>
      </c>
      <c r="AA338" s="22" t="n">
        <f aca="false">IF($A338&gt;=Premissas!$C$18,Y338+Z338,"")</f>
        <v>1485623.1008975</v>
      </c>
      <c r="AB338" s="22" t="n">
        <f aca="false">AB337*(1+$P338)-X338</f>
        <v>1306318.00612989</v>
      </c>
      <c r="AC338" s="22" t="n">
        <f aca="false">AND($A338&gt;=Premissas!$C$16,$A338&lt;EDATE(Premissas!$C$16,3))*Premissas!$C$10/3*(1+Premissas!$C$56)^$C338</f>
        <v>0</v>
      </c>
      <c r="AD338" s="22" t="n">
        <f aca="false">L338-M338-N338-AC338</f>
        <v>3838.30354508697</v>
      </c>
      <c r="AE338" s="22" t="n">
        <f aca="false">AE337+AD338</f>
        <v>368262.728794297</v>
      </c>
      <c r="AF338" s="22" t="n">
        <f aca="false">IF($A338&gt;=Premissas!$C$18,O338*(1-Premissas!$C$45)-Premissas!$C$46*MAX(0,O338*(1-Premissas!$C$45)-(SUM($AC$5:$AC$355)+Premissas!$C$26*Premissas!$C$60)),"")</f>
        <v>1110882.97780518</v>
      </c>
      <c r="AG338" s="22" t="n">
        <f aca="false">IF($A338&gt;=Premissas!$C$18,AE338+AF338,"")</f>
        <v>1479145.70659948</v>
      </c>
      <c r="AH338" s="22" t="n">
        <f aca="false">AH337*(1+$P338)-AD338</f>
        <v>1355302.57301487</v>
      </c>
      <c r="AI338" s="22" t="n">
        <f aca="false">($A338=Premissas!$C$16)*0.2*Premissas!$C$11+AND($A338&gt;Premissas!$C$16,$A338&lt;=EDATE(Premissas!$C$16,43))*0.8*Premissas!$C$11/43*(1+Premissas!$C$56)^$C338</f>
        <v>0</v>
      </c>
      <c r="AJ338" s="22" t="n">
        <f aca="false">L338-M338-N338-AI338</f>
        <v>3838.30354508697</v>
      </c>
      <c r="AK338" s="22" t="n">
        <f aca="false">AK337+AJ338</f>
        <v>322398.243376235</v>
      </c>
      <c r="AL338" s="22" t="n">
        <f aca="false">IF($A338&gt;=Premissas!$C$18,O338*(1-Premissas!$C$45)-Premissas!$C$46*MAX(0,O338*(1-Premissas!$C$45)-(SUM($AI$5:$AI$355)+Premissas!$C$26*Premissas!$C$60)),"")</f>
        <v>1117762.65061789</v>
      </c>
      <c r="AM338" s="22" t="n">
        <f aca="false">IF($A338&gt;=Premissas!$C$18,AK338+AL338,"")</f>
        <v>1440160.89399413</v>
      </c>
      <c r="AN338" s="22" t="n">
        <f aca="false">AN337*(1+$P338)-AJ338</f>
        <v>1401007.97835653</v>
      </c>
      <c r="AO338" s="22" t="n">
        <f aca="false">V338+S338</f>
        <v>1405821.7710946</v>
      </c>
    </row>
    <row r="339" customFormat="false" ht="15" hidden="false" customHeight="false" outlineLevel="0" collapsed="false">
      <c r="A339" s="26" t="n">
        <f aca="false">DATE(YEAR(A338),MONTH(A338)+1,1)</f>
        <v>56462</v>
      </c>
      <c r="B339" s="22" t="str">
        <f aca="false">IF($A339&lt;Premissas!$C$18,"Obra",IF($A339&lt;Premissas!$C$20,"Entrega/mobília","Airbnb"))</f>
        <v>Airbnb</v>
      </c>
      <c r="C339" s="36" t="n">
        <f aca="false">(YEAR($A339)-YEAR(Premissas!$C$16))*12+MONTH($A339)-MONTH(Premissas!$C$16)</f>
        <v>334</v>
      </c>
      <c r="D339" s="33" t="n">
        <f aca="false">IF($A339&gt;=Premissas!$C$20,Premissas!$C$31*IF(((YEAR($A339)-YEAR(Premissas!$C$20))*12+MONTH($A339)-MONTH(Premissas!$C$20))&lt;Premissas!$C$33,Premissas!$C$34,1),0)</f>
        <v>0.62</v>
      </c>
      <c r="E339" s="22" t="n">
        <f aca="false">D339*Premissas!$C$30*Premissas!$C$32*(1+Premissas!$C$58)^$C339</f>
        <v>13853.1189519255</v>
      </c>
      <c r="F339" s="22" t="n">
        <f aca="false">E339*Premissas!$C$35</f>
        <v>2216.49903230807</v>
      </c>
      <c r="G339" s="22" t="n">
        <f aca="false">E339*Premissas!$C$36</f>
        <v>2770.62379038509</v>
      </c>
      <c r="H339" s="22" t="n">
        <f aca="false">IF($A339&gt;=Premissas!$C$18,Premissas!$C$37*(1+Premissas!$C$58)^$C339,0)</f>
        <v>1787.49921960329</v>
      </c>
      <c r="I339" s="22" t="n">
        <f aca="false">IF($A339&gt;=Premissas!$C$20,Premissas!$C$38*(1+Premissas!$C$58)^$C339,0)</f>
        <v>834.166302481533</v>
      </c>
      <c r="J339" s="22" t="n">
        <f aca="false">IF($A339&gt;=Premissas!$C$20,Premissas!$C$39*(1+Premissas!$C$58)^$C339,0)</f>
        <v>446.874804900821</v>
      </c>
      <c r="K339" s="22" t="n">
        <f aca="false">IF($A339&gt;=Premissas!$C$20,MAX(0,E339-F339-G339-H339)*Premissas!$C$41,0)</f>
        <v>1946.58665014798</v>
      </c>
      <c r="L339" s="22" t="n">
        <f aca="false">E339-F339-G339-H339-I339-J339-K339</f>
        <v>3850.86915209868</v>
      </c>
      <c r="M339" s="22" t="n">
        <f aca="false">($A339=Premissas!$C$18)*Premissas!$C$26*Premissas!$C$60</f>
        <v>0</v>
      </c>
      <c r="N339" s="22" t="n">
        <f aca="false">IF(AND($A339&gt;=Premissas!$C$18,$A339&lt;Premissas!$C$20),Premissas!$C$27/MAX(1,Premissas!$C$19),0)</f>
        <v>0</v>
      </c>
      <c r="O339" s="22" t="n">
        <f aca="false">IF($A339&gt;=Premissas!$C$18,Premissas!$C$60*(1+Premissas!$C$59)^((YEAR($A339)-YEAR(Premissas!$C$18))*12+MONTH($A339)-MONTH(Premissas!$C$18)),"")</f>
        <v>1338510.85631226</v>
      </c>
      <c r="P339" s="31" t="n">
        <f aca="false">(1+IF(YEAR($A339)&lt;=2026,Premissas!$C$49,IF(YEAR($A339)=2027,Premissas!$C$50,IF(YEAR($A339)=2028,Premissas!$C$51,Premissas!$C$52)))*(1-Premissas!$C$53))^(1/12)-1</f>
        <v>0.00682149336596227</v>
      </c>
      <c r="Q339" s="22" t="n">
        <f aca="false">($A339=Premissas!$C$16)*Premissas!$C$13</f>
        <v>0</v>
      </c>
      <c r="R339" s="22" t="n">
        <f aca="false">L339-M339-N339-Q339</f>
        <v>3850.86915209868</v>
      </c>
      <c r="S339" s="22" t="n">
        <f aca="false">S338+R339</f>
        <v>410662.06182642</v>
      </c>
      <c r="T339" s="22" t="n">
        <f aca="false">IF($A339&gt;=Premissas!$C$18,O339*(1-Premissas!$C$45)-Premissas!$C$46*MAX(0,O339*(1-Premissas!$C$45)-(SUM($Q$5:$Q$355)+Premissas!$C$26*Premissas!$C$60)),"")</f>
        <v>1109440.18254024</v>
      </c>
      <c r="U339" s="22" t="n">
        <f aca="false">IF($A339&gt;=Premissas!$C$18,S339+T339,"")</f>
        <v>1520102.24436666</v>
      </c>
      <c r="V339" s="22" t="n">
        <f aca="false">V338*(1+$P339)-R339</f>
        <v>1001974.4533014</v>
      </c>
      <c r="W339" s="22" t="n">
        <f aca="false">($A339=Premissas!$C$16)*Premissas!$C$9</f>
        <v>0</v>
      </c>
      <c r="X339" s="22" t="n">
        <f aca="false">L339-M339-N339-W339</f>
        <v>3850.86915209868</v>
      </c>
      <c r="Y339" s="22" t="n">
        <f aca="false">Y338+X339</f>
        <v>379734.061826421</v>
      </c>
      <c r="Z339" s="22" t="n">
        <f aca="false">IF($A339&gt;=Premissas!$C$18,O339*(1-Premissas!$C$45)-Premissas!$C$46*MAX(0,O339*(1-Premissas!$C$45)-(SUM($W$5:$W$355)+Premissas!$C$26*Premissas!$C$60)),"")</f>
        <v>1114079.38254024</v>
      </c>
      <c r="AA339" s="22" t="n">
        <f aca="false">IF($A339&gt;=Premissas!$C$18,Y339+Z339,"")</f>
        <v>1493813.44436666</v>
      </c>
      <c r="AB339" s="22" t="n">
        <f aca="false">AB338*(1+$P339)-X339</f>
        <v>1311378.17659045</v>
      </c>
      <c r="AC339" s="22" t="n">
        <f aca="false">AND($A339&gt;=Premissas!$C$16,$A339&lt;EDATE(Premissas!$C$16,3))*Premissas!$C$10/3*(1+Premissas!$C$56)^$C339</f>
        <v>0</v>
      </c>
      <c r="AD339" s="22" t="n">
        <f aca="false">L339-M339-N339-AC339</f>
        <v>3850.86915209868</v>
      </c>
      <c r="AE339" s="22" t="n">
        <f aca="false">AE338+AD339</f>
        <v>372113.597946396</v>
      </c>
      <c r="AF339" s="22" t="n">
        <f aca="false">IF($A339&gt;=Premissas!$C$18,O339*(1-Premissas!$C$45)-Premissas!$C$46*MAX(0,O339*(1-Premissas!$C$45)-(SUM($AC$5:$AC$355)+Premissas!$C$26*Premissas!$C$60)),"")</f>
        <v>1115222.45212224</v>
      </c>
      <c r="AG339" s="22" t="n">
        <f aca="false">IF($A339&gt;=Premissas!$C$18,AE339+AF339,"")</f>
        <v>1487336.05006864</v>
      </c>
      <c r="AH339" s="22" t="n">
        <f aca="false">AH338*(1+$P339)-AD339</f>
        <v>1360696.89137346</v>
      </c>
      <c r="AI339" s="22" t="n">
        <f aca="false">($A339=Premissas!$C$16)*0.2*Premissas!$C$11+AND($A339&gt;Premissas!$C$16,$A339&lt;=EDATE(Premissas!$C$16,43))*0.8*Premissas!$C$11/43*(1+Premissas!$C$56)^$C339</f>
        <v>0</v>
      </c>
      <c r="AJ339" s="22" t="n">
        <f aca="false">L339-M339-N339-AI339</f>
        <v>3850.86915209868</v>
      </c>
      <c r="AK339" s="22" t="n">
        <f aca="false">AK338+AJ339</f>
        <v>326249.112528334</v>
      </c>
      <c r="AL339" s="22" t="n">
        <f aca="false">IF($A339&gt;=Premissas!$C$18,O339*(1-Premissas!$C$45)-Premissas!$C$46*MAX(0,O339*(1-Premissas!$C$45)-(SUM($AI$5:$AI$355)+Premissas!$C$26*Premissas!$C$60)),"")</f>
        <v>1122102.12493495</v>
      </c>
      <c r="AM339" s="22" t="n">
        <f aca="false">IF($A339&gt;=Premissas!$C$18,AK339+AL339,"")</f>
        <v>1448351.23746329</v>
      </c>
      <c r="AN339" s="22" t="n">
        <f aca="false">AN338*(1+$P339)-AJ339</f>
        <v>1406714.07583445</v>
      </c>
      <c r="AO339" s="22" t="n">
        <f aca="false">V339+S339</f>
        <v>1412636.51512782</v>
      </c>
    </row>
    <row r="340" customFormat="false" ht="15" hidden="false" customHeight="false" outlineLevel="0" collapsed="false">
      <c r="A340" s="26" t="n">
        <f aca="false">DATE(YEAR(A339),MONTH(A339)+1,1)</f>
        <v>56493</v>
      </c>
      <c r="B340" s="22" t="str">
        <f aca="false">IF($A340&lt;Premissas!$C$18,"Obra",IF($A340&lt;Premissas!$C$20,"Entrega/mobília","Airbnb"))</f>
        <v>Airbnb</v>
      </c>
      <c r="C340" s="36" t="n">
        <f aca="false">(YEAR($A340)-YEAR(Premissas!$C$16))*12+MONTH($A340)-MONTH(Premissas!$C$16)</f>
        <v>335</v>
      </c>
      <c r="D340" s="33" t="n">
        <f aca="false">IF($A340&gt;=Premissas!$C$20,Premissas!$C$31*IF(((YEAR($A340)-YEAR(Premissas!$C$20))*12+MONTH($A340)-MONTH(Premissas!$C$20))&lt;Premissas!$C$33,Premissas!$C$34,1),0)</f>
        <v>0.62</v>
      </c>
      <c r="E340" s="22" t="n">
        <f aca="false">D340*Premissas!$C$30*Premissas!$C$32*(1+Premissas!$C$58)^$C340</f>
        <v>13898.4704585459</v>
      </c>
      <c r="F340" s="22" t="n">
        <f aca="false">E340*Premissas!$C$35</f>
        <v>2223.75527336735</v>
      </c>
      <c r="G340" s="22" t="n">
        <f aca="false">E340*Premissas!$C$36</f>
        <v>2779.69409170918</v>
      </c>
      <c r="H340" s="22" t="n">
        <f aca="false">IF($A340&gt;=Premissas!$C$18,Premissas!$C$37*(1+Premissas!$C$58)^$C340,0)</f>
        <v>1793.35102690915</v>
      </c>
      <c r="I340" s="22" t="n">
        <f aca="false">IF($A340&gt;=Premissas!$C$20,Premissas!$C$38*(1+Premissas!$C$58)^$C340,0)</f>
        <v>836.897145890937</v>
      </c>
      <c r="J340" s="22" t="n">
        <f aca="false">IF($A340&gt;=Premissas!$C$20,Premissas!$C$39*(1+Premissas!$C$58)^$C340,0)</f>
        <v>448.337756727287</v>
      </c>
      <c r="K340" s="22" t="n">
        <f aca="false">IF($A340&gt;=Premissas!$C$20,MAX(0,E340-F340-G340-H340)*Premissas!$C$41,0)</f>
        <v>1952.95926830406</v>
      </c>
      <c r="L340" s="22" t="n">
        <f aca="false">E340-F340-G340-H340-I340-J340-K340</f>
        <v>3863.47589563795</v>
      </c>
      <c r="M340" s="22" t="n">
        <f aca="false">($A340=Premissas!$C$18)*Premissas!$C$26*Premissas!$C$60</f>
        <v>0</v>
      </c>
      <c r="N340" s="22" t="n">
        <f aca="false">IF(AND($A340&gt;=Premissas!$C$18,$A340&lt;Premissas!$C$20),Premissas!$C$27/MAX(1,Premissas!$C$19),0)</f>
        <v>0</v>
      </c>
      <c r="O340" s="22" t="n">
        <f aca="false">IF($A340&gt;=Premissas!$C$18,Premissas!$C$60*(1+Premissas!$C$59)^((YEAR($A340)-YEAR(Premissas!$C$18))*12+MONTH($A340)-MONTH(Premissas!$C$18)),"")</f>
        <v>1343964.11522663</v>
      </c>
      <c r="P340" s="31" t="n">
        <f aca="false">(1+IF(YEAR($A340)&lt;=2026,Premissas!$C$49,IF(YEAR($A340)=2027,Premissas!$C$50,IF(YEAR($A340)=2028,Premissas!$C$51,Premissas!$C$52)))*(1-Premissas!$C$53))^(1/12)-1</f>
        <v>0.00682149336596227</v>
      </c>
      <c r="Q340" s="22" t="n">
        <f aca="false">($A340=Premissas!$C$16)*Premissas!$C$13</f>
        <v>0</v>
      </c>
      <c r="R340" s="22" t="n">
        <f aca="false">L340-M340-N340-Q340</f>
        <v>3863.47589563795</v>
      </c>
      <c r="S340" s="22" t="n">
        <f aca="false">S339+R340</f>
        <v>414525.537722058</v>
      </c>
      <c r="T340" s="22" t="n">
        <f aca="false">IF($A340&gt;=Premissas!$C$18,O340*(1-Premissas!$C$45)-Premissas!$C$46*MAX(0,O340*(1-Premissas!$C$45)-(SUM($Q$5:$Q$355)+Premissas!$C$26*Premissas!$C$60)),"")</f>
        <v>1113797.33641282</v>
      </c>
      <c r="U340" s="22" t="n">
        <f aca="false">IF($A340&gt;=Premissas!$C$18,S340+T340,"")</f>
        <v>1528322.87413488</v>
      </c>
      <c r="V340" s="22" t="n">
        <f aca="false">V339*(1+$P340)-R340</f>
        <v>1004945.93949182</v>
      </c>
      <c r="W340" s="22" t="n">
        <f aca="false">($A340=Premissas!$C$16)*Premissas!$C$9</f>
        <v>0</v>
      </c>
      <c r="X340" s="22" t="n">
        <f aca="false">L340-M340-N340-W340</f>
        <v>3863.47589563795</v>
      </c>
      <c r="Y340" s="22" t="n">
        <f aca="false">Y339+X340</f>
        <v>383597.537722059</v>
      </c>
      <c r="Z340" s="22" t="n">
        <f aca="false">IF($A340&gt;=Premissas!$C$18,O340*(1-Premissas!$C$45)-Premissas!$C$46*MAX(0,O340*(1-Premissas!$C$45)-(SUM($W$5:$W$355)+Premissas!$C$26*Premissas!$C$60)),"")</f>
        <v>1118436.53641282</v>
      </c>
      <c r="AA340" s="22" t="n">
        <f aca="false">IF($A340&gt;=Premissas!$C$18,Y340+Z340,"")</f>
        <v>1502034.07413488</v>
      </c>
      <c r="AB340" s="22" t="n">
        <f aca="false">AB339*(1+$P340)-X340</f>
        <v>1316460.25822669</v>
      </c>
      <c r="AC340" s="22" t="n">
        <f aca="false">AND($A340&gt;=Premissas!$C$16,$A340&lt;EDATE(Premissas!$C$16,3))*Premissas!$C$10/3*(1+Premissas!$C$56)^$C340</f>
        <v>0</v>
      </c>
      <c r="AD340" s="22" t="n">
        <f aca="false">L340-M340-N340-AC340</f>
        <v>3863.47589563795</v>
      </c>
      <c r="AE340" s="22" t="n">
        <f aca="false">AE339+AD340</f>
        <v>375977.073842034</v>
      </c>
      <c r="AF340" s="22" t="n">
        <f aca="false">IF($A340&gt;=Premissas!$C$18,O340*(1-Premissas!$C$45)-Premissas!$C$46*MAX(0,O340*(1-Premissas!$C$45)-(SUM($AC$5:$AC$355)+Premissas!$C$26*Premissas!$C$60)),"")</f>
        <v>1119579.60599483</v>
      </c>
      <c r="AG340" s="22" t="n">
        <f aca="false">IF($A340&gt;=Premissas!$C$18,AE340+AF340,"")</f>
        <v>1495556.67983686</v>
      </c>
      <c r="AH340" s="22" t="n">
        <f aca="false">AH339*(1+$P340)-AD340</f>
        <v>1366115.40029541</v>
      </c>
      <c r="AI340" s="22" t="n">
        <f aca="false">($A340=Premissas!$C$16)*0.2*Premissas!$C$11+AND($A340&gt;Premissas!$C$16,$A340&lt;=EDATE(Premissas!$C$16,43))*0.8*Premissas!$C$11/43*(1+Premissas!$C$56)^$C340</f>
        <v>0</v>
      </c>
      <c r="AJ340" s="22" t="n">
        <f aca="false">L340-M340-N340-AI340</f>
        <v>3863.47589563795</v>
      </c>
      <c r="AK340" s="22" t="n">
        <f aca="false">AK339+AJ340</f>
        <v>330112.588423972</v>
      </c>
      <c r="AL340" s="22" t="n">
        <f aca="false">IF($A340&gt;=Premissas!$C$18,O340*(1-Premissas!$C$45)-Premissas!$C$46*MAX(0,O340*(1-Premissas!$C$45)-(SUM($AI$5:$AI$355)+Premissas!$C$26*Premissas!$C$60)),"")</f>
        <v>1126459.27880754</v>
      </c>
      <c r="AM340" s="22" t="n">
        <f aca="false">IF($A340&gt;=Premissas!$C$18,AK340+AL340,"")</f>
        <v>1456571.86723151</v>
      </c>
      <c r="AN340" s="22" t="n">
        <f aca="false">AN339*(1+$P340)-AJ340</f>
        <v>1412446.49067492</v>
      </c>
      <c r="AO340" s="22" t="n">
        <f aca="false">V340+S340</f>
        <v>1419471.47721388</v>
      </c>
    </row>
    <row r="341" customFormat="false" ht="15" hidden="false" customHeight="false" outlineLevel="0" collapsed="false">
      <c r="A341" s="26" t="n">
        <f aca="false">DATE(YEAR(A340),MONTH(A340)+1,1)</f>
        <v>56523</v>
      </c>
      <c r="B341" s="22" t="str">
        <f aca="false">IF($A341&lt;Premissas!$C$18,"Obra",IF($A341&lt;Premissas!$C$20,"Entrega/mobília","Airbnb"))</f>
        <v>Airbnb</v>
      </c>
      <c r="C341" s="36" t="n">
        <f aca="false">(YEAR($A341)-YEAR(Premissas!$C$16))*12+MONTH($A341)-MONTH(Premissas!$C$16)</f>
        <v>336</v>
      </c>
      <c r="D341" s="33" t="n">
        <f aca="false">IF($A341&gt;=Premissas!$C$20,Premissas!$C$31*IF(((YEAR($A341)-YEAR(Premissas!$C$20))*12+MONTH($A341)-MONTH(Premissas!$C$20))&lt;Premissas!$C$33,Premissas!$C$34,1),0)</f>
        <v>0.62</v>
      </c>
      <c r="E341" s="22" t="n">
        <f aca="false">D341*Premissas!$C$30*Premissas!$C$32*(1+Premissas!$C$58)^$C341</f>
        <v>13943.9704341978</v>
      </c>
      <c r="F341" s="22" t="n">
        <f aca="false">E341*Premissas!$C$35</f>
        <v>2231.03526947164</v>
      </c>
      <c r="G341" s="22" t="n">
        <f aca="false">E341*Premissas!$C$36</f>
        <v>2788.79408683955</v>
      </c>
      <c r="H341" s="22" t="n">
        <f aca="false">IF($A341&gt;=Premissas!$C$18,Premissas!$C$37*(1+Premissas!$C$58)^$C341,0)</f>
        <v>1799.22199150939</v>
      </c>
      <c r="I341" s="22" t="n">
        <f aca="false">IF($A341&gt;=Premissas!$C$20,Premissas!$C$38*(1+Premissas!$C$58)^$C341,0)</f>
        <v>839.636929371049</v>
      </c>
      <c r="J341" s="22" t="n">
        <f aca="false">IF($A341&gt;=Premissas!$C$20,Premissas!$C$39*(1+Premissas!$C$58)^$C341,0)</f>
        <v>449.805497877347</v>
      </c>
      <c r="K341" s="22" t="n">
        <f aca="false">IF($A341&gt;=Premissas!$C$20,MAX(0,E341-F341-G341-H341)*Premissas!$C$41,0)</f>
        <v>1959.35274875373</v>
      </c>
      <c r="L341" s="22" t="n">
        <f aca="false">E341-F341-G341-H341-I341-J341-K341</f>
        <v>3876.12391037506</v>
      </c>
      <c r="M341" s="22" t="n">
        <f aca="false">($A341=Premissas!$C$18)*Premissas!$C$26*Premissas!$C$60</f>
        <v>0</v>
      </c>
      <c r="N341" s="22" t="n">
        <f aca="false">IF(AND($A341&gt;=Premissas!$C$18,$A341&lt;Premissas!$C$20),Premissas!$C$27/MAX(1,Premissas!$C$19),0)</f>
        <v>0</v>
      </c>
      <c r="O341" s="22" t="n">
        <f aca="false">IF($A341&gt;=Premissas!$C$18,Premissas!$C$60*(1+Premissas!$C$59)^((YEAR($A341)-YEAR(Premissas!$C$18))*12+MONTH($A341)-MONTH(Premissas!$C$18)),"")</f>
        <v>1349439.59139285</v>
      </c>
      <c r="P341" s="31" t="n">
        <f aca="false">(1+IF(YEAR($A341)&lt;=2026,Premissas!$C$49,IF(YEAR($A341)=2027,Premissas!$C$50,IF(YEAR($A341)=2028,Premissas!$C$51,Premissas!$C$52)))*(1-Premissas!$C$53))^(1/12)-1</f>
        <v>0.00682149336596227</v>
      </c>
      <c r="Q341" s="22" t="n">
        <f aca="false">($A341=Premissas!$C$16)*Premissas!$C$13</f>
        <v>0</v>
      </c>
      <c r="R341" s="22" t="n">
        <f aca="false">L341-M341-N341-Q341</f>
        <v>3876.12391037506</v>
      </c>
      <c r="S341" s="22" t="n">
        <f aca="false">S340+R341</f>
        <v>418401.661632433</v>
      </c>
      <c r="T341" s="22" t="n">
        <f aca="false">IF($A341&gt;=Premissas!$C$18,O341*(1-Premissas!$C$45)-Premissas!$C$46*MAX(0,O341*(1-Premissas!$C$45)-(SUM($Q$5:$Q$355)+Premissas!$C$26*Premissas!$C$60)),"")</f>
        <v>1118172.24186963</v>
      </c>
      <c r="U341" s="22" t="n">
        <f aca="false">IF($A341&gt;=Premissas!$C$18,S341+T341,"")</f>
        <v>1536573.90350206</v>
      </c>
      <c r="V341" s="22" t="n">
        <f aca="false">V340*(1+$P341)-R341</f>
        <v>1007925.04764084</v>
      </c>
      <c r="W341" s="22" t="n">
        <f aca="false">($A341=Premissas!$C$16)*Premissas!$C$9</f>
        <v>0</v>
      </c>
      <c r="X341" s="22" t="n">
        <f aca="false">L341-M341-N341-W341</f>
        <v>3876.12391037506</v>
      </c>
      <c r="Y341" s="22" t="n">
        <f aca="false">Y340+X341</f>
        <v>387473.661632434</v>
      </c>
      <c r="Z341" s="22" t="n">
        <f aca="false">IF($A341&gt;=Premissas!$C$18,O341*(1-Premissas!$C$45)-Premissas!$C$46*MAX(0,O341*(1-Premissas!$C$45)-(SUM($W$5:$W$355)+Premissas!$C$26*Premissas!$C$60)),"")</f>
        <v>1122811.44186963</v>
      </c>
      <c r="AA341" s="22" t="n">
        <f aca="false">IF($A341&gt;=Premissas!$C$18,Y341+Z341,"")</f>
        <v>1510285.10350206</v>
      </c>
      <c r="AB341" s="22" t="n">
        <f aca="false">AB340*(1+$P341)-X341</f>
        <v>1321564.35923436</v>
      </c>
      <c r="AC341" s="22" t="n">
        <f aca="false">AND($A341&gt;=Premissas!$C$16,$A341&lt;EDATE(Premissas!$C$16,3))*Premissas!$C$10/3*(1+Premissas!$C$56)^$C341</f>
        <v>0</v>
      </c>
      <c r="AD341" s="22" t="n">
        <f aca="false">L341-M341-N341-AC341</f>
        <v>3876.12391037506</v>
      </c>
      <c r="AE341" s="22" t="n">
        <f aca="false">AE340+AD341</f>
        <v>379853.197752409</v>
      </c>
      <c r="AF341" s="22" t="n">
        <f aca="false">IF($A341&gt;=Premissas!$C$18,O341*(1-Premissas!$C$45)-Premissas!$C$46*MAX(0,O341*(1-Premissas!$C$45)-(SUM($AC$5:$AC$355)+Premissas!$C$26*Premissas!$C$60)),"")</f>
        <v>1123954.51145163</v>
      </c>
      <c r="AG341" s="22" t="n">
        <f aca="false">IF($A341&gt;=Premissas!$C$18,AE341+AF341,"")</f>
        <v>1503807.70920404</v>
      </c>
      <c r="AH341" s="22" t="n">
        <f aca="false">AH340*(1+$P341)-AD341</f>
        <v>1371558.22352529</v>
      </c>
      <c r="AI341" s="22" t="n">
        <f aca="false">($A341=Premissas!$C$16)*0.2*Premissas!$C$11+AND($A341&gt;Premissas!$C$16,$A341&lt;=EDATE(Premissas!$C$16,43))*0.8*Premissas!$C$11/43*(1+Premissas!$C$56)^$C341</f>
        <v>0</v>
      </c>
      <c r="AJ341" s="22" t="n">
        <f aca="false">L341-M341-N341-AI341</f>
        <v>3876.12391037506</v>
      </c>
      <c r="AK341" s="22" t="n">
        <f aca="false">AK340+AJ341</f>
        <v>333988.712334347</v>
      </c>
      <c r="AL341" s="22" t="n">
        <f aca="false">IF($A341&gt;=Premissas!$C$18,O341*(1-Premissas!$C$45)-Premissas!$C$46*MAX(0,O341*(1-Premissas!$C$45)-(SUM($AI$5:$AI$355)+Premissas!$C$26*Premissas!$C$60)),"")</f>
        <v>1130834.18426434</v>
      </c>
      <c r="AM341" s="22" t="n">
        <f aca="false">IF($A341&gt;=Premissas!$C$18,AK341+AL341,"")</f>
        <v>1464822.89659869</v>
      </c>
      <c r="AN341" s="22" t="n">
        <f aca="false">AN340*(1+$P341)-AJ341</f>
        <v>1418205.36113046</v>
      </c>
      <c r="AO341" s="22" t="n">
        <f aca="false">V341+S341</f>
        <v>1426326.70927328</v>
      </c>
    </row>
    <row r="342" customFormat="false" ht="15" hidden="false" customHeight="false" outlineLevel="0" collapsed="false">
      <c r="A342" s="26" t="n">
        <f aca="false">DATE(YEAR(A341),MONTH(A341)+1,1)</f>
        <v>56554</v>
      </c>
      <c r="B342" s="22" t="str">
        <f aca="false">IF($A342&lt;Premissas!$C$18,"Obra",IF($A342&lt;Premissas!$C$20,"Entrega/mobília","Airbnb"))</f>
        <v>Airbnb</v>
      </c>
      <c r="C342" s="36" t="n">
        <f aca="false">(YEAR($A342)-YEAR(Premissas!$C$16))*12+MONTH($A342)-MONTH(Premissas!$C$16)</f>
        <v>337</v>
      </c>
      <c r="D342" s="33" t="n">
        <f aca="false">IF($A342&gt;=Premissas!$C$20,Premissas!$C$31*IF(((YEAR($A342)-YEAR(Premissas!$C$20))*12+MONTH($A342)-MONTH(Premissas!$C$20))&lt;Premissas!$C$33,Premissas!$C$34,1),0)</f>
        <v>0.62</v>
      </c>
      <c r="E342" s="22" t="n">
        <f aca="false">D342*Premissas!$C$30*Premissas!$C$32*(1+Premissas!$C$58)^$C342</f>
        <v>13989.61936493</v>
      </c>
      <c r="F342" s="22" t="n">
        <f aca="false">E342*Premissas!$C$35</f>
        <v>2238.3390983888</v>
      </c>
      <c r="G342" s="22" t="n">
        <f aca="false">E342*Premissas!$C$36</f>
        <v>2797.923872986</v>
      </c>
      <c r="H342" s="22" t="n">
        <f aca="false">IF($A342&gt;=Premissas!$C$18,Premissas!$C$37*(1+Premissas!$C$58)^$C342,0)</f>
        <v>1805.11217612</v>
      </c>
      <c r="I342" s="22" t="n">
        <f aca="false">IF($A342&gt;=Premissas!$C$20,Premissas!$C$38*(1+Premissas!$C$58)^$C342,0)</f>
        <v>842.385682189334</v>
      </c>
      <c r="J342" s="22" t="n">
        <f aca="false">IF($A342&gt;=Premissas!$C$20,Premissas!$C$39*(1+Premissas!$C$58)^$C342,0)</f>
        <v>451.27804403</v>
      </c>
      <c r="K342" s="22" t="n">
        <f aca="false">IF($A342&gt;=Premissas!$C$20,MAX(0,E342-F342-G342-H342)*Premissas!$C$41,0)</f>
        <v>1965.76715979468</v>
      </c>
      <c r="L342" s="22" t="n">
        <f aca="false">E342-F342-G342-H342-I342-J342-K342</f>
        <v>3888.81333142119</v>
      </c>
      <c r="M342" s="22" t="n">
        <f aca="false">($A342=Premissas!$C$18)*Premissas!$C$26*Premissas!$C$60</f>
        <v>0</v>
      </c>
      <c r="N342" s="22" t="n">
        <f aca="false">IF(AND($A342&gt;=Premissas!$C$18,$A342&lt;Premissas!$C$20),Premissas!$C$27/MAX(1,Premissas!$C$19),0)</f>
        <v>0</v>
      </c>
      <c r="O342" s="22" t="n">
        <f aca="false">IF($A342&gt;=Premissas!$C$18,Premissas!$C$60*(1+Premissas!$C$59)^((YEAR($A342)-YEAR(Premissas!$C$18))*12+MONTH($A342)-MONTH(Premissas!$C$18)),"")</f>
        <v>1354937.37532674</v>
      </c>
      <c r="P342" s="31" t="n">
        <f aca="false">(1+IF(YEAR($A342)&lt;=2026,Premissas!$C$49,IF(YEAR($A342)=2027,Premissas!$C$50,IF(YEAR($A342)=2028,Premissas!$C$51,Premissas!$C$52)))*(1-Premissas!$C$53))^(1/12)-1</f>
        <v>0.00682149336596227</v>
      </c>
      <c r="Q342" s="22" t="n">
        <f aca="false">($A342=Premissas!$C$16)*Premissas!$C$13</f>
        <v>0</v>
      </c>
      <c r="R342" s="22" t="n">
        <f aca="false">L342-M342-N342-Q342</f>
        <v>3888.81333142119</v>
      </c>
      <c r="S342" s="22" t="n">
        <f aca="false">S341+R342</f>
        <v>422290.474963855</v>
      </c>
      <c r="T342" s="22" t="n">
        <f aca="false">IF($A342&gt;=Premissas!$C$18,O342*(1-Premissas!$C$45)-Premissas!$C$46*MAX(0,O342*(1-Premissas!$C$45)-(SUM($Q$5:$Q$355)+Premissas!$C$26*Premissas!$C$60)),"")</f>
        <v>1122564.97123281</v>
      </c>
      <c r="U342" s="22" t="n">
        <f aca="false">IF($A342&gt;=Premissas!$C$18,S342+T342,"")</f>
        <v>1544855.44619666</v>
      </c>
      <c r="V342" s="22" t="n">
        <f aca="false">V341*(1+$P342)-R342</f>
        <v>1010911.78833529</v>
      </c>
      <c r="W342" s="22" t="n">
        <f aca="false">($A342=Premissas!$C$16)*Premissas!$C$9</f>
        <v>0</v>
      </c>
      <c r="X342" s="22" t="n">
        <f aca="false">L342-M342-N342-W342</f>
        <v>3888.81333142119</v>
      </c>
      <c r="Y342" s="22" t="n">
        <f aca="false">Y341+X342</f>
        <v>391362.474963855</v>
      </c>
      <c r="Z342" s="22" t="n">
        <f aca="false">IF($A342&gt;=Premissas!$C$18,O342*(1-Premissas!$C$45)-Premissas!$C$46*MAX(0,O342*(1-Premissas!$C$45)-(SUM($W$5:$W$355)+Premissas!$C$26*Premissas!$C$60)),"")</f>
        <v>1127204.17123281</v>
      </c>
      <c r="AA342" s="22" t="n">
        <f aca="false">IF($A342&gt;=Premissas!$C$18,Y342+Z342,"")</f>
        <v>1518566.64619666</v>
      </c>
      <c r="AB342" s="22" t="n">
        <f aca="false">AB341*(1+$P342)-X342</f>
        <v>1326690.58841215</v>
      </c>
      <c r="AC342" s="22" t="n">
        <f aca="false">AND($A342&gt;=Premissas!$C$16,$A342&lt;EDATE(Premissas!$C$16,3))*Premissas!$C$10/3*(1+Premissas!$C$56)^$C342</f>
        <v>0</v>
      </c>
      <c r="AD342" s="22" t="n">
        <f aca="false">L342-M342-N342-AC342</f>
        <v>3888.81333142119</v>
      </c>
      <c r="AE342" s="22" t="n">
        <f aca="false">AE341+AD342</f>
        <v>383742.01108383</v>
      </c>
      <c r="AF342" s="22" t="n">
        <f aca="false">IF($A342&gt;=Premissas!$C$18,O342*(1-Premissas!$C$45)-Premissas!$C$46*MAX(0,O342*(1-Premissas!$C$45)-(SUM($AC$5:$AC$355)+Premissas!$C$26*Premissas!$C$60)),"")</f>
        <v>1128347.24081481</v>
      </c>
      <c r="AG342" s="22" t="n">
        <f aca="false">IF($A342&gt;=Premissas!$C$18,AE342+AF342,"")</f>
        <v>1512089.25189864</v>
      </c>
      <c r="AH342" s="22" t="n">
        <f aca="false">AH341*(1+$P342)-AD342</f>
        <v>1377025.48551668</v>
      </c>
      <c r="AI342" s="22" t="n">
        <f aca="false">($A342=Premissas!$C$16)*0.2*Premissas!$C$11+AND($A342&gt;Premissas!$C$16,$A342&lt;=EDATE(Premissas!$C$16,43))*0.8*Premissas!$C$11/43*(1+Premissas!$C$56)^$C342</f>
        <v>0</v>
      </c>
      <c r="AJ342" s="22" t="n">
        <f aca="false">L342-M342-N342-AI342</f>
        <v>3888.81333142119</v>
      </c>
      <c r="AK342" s="22" t="n">
        <f aca="false">AK341+AJ342</f>
        <v>337877.525665768</v>
      </c>
      <c r="AL342" s="22" t="n">
        <f aca="false">IF($A342&gt;=Premissas!$C$18,O342*(1-Premissas!$C$45)-Premissas!$C$46*MAX(0,O342*(1-Premissas!$C$45)-(SUM($AI$5:$AI$355)+Premissas!$C$26*Premissas!$C$60)),"")</f>
        <v>1135226.91362752</v>
      </c>
      <c r="AM342" s="22" t="n">
        <f aca="false">IF($A342&gt;=Premissas!$C$18,AK342+AL342,"")</f>
        <v>1473104.43929329</v>
      </c>
      <c r="AN342" s="22" t="n">
        <f aca="false">AN341*(1+$P342)-AJ342</f>
        <v>1423990.82626157</v>
      </c>
      <c r="AO342" s="22" t="n">
        <f aca="false">V342+S342</f>
        <v>1433202.26329914</v>
      </c>
    </row>
    <row r="343" customFormat="false" ht="15" hidden="false" customHeight="false" outlineLevel="0" collapsed="false">
      <c r="A343" s="26" t="n">
        <f aca="false">DATE(YEAR(A342),MONTH(A342)+1,1)</f>
        <v>56584</v>
      </c>
      <c r="B343" s="22" t="str">
        <f aca="false">IF($A343&lt;Premissas!$C$18,"Obra",IF($A343&lt;Premissas!$C$20,"Entrega/mobília","Airbnb"))</f>
        <v>Airbnb</v>
      </c>
      <c r="C343" s="36" t="n">
        <f aca="false">(YEAR($A343)-YEAR(Premissas!$C$16))*12+MONTH($A343)-MONTH(Premissas!$C$16)</f>
        <v>338</v>
      </c>
      <c r="D343" s="33" t="n">
        <f aca="false">IF($A343&gt;=Premissas!$C$20,Premissas!$C$31*IF(((YEAR($A343)-YEAR(Premissas!$C$20))*12+MONTH($A343)-MONTH(Premissas!$C$20))&lt;Premissas!$C$33,Premissas!$C$34,1),0)</f>
        <v>0.62</v>
      </c>
      <c r="E343" s="22" t="n">
        <f aca="false">D343*Premissas!$C$30*Premissas!$C$32*(1+Premissas!$C$58)^$C343</f>
        <v>14035.4177383828</v>
      </c>
      <c r="F343" s="22" t="n">
        <f aca="false">E343*Premissas!$C$35</f>
        <v>2245.66683814125</v>
      </c>
      <c r="G343" s="22" t="n">
        <f aca="false">E343*Premissas!$C$36</f>
        <v>2807.08354767656</v>
      </c>
      <c r="H343" s="22" t="n">
        <f aca="false">IF($A343&gt;=Premissas!$C$18,Premissas!$C$37*(1+Premissas!$C$58)^$C343,0)</f>
        <v>1811.0216436623</v>
      </c>
      <c r="I343" s="22" t="n">
        <f aca="false">IF($A343&gt;=Premissas!$C$20,Premissas!$C$38*(1+Premissas!$C$58)^$C343,0)</f>
        <v>845.143433709072</v>
      </c>
      <c r="J343" s="22" t="n">
        <f aca="false">IF($A343&gt;=Premissas!$C$20,Premissas!$C$39*(1+Premissas!$C$58)^$C343,0)</f>
        <v>452.755410915574</v>
      </c>
      <c r="K343" s="22" t="n">
        <f aca="false">IF($A343&gt;=Premissas!$C$20,MAX(0,E343-F343-G343-H343)*Premissas!$C$41,0)</f>
        <v>1972.20256994824</v>
      </c>
      <c r="L343" s="22" t="n">
        <f aca="false">E343-F343-G343-H343-I343-J343-K343</f>
        <v>3901.54429432981</v>
      </c>
      <c r="M343" s="22" t="n">
        <f aca="false">($A343=Premissas!$C$18)*Premissas!$C$26*Premissas!$C$60</f>
        <v>0</v>
      </c>
      <c r="N343" s="22" t="n">
        <f aca="false">IF(AND($A343&gt;=Premissas!$C$18,$A343&lt;Premissas!$C$20),Premissas!$C$27/MAX(1,Premissas!$C$19),0)</f>
        <v>0</v>
      </c>
      <c r="O343" s="22" t="n">
        <f aca="false">IF($A343&gt;=Premissas!$C$18,Premissas!$C$60*(1+Premissas!$C$59)^((YEAR($A343)-YEAR(Premissas!$C$18))*12+MONTH($A343)-MONTH(Premissas!$C$18)),"")</f>
        <v>1360457.55791291</v>
      </c>
      <c r="P343" s="31" t="n">
        <f aca="false">(1+IF(YEAR($A343)&lt;=2026,Premissas!$C$49,IF(YEAR($A343)=2027,Premissas!$C$50,IF(YEAR($A343)=2028,Premissas!$C$51,Premissas!$C$52)))*(1-Premissas!$C$53))^(1/12)-1</f>
        <v>0.00682149336596227</v>
      </c>
      <c r="Q343" s="22" t="n">
        <f aca="false">($A343=Premissas!$C$16)*Premissas!$C$13</f>
        <v>0</v>
      </c>
      <c r="R343" s="22" t="n">
        <f aca="false">L343-M343-N343-Q343</f>
        <v>3901.54429432981</v>
      </c>
      <c r="S343" s="22" t="n">
        <f aca="false">S342+R343</f>
        <v>426192.019258184</v>
      </c>
      <c r="T343" s="22" t="n">
        <f aca="false">IF($A343&gt;=Premissas!$C$18,O343*(1-Premissas!$C$45)-Premissas!$C$46*MAX(0,O343*(1-Premissas!$C$45)-(SUM($Q$5:$Q$355)+Premissas!$C$26*Premissas!$C$60)),"")</f>
        <v>1126975.59711916</v>
      </c>
      <c r="U343" s="22" t="n">
        <f aca="false">IF($A343&gt;=Premissas!$C$18,S343+T343,"")</f>
        <v>1553167.61637734</v>
      </c>
      <c r="V343" s="22" t="n">
        <f aca="false">V342*(1+$P343)-R343</f>
        <v>1013906.17209866</v>
      </c>
      <c r="W343" s="22" t="n">
        <f aca="false">($A343=Premissas!$C$16)*Premissas!$C$9</f>
        <v>0</v>
      </c>
      <c r="X343" s="22" t="n">
        <f aca="false">L343-M343-N343-W343</f>
        <v>3901.54429432981</v>
      </c>
      <c r="Y343" s="22" t="n">
        <f aca="false">Y342+X343</f>
        <v>395264.019258185</v>
      </c>
      <c r="Z343" s="22" t="n">
        <f aca="false">IF($A343&gt;=Premissas!$C$18,O343*(1-Premissas!$C$45)-Premissas!$C$46*MAX(0,O343*(1-Premissas!$C$45)-(SUM($W$5:$W$355)+Premissas!$C$26*Premissas!$C$60)),"")</f>
        <v>1131614.79711916</v>
      </c>
      <c r="AA343" s="22" t="n">
        <f aca="false">IF($A343&gt;=Premissas!$C$18,Y343+Z343,"")</f>
        <v>1526878.81637734</v>
      </c>
      <c r="AB343" s="22" t="n">
        <f aca="false">AB342*(1+$P343)-X343</f>
        <v>1331839.05516536</v>
      </c>
      <c r="AC343" s="22" t="n">
        <f aca="false">AND($A343&gt;=Premissas!$C$16,$A343&lt;EDATE(Premissas!$C$16,3))*Premissas!$C$10/3*(1+Premissas!$C$56)^$C343</f>
        <v>0</v>
      </c>
      <c r="AD343" s="22" t="n">
        <f aca="false">L343-M343-N343-AC343</f>
        <v>3901.54429432981</v>
      </c>
      <c r="AE343" s="22" t="n">
        <f aca="false">AE342+AD343</f>
        <v>387643.55537816</v>
      </c>
      <c r="AF343" s="22" t="n">
        <f aca="false">IF($A343&gt;=Premissas!$C$18,O343*(1-Premissas!$C$45)-Premissas!$C$46*MAX(0,O343*(1-Premissas!$C$45)-(SUM($AC$5:$AC$355)+Premissas!$C$26*Premissas!$C$60)),"")</f>
        <v>1132757.86670116</v>
      </c>
      <c r="AG343" s="22" t="n">
        <f aca="false">IF($A343&gt;=Premissas!$C$18,AE343+AF343,"")</f>
        <v>1520401.42207932</v>
      </c>
      <c r="AH343" s="22" t="n">
        <f aca="false">AH342*(1+$P343)-AD343</f>
        <v>1382517.31143656</v>
      </c>
      <c r="AI343" s="22" t="n">
        <f aca="false">($A343=Premissas!$C$16)*0.2*Premissas!$C$11+AND($A343&gt;Premissas!$C$16,$A343&lt;=EDATE(Premissas!$C$16,43))*0.8*Premissas!$C$11/43*(1+Premissas!$C$56)^$C343</f>
        <v>0</v>
      </c>
      <c r="AJ343" s="22" t="n">
        <f aca="false">L343-M343-N343-AI343</f>
        <v>3901.54429432981</v>
      </c>
      <c r="AK343" s="22" t="n">
        <f aca="false">AK342+AJ343</f>
        <v>341779.069960098</v>
      </c>
      <c r="AL343" s="22" t="n">
        <f aca="false">IF($A343&gt;=Premissas!$C$18,O343*(1-Premissas!$C$45)-Premissas!$C$46*MAX(0,O343*(1-Premissas!$C$45)-(SUM($AI$5:$AI$355)+Premissas!$C$26*Premissas!$C$60)),"")</f>
        <v>1139637.53951387</v>
      </c>
      <c r="AM343" s="22" t="n">
        <f aca="false">IF($A343&gt;=Premissas!$C$18,AK343+AL343,"")</f>
        <v>1481416.60947397</v>
      </c>
      <c r="AN343" s="22" t="n">
        <f aca="false">AN342*(1+$P343)-AJ343</f>
        <v>1429803.02594177</v>
      </c>
      <c r="AO343" s="22" t="n">
        <f aca="false">V343+S343</f>
        <v>1440098.19135685</v>
      </c>
    </row>
    <row r="344" customFormat="false" ht="15" hidden="false" customHeight="false" outlineLevel="0" collapsed="false">
      <c r="A344" s="26" t="n">
        <f aca="false">DATE(YEAR(A343),MONTH(A343)+1,1)</f>
        <v>56615</v>
      </c>
      <c r="B344" s="22" t="str">
        <f aca="false">IF($A344&lt;Premissas!$C$18,"Obra",IF($A344&lt;Premissas!$C$20,"Entrega/mobília","Airbnb"))</f>
        <v>Airbnb</v>
      </c>
      <c r="C344" s="36" t="n">
        <f aca="false">(YEAR($A344)-YEAR(Premissas!$C$16))*12+MONTH($A344)-MONTH(Premissas!$C$16)</f>
        <v>339</v>
      </c>
      <c r="D344" s="33" t="n">
        <f aca="false">IF($A344&gt;=Premissas!$C$20,Premissas!$C$31*IF(((YEAR($A344)-YEAR(Premissas!$C$20))*12+MONTH($A344)-MONTH(Premissas!$C$20))&lt;Premissas!$C$33,Premissas!$C$34,1),0)</f>
        <v>0.62</v>
      </c>
      <c r="E344" s="22" t="n">
        <f aca="false">D344*Premissas!$C$30*Premissas!$C$32*(1+Premissas!$C$58)^$C344</f>
        <v>14081.3660437927</v>
      </c>
      <c r="F344" s="22" t="n">
        <f aca="false">E344*Premissas!$C$35</f>
        <v>2253.01856700684</v>
      </c>
      <c r="G344" s="22" t="n">
        <f aca="false">E344*Premissas!$C$36</f>
        <v>2816.27320875855</v>
      </c>
      <c r="H344" s="22" t="n">
        <f aca="false">IF($A344&gt;=Premissas!$C$18,Premissas!$C$37*(1+Premissas!$C$58)^$C344,0)</f>
        <v>1816.95045726358</v>
      </c>
      <c r="I344" s="22" t="n">
        <f aca="false">IF($A344&gt;=Premissas!$C$20,Premissas!$C$38*(1+Premissas!$C$58)^$C344,0)</f>
        <v>847.91021338967</v>
      </c>
      <c r="J344" s="22" t="n">
        <f aca="false">IF($A344&gt;=Premissas!$C$20,Premissas!$C$39*(1+Premissas!$C$58)^$C344,0)</f>
        <v>454.237614315894</v>
      </c>
      <c r="K344" s="22" t="n">
        <f aca="false">IF($A344&gt;=Premissas!$C$20,MAX(0,E344-F344-G344-H344)*Premissas!$C$41,0)</f>
        <v>1978.65904796004</v>
      </c>
      <c r="L344" s="22" t="n">
        <f aca="false">E344-F344-G344-H344-I344-J344-K344</f>
        <v>3914.31693509817</v>
      </c>
      <c r="M344" s="22" t="n">
        <f aca="false">($A344=Premissas!$C$18)*Premissas!$C$26*Premissas!$C$60</f>
        <v>0</v>
      </c>
      <c r="N344" s="22" t="n">
        <f aca="false">IF(AND($A344&gt;=Premissas!$C$18,$A344&lt;Premissas!$C$20),Premissas!$C$27/MAX(1,Premissas!$C$19),0)</f>
        <v>0</v>
      </c>
      <c r="O344" s="22" t="n">
        <f aca="false">IF($A344&gt;=Premissas!$C$18,Premissas!$C$60*(1+Premissas!$C$59)^((YEAR($A344)-YEAR(Premissas!$C$18))*12+MONTH($A344)-MONTH(Premissas!$C$18)),"")</f>
        <v>1366000.23040625</v>
      </c>
      <c r="P344" s="31" t="n">
        <f aca="false">(1+IF(YEAR($A344)&lt;=2026,Premissas!$C$49,IF(YEAR($A344)=2027,Premissas!$C$50,IF(YEAR($A344)=2028,Premissas!$C$51,Premissas!$C$52)))*(1-Premissas!$C$53))^(1/12)-1</f>
        <v>0.00682149336596227</v>
      </c>
      <c r="Q344" s="22" t="n">
        <f aca="false">($A344=Premissas!$C$16)*Premissas!$C$13</f>
        <v>0</v>
      </c>
      <c r="R344" s="22" t="n">
        <f aca="false">L344-M344-N344-Q344</f>
        <v>3914.31693509817</v>
      </c>
      <c r="S344" s="22" t="n">
        <f aca="false">S343+R344</f>
        <v>430106.336193283</v>
      </c>
      <c r="T344" s="22" t="n">
        <f aca="false">IF($A344&gt;=Premissas!$C$18,O344*(1-Premissas!$C$45)-Premissas!$C$46*MAX(0,O344*(1-Premissas!$C$45)-(SUM($Q$5:$Q$355)+Premissas!$C$26*Premissas!$C$60)),"")</f>
        <v>1131404.19244134</v>
      </c>
      <c r="U344" s="22" t="n">
        <f aca="false">IF($A344&gt;=Premissas!$C$18,S344+T344,"")</f>
        <v>1561510.52863462</v>
      </c>
      <c r="V344" s="22" t="n">
        <f aca="false">V343*(1+$P344)-R344</f>
        <v>1016908.20939024</v>
      </c>
      <c r="W344" s="22" t="n">
        <f aca="false">($A344=Premissas!$C$16)*Premissas!$C$9</f>
        <v>0</v>
      </c>
      <c r="X344" s="22" t="n">
        <f aca="false">L344-M344-N344-W344</f>
        <v>3914.31693509817</v>
      </c>
      <c r="Y344" s="22" t="n">
        <f aca="false">Y343+X344</f>
        <v>399178.336193283</v>
      </c>
      <c r="Z344" s="22" t="n">
        <f aca="false">IF($A344&gt;=Premissas!$C$18,O344*(1-Premissas!$C$45)-Premissas!$C$46*MAX(0,O344*(1-Premissas!$C$45)-(SUM($W$5:$W$355)+Premissas!$C$26*Premissas!$C$60)),"")</f>
        <v>1136043.39244134</v>
      </c>
      <c r="AA344" s="22" t="n">
        <f aca="false">IF($A344&gt;=Premissas!$C$18,Y344+Z344,"")</f>
        <v>1535221.72863462</v>
      </c>
      <c r="AB344" s="22" t="n">
        <f aca="false">AB343*(1+$P344)-X344</f>
        <v>1337009.8695096</v>
      </c>
      <c r="AC344" s="22" t="n">
        <f aca="false">AND($A344&gt;=Premissas!$C$16,$A344&lt;EDATE(Premissas!$C$16,3))*Premissas!$C$10/3*(1+Premissas!$C$56)^$C344</f>
        <v>0</v>
      </c>
      <c r="AD344" s="22" t="n">
        <f aca="false">L344-M344-N344-AC344</f>
        <v>3914.31693509817</v>
      </c>
      <c r="AE344" s="22" t="n">
        <f aca="false">AE343+AD344</f>
        <v>391557.872313258</v>
      </c>
      <c r="AF344" s="22" t="n">
        <f aca="false">IF($A344&gt;=Premissas!$C$18,O344*(1-Premissas!$C$45)-Premissas!$C$46*MAX(0,O344*(1-Premissas!$C$45)-(SUM($AC$5:$AC$355)+Premissas!$C$26*Premissas!$C$60)),"")</f>
        <v>1137186.46202334</v>
      </c>
      <c r="AG344" s="22" t="n">
        <f aca="false">IF($A344&gt;=Premissas!$C$18,AE344+AF344,"")</f>
        <v>1528744.3343366</v>
      </c>
      <c r="AH344" s="22" t="n">
        <f aca="false">AH343*(1+$P344)-AD344</f>
        <v>1388033.82716976</v>
      </c>
      <c r="AI344" s="22" t="n">
        <f aca="false">($A344=Premissas!$C$16)*0.2*Premissas!$C$11+AND($A344&gt;Premissas!$C$16,$A344&lt;=EDATE(Premissas!$C$16,43))*0.8*Premissas!$C$11/43*(1+Premissas!$C$56)^$C344</f>
        <v>0</v>
      </c>
      <c r="AJ344" s="22" t="n">
        <f aca="false">L344-M344-N344-AI344</f>
        <v>3914.31693509817</v>
      </c>
      <c r="AK344" s="22" t="n">
        <f aca="false">AK343+AJ344</f>
        <v>345693.386895196</v>
      </c>
      <c r="AL344" s="22" t="n">
        <f aca="false">IF($A344&gt;=Premissas!$C$18,O344*(1-Premissas!$C$45)-Premissas!$C$46*MAX(0,O344*(1-Premissas!$C$45)-(SUM($AI$5:$AI$355)+Premissas!$C$26*Premissas!$C$60)),"")</f>
        <v>1144066.13483605</v>
      </c>
      <c r="AM344" s="22" t="n">
        <f aca="false">IF($A344&gt;=Premissas!$C$18,AK344+AL344,"")</f>
        <v>1489759.52173125</v>
      </c>
      <c r="AN344" s="22" t="n">
        <f aca="false">AN343*(1+$P344)-AJ344</f>
        <v>1435642.10086277</v>
      </c>
      <c r="AO344" s="22" t="n">
        <f aca="false">V344+S344</f>
        <v>1447014.54558353</v>
      </c>
    </row>
    <row r="345" customFormat="false" ht="15" hidden="false" customHeight="false" outlineLevel="0" collapsed="false">
      <c r="A345" s="26" t="n">
        <f aca="false">DATE(YEAR(A344),MONTH(A344)+1,1)</f>
        <v>56646</v>
      </c>
      <c r="B345" s="22" t="str">
        <f aca="false">IF($A345&lt;Premissas!$C$18,"Obra",IF($A345&lt;Premissas!$C$20,"Entrega/mobília","Airbnb"))</f>
        <v>Airbnb</v>
      </c>
      <c r="C345" s="36" t="n">
        <f aca="false">(YEAR($A345)-YEAR(Premissas!$C$16))*12+MONTH($A345)-MONTH(Premissas!$C$16)</f>
        <v>340</v>
      </c>
      <c r="D345" s="33" t="n">
        <f aca="false">IF($A345&gt;=Premissas!$C$20,Premissas!$C$31*IF(((YEAR($A345)-YEAR(Premissas!$C$20))*12+MONTH($A345)-MONTH(Premissas!$C$20))&lt;Premissas!$C$33,Premissas!$C$34,1),0)</f>
        <v>0.62</v>
      </c>
      <c r="E345" s="22" t="n">
        <f aca="false">D345*Premissas!$C$30*Premissas!$C$32*(1+Premissas!$C$58)^$C345</f>
        <v>14127.464771998</v>
      </c>
      <c r="F345" s="22" t="n">
        <f aca="false">E345*Premissas!$C$35</f>
        <v>2260.39436351968</v>
      </c>
      <c r="G345" s="22" t="n">
        <f aca="false">E345*Premissas!$C$36</f>
        <v>2825.4929543996</v>
      </c>
      <c r="H345" s="22" t="n">
        <f aca="false">IF($A345&gt;=Premissas!$C$18,Premissas!$C$37*(1+Premissas!$C$58)^$C345,0)</f>
        <v>1822.89868025781</v>
      </c>
      <c r="I345" s="22" t="n">
        <f aca="false">IF($A345&gt;=Premissas!$C$20,Premissas!$C$38*(1+Premissas!$C$58)^$C345,0)</f>
        <v>850.686050786976</v>
      </c>
      <c r="J345" s="22" t="n">
        <f aca="false">IF($A345&gt;=Premissas!$C$20,Premissas!$C$39*(1+Premissas!$C$58)^$C345,0)</f>
        <v>455.724670064451</v>
      </c>
      <c r="K345" s="22" t="n">
        <f aca="false">IF($A345&gt;=Premissas!$C$20,MAX(0,E345-F345-G345-H345)*Premissas!$C$41,0)</f>
        <v>1985.13666280075</v>
      </c>
      <c r="L345" s="22" t="n">
        <f aca="false">E345-F345-G345-H345-I345-J345-K345</f>
        <v>3927.13139016873</v>
      </c>
      <c r="M345" s="22" t="n">
        <f aca="false">($A345=Premissas!$C$18)*Premissas!$C$26*Premissas!$C$60</f>
        <v>0</v>
      </c>
      <c r="N345" s="22" t="n">
        <f aca="false">IF(AND($A345&gt;=Premissas!$C$18,$A345&lt;Premissas!$C$20),Premissas!$C$27/MAX(1,Premissas!$C$19),0)</f>
        <v>0</v>
      </c>
      <c r="O345" s="22" t="n">
        <f aca="false">IF($A345&gt;=Premissas!$C$18,Premissas!$C$60*(1+Premissas!$C$59)^((YEAR($A345)-YEAR(Premissas!$C$18))*12+MONTH($A345)-MONTH(Premissas!$C$18)),"")</f>
        <v>1371565.48443341</v>
      </c>
      <c r="P345" s="31" t="n">
        <f aca="false">(1+IF(YEAR($A345)&lt;=2026,Premissas!$C$49,IF(YEAR($A345)=2027,Premissas!$C$50,IF(YEAR($A345)=2028,Premissas!$C$51,Premissas!$C$52)))*(1-Premissas!$C$53))^(1/12)-1</f>
        <v>0.00682149336596227</v>
      </c>
      <c r="Q345" s="22" t="n">
        <f aca="false">($A345=Premissas!$C$16)*Premissas!$C$13</f>
        <v>0</v>
      </c>
      <c r="R345" s="22" t="n">
        <f aca="false">L345-M345-N345-Q345</f>
        <v>3927.13139016873</v>
      </c>
      <c r="S345" s="22" t="n">
        <f aca="false">S344+R345</f>
        <v>434033.467583451</v>
      </c>
      <c r="T345" s="22" t="n">
        <f aca="false">IF($A345&gt;=Premissas!$C$18,O345*(1-Premissas!$C$45)-Premissas!$C$46*MAX(0,O345*(1-Premissas!$C$45)-(SUM($Q$5:$Q$355)+Premissas!$C$26*Premissas!$C$60)),"")</f>
        <v>1135850.83040904</v>
      </c>
      <c r="U345" s="22" t="n">
        <f aca="false">IF($A345&gt;=Premissas!$C$18,S345+T345,"")</f>
        <v>1569884.29799249</v>
      </c>
      <c r="V345" s="22" t="n">
        <f aca="false">V344*(1+$P345)-R345</f>
        <v>1019917.91060422</v>
      </c>
      <c r="W345" s="22" t="n">
        <f aca="false">($A345=Premissas!$C$16)*Premissas!$C$9</f>
        <v>0</v>
      </c>
      <c r="X345" s="22" t="n">
        <f aca="false">L345-M345-N345-W345</f>
        <v>3927.13139016873</v>
      </c>
      <c r="Y345" s="22" t="n">
        <f aca="false">Y344+X345</f>
        <v>403105.467583452</v>
      </c>
      <c r="Z345" s="22" t="n">
        <f aca="false">IF($A345&gt;=Premissas!$C$18,O345*(1-Premissas!$C$45)-Premissas!$C$46*MAX(0,O345*(1-Premissas!$C$45)-(SUM($W$5:$W$355)+Premissas!$C$26*Premissas!$C$60)),"")</f>
        <v>1140490.03040904</v>
      </c>
      <c r="AA345" s="22" t="n">
        <f aca="false">IF($A345&gt;=Premissas!$C$18,Y345+Z345,"")</f>
        <v>1543595.49799249</v>
      </c>
      <c r="AB345" s="22" t="n">
        <f aca="false">AB344*(1+$P345)-X345</f>
        <v>1342203.14207452</v>
      </c>
      <c r="AC345" s="22" t="n">
        <f aca="false">AND($A345&gt;=Premissas!$C$16,$A345&lt;EDATE(Premissas!$C$16,3))*Premissas!$C$10/3*(1+Premissas!$C$56)^$C345</f>
        <v>0</v>
      </c>
      <c r="AD345" s="22" t="n">
        <f aca="false">L345-M345-N345-AC345</f>
        <v>3927.13139016873</v>
      </c>
      <c r="AE345" s="22" t="n">
        <f aca="false">AE344+AD345</f>
        <v>395485.003703427</v>
      </c>
      <c r="AF345" s="22" t="n">
        <f aca="false">IF($A345&gt;=Premissas!$C$18,O345*(1-Premissas!$C$45)-Premissas!$C$46*MAX(0,O345*(1-Premissas!$C$45)-(SUM($AC$5:$AC$355)+Premissas!$C$26*Premissas!$C$60)),"")</f>
        <v>1141633.09999105</v>
      </c>
      <c r="AG345" s="22" t="n">
        <f aca="false">IF($A345&gt;=Premissas!$C$18,AE345+AF345,"")</f>
        <v>1537118.10369447</v>
      </c>
      <c r="AH345" s="22" t="n">
        <f aca="false">AH344*(1+$P345)-AD345</f>
        <v>1393575.15932336</v>
      </c>
      <c r="AI345" s="22" t="n">
        <f aca="false">($A345=Premissas!$C$16)*0.2*Premissas!$C$11+AND($A345&gt;Premissas!$C$16,$A345&lt;=EDATE(Premissas!$C$16,43))*0.8*Premissas!$C$11/43*(1+Premissas!$C$56)^$C345</f>
        <v>0</v>
      </c>
      <c r="AJ345" s="22" t="n">
        <f aca="false">L345-M345-N345-AI345</f>
        <v>3927.13139016873</v>
      </c>
      <c r="AK345" s="22" t="n">
        <f aca="false">AK344+AJ345</f>
        <v>349620.518285365</v>
      </c>
      <c r="AL345" s="22" t="n">
        <f aca="false">IF($A345&gt;=Premissas!$C$18,O345*(1-Premissas!$C$45)-Premissas!$C$46*MAX(0,O345*(1-Premissas!$C$45)-(SUM($AI$5:$AI$355)+Premissas!$C$26*Premissas!$C$60)),"")</f>
        <v>1148512.77280376</v>
      </c>
      <c r="AM345" s="22" t="n">
        <f aca="false">IF($A345&gt;=Premissas!$C$18,AK345+AL345,"")</f>
        <v>1498133.29108912</v>
      </c>
      <c r="AN345" s="22" t="n">
        <f aca="false">AN344*(1+$P345)-AJ345</f>
        <v>1441508.19253953</v>
      </c>
      <c r="AO345" s="22" t="n">
        <f aca="false">V345+S345</f>
        <v>1453951.37818767</v>
      </c>
    </row>
    <row r="346" customFormat="false" ht="15" hidden="false" customHeight="false" outlineLevel="0" collapsed="false">
      <c r="A346" s="26" t="n">
        <f aca="false">DATE(YEAR(A345),MONTH(A345)+1,1)</f>
        <v>56674</v>
      </c>
      <c r="B346" s="22" t="str">
        <f aca="false">IF($A346&lt;Premissas!$C$18,"Obra",IF($A346&lt;Premissas!$C$20,"Entrega/mobília","Airbnb"))</f>
        <v>Airbnb</v>
      </c>
      <c r="C346" s="36" t="n">
        <f aca="false">(YEAR($A346)-YEAR(Premissas!$C$16))*12+MONTH($A346)-MONTH(Premissas!$C$16)</f>
        <v>341</v>
      </c>
      <c r="D346" s="33" t="n">
        <f aca="false">IF($A346&gt;=Premissas!$C$20,Premissas!$C$31*IF(((YEAR($A346)-YEAR(Premissas!$C$20))*12+MONTH($A346)-MONTH(Premissas!$C$20))&lt;Premissas!$C$33,Premissas!$C$34,1),0)</f>
        <v>0.62</v>
      </c>
      <c r="E346" s="22" t="n">
        <f aca="false">D346*Premissas!$C$30*Premissas!$C$32*(1+Premissas!$C$58)^$C346</f>
        <v>14173.7144154437</v>
      </c>
      <c r="F346" s="22" t="n">
        <f aca="false">E346*Premissas!$C$35</f>
        <v>2267.79430647099</v>
      </c>
      <c r="G346" s="22" t="n">
        <f aca="false">E346*Premissas!$C$36</f>
        <v>2834.74288308874</v>
      </c>
      <c r="H346" s="22" t="n">
        <f aca="false">IF($A346&gt;=Premissas!$C$18,Premissas!$C$37*(1+Premissas!$C$58)^$C346,0)</f>
        <v>1828.86637618628</v>
      </c>
      <c r="I346" s="22" t="n">
        <f aca="false">IF($A346&gt;=Premissas!$C$20,Premissas!$C$38*(1+Premissas!$C$58)^$C346,0)</f>
        <v>853.470975553599</v>
      </c>
      <c r="J346" s="22" t="n">
        <f aca="false">IF($A346&gt;=Premissas!$C$20,Premissas!$C$39*(1+Premissas!$C$58)^$C346,0)</f>
        <v>457.216594046571</v>
      </c>
      <c r="K346" s="22" t="n">
        <f aca="false">IF($A346&gt;=Premissas!$C$20,MAX(0,E346-F346-G346-H346)*Premissas!$C$41,0)</f>
        <v>1991.63548366686</v>
      </c>
      <c r="L346" s="22" t="n">
        <f aca="false">E346-F346-G346-H346-I346-J346-K346</f>
        <v>3939.98779643065</v>
      </c>
      <c r="M346" s="22" t="n">
        <f aca="false">($A346=Premissas!$C$18)*Premissas!$C$26*Premissas!$C$60</f>
        <v>0</v>
      </c>
      <c r="N346" s="22" t="n">
        <f aca="false">IF(AND($A346&gt;=Premissas!$C$18,$A346&lt;Premissas!$C$20),Premissas!$C$27/MAX(1,Premissas!$C$19),0)</f>
        <v>0</v>
      </c>
      <c r="O346" s="22" t="n">
        <f aca="false">IF($A346&gt;=Premissas!$C$18,Premissas!$C$60*(1+Premissas!$C$59)^((YEAR($A346)-YEAR(Premissas!$C$18))*12+MONTH($A346)-MONTH(Premissas!$C$18)),"")</f>
        <v>1377153.41199437</v>
      </c>
      <c r="P346" s="31" t="n">
        <f aca="false">(1+IF(YEAR($A346)&lt;=2026,Premissas!$C$49,IF(YEAR($A346)=2027,Premissas!$C$50,IF(YEAR($A346)=2028,Premissas!$C$51,Premissas!$C$52)))*(1-Premissas!$C$53))^(1/12)-1</f>
        <v>0.00682149336596227</v>
      </c>
      <c r="Q346" s="22" t="n">
        <f aca="false">($A346=Premissas!$C$16)*Premissas!$C$13</f>
        <v>0</v>
      </c>
      <c r="R346" s="22" t="n">
        <f aca="false">L346-M346-N346-Q346</f>
        <v>3939.98779643065</v>
      </c>
      <c r="S346" s="22" t="n">
        <f aca="false">S345+R346</f>
        <v>437973.455379882</v>
      </c>
      <c r="T346" s="22" t="n">
        <f aca="false">IF($A346&gt;=Premissas!$C$18,O346*(1-Premissas!$C$45)-Premissas!$C$46*MAX(0,O346*(1-Premissas!$C$45)-(SUM($Q$5:$Q$355)+Premissas!$C$26*Premissas!$C$60)),"")</f>
        <v>1140315.58453025</v>
      </c>
      <c r="U346" s="22" t="n">
        <f aca="false">IF($A346&gt;=Premissas!$C$18,S346+T346,"")</f>
        <v>1578289.03991013</v>
      </c>
      <c r="V346" s="22" t="n">
        <f aca="false">V345*(1+$P346)-R346</f>
        <v>1022935.28606881</v>
      </c>
      <c r="W346" s="22" t="n">
        <f aca="false">($A346=Premissas!$C$16)*Premissas!$C$9</f>
        <v>0</v>
      </c>
      <c r="X346" s="22" t="n">
        <f aca="false">L346-M346-N346-W346</f>
        <v>3939.98779643065</v>
      </c>
      <c r="Y346" s="22" t="n">
        <f aca="false">Y345+X346</f>
        <v>407045.455379882</v>
      </c>
      <c r="Z346" s="22" t="n">
        <f aca="false">IF($A346&gt;=Premissas!$C$18,O346*(1-Premissas!$C$45)-Premissas!$C$46*MAX(0,O346*(1-Premissas!$C$45)-(SUM($W$5:$W$355)+Premissas!$C$26*Premissas!$C$60)),"")</f>
        <v>1144954.78453025</v>
      </c>
      <c r="AA346" s="22" t="n">
        <f aca="false">IF($A346&gt;=Premissas!$C$18,Y346+Z346,"")</f>
        <v>1552000.23991013</v>
      </c>
      <c r="AB346" s="22" t="n">
        <f aca="false">AB345*(1+$P346)-X346</f>
        <v>1347418.98410752</v>
      </c>
      <c r="AC346" s="22" t="n">
        <f aca="false">AND($A346&gt;=Premissas!$C$16,$A346&lt;EDATE(Premissas!$C$16,3))*Premissas!$C$10/3*(1+Premissas!$C$56)^$C346</f>
        <v>0</v>
      </c>
      <c r="AD346" s="22" t="n">
        <f aca="false">L346-M346-N346-AC346</f>
        <v>3939.98779643065</v>
      </c>
      <c r="AE346" s="22" t="n">
        <f aca="false">AE345+AD346</f>
        <v>399424.991499857</v>
      </c>
      <c r="AF346" s="22" t="n">
        <f aca="false">IF($A346&gt;=Premissas!$C$18,O346*(1-Premissas!$C$45)-Premissas!$C$46*MAX(0,O346*(1-Premissas!$C$45)-(SUM($AC$5:$AC$355)+Premissas!$C$26*Premissas!$C$60)),"")</f>
        <v>1146097.85411225</v>
      </c>
      <c r="AG346" s="22" t="n">
        <f aca="false">IF($A346&gt;=Premissas!$C$18,AE346+AF346,"")</f>
        <v>1545522.84561211</v>
      </c>
      <c r="AH346" s="22" t="n">
        <f aca="false">AH345*(1+$P346)-AD346</f>
        <v>1399141.43523122</v>
      </c>
      <c r="AI346" s="22" t="n">
        <f aca="false">($A346=Premissas!$C$16)*0.2*Premissas!$C$11+AND($A346&gt;Premissas!$C$16,$A346&lt;=EDATE(Premissas!$C$16,43))*0.8*Premissas!$C$11/43*(1+Premissas!$C$56)^$C346</f>
        <v>0</v>
      </c>
      <c r="AJ346" s="22" t="n">
        <f aca="false">L346-M346-N346-AI346</f>
        <v>3939.98779643065</v>
      </c>
      <c r="AK346" s="22" t="n">
        <f aca="false">AK345+AJ346</f>
        <v>353560.506081795</v>
      </c>
      <c r="AL346" s="22" t="n">
        <f aca="false">IF($A346&gt;=Premissas!$C$18,O346*(1-Premissas!$C$45)-Premissas!$C$46*MAX(0,O346*(1-Premissas!$C$45)-(SUM($AI$5:$AI$355)+Premissas!$C$26*Premissas!$C$60)),"")</f>
        <v>1152977.52692496</v>
      </c>
      <c r="AM346" s="22" t="n">
        <f aca="false">IF($A346&gt;=Premissas!$C$18,AK346+AL346,"")</f>
        <v>1506538.03300676</v>
      </c>
      <c r="AN346" s="22" t="n">
        <f aca="false">AN345*(1+$P346)-AJ346</f>
        <v>1447401.44331549</v>
      </c>
      <c r="AO346" s="22" t="n">
        <f aca="false">V346+S346</f>
        <v>1460908.74144869</v>
      </c>
    </row>
    <row r="347" customFormat="false" ht="15" hidden="false" customHeight="false" outlineLevel="0" collapsed="false">
      <c r="A347" s="26" t="n">
        <f aca="false">DATE(YEAR(A346),MONTH(A346)+1,1)</f>
        <v>56705</v>
      </c>
      <c r="B347" s="22" t="str">
        <f aca="false">IF($A347&lt;Premissas!$C$18,"Obra",IF($A347&lt;Premissas!$C$20,"Entrega/mobília","Airbnb"))</f>
        <v>Airbnb</v>
      </c>
      <c r="C347" s="36" t="n">
        <f aca="false">(YEAR($A347)-YEAR(Premissas!$C$16))*12+MONTH($A347)-MONTH(Premissas!$C$16)</f>
        <v>342</v>
      </c>
      <c r="D347" s="33" t="n">
        <f aca="false">IF($A347&gt;=Premissas!$C$20,Premissas!$C$31*IF(((YEAR($A347)-YEAR(Premissas!$C$20))*12+MONTH($A347)-MONTH(Premissas!$C$20))&lt;Premissas!$C$33,Premissas!$C$34,1),0)</f>
        <v>0.62</v>
      </c>
      <c r="E347" s="22" t="n">
        <f aca="false">D347*Premissas!$C$30*Premissas!$C$32*(1+Premissas!$C$58)^$C347</f>
        <v>14220.1154681871</v>
      </c>
      <c r="F347" s="22" t="n">
        <f aca="false">E347*Premissas!$C$35</f>
        <v>2275.21847490993</v>
      </c>
      <c r="G347" s="22" t="n">
        <f aca="false">E347*Premissas!$C$36</f>
        <v>2844.02309363741</v>
      </c>
      <c r="H347" s="22" t="n">
        <f aca="false">IF($A347&gt;=Premissas!$C$18,Premissas!$C$37*(1+Premissas!$C$58)^$C347,0)</f>
        <v>1834.85360879833</v>
      </c>
      <c r="I347" s="22" t="n">
        <f aca="false">IF($A347&gt;=Premissas!$C$20,Premissas!$C$38*(1+Premissas!$C$58)^$C347,0)</f>
        <v>856.265017439221</v>
      </c>
      <c r="J347" s="22" t="n">
        <f aca="false">IF($A347&gt;=Premissas!$C$20,Premissas!$C$39*(1+Premissas!$C$58)^$C347,0)</f>
        <v>458.713402199583</v>
      </c>
      <c r="K347" s="22" t="n">
        <f aca="false">IF($A347&gt;=Premissas!$C$20,MAX(0,E347-F347-G347-H347)*Premissas!$C$41,0)</f>
        <v>1998.15557998138</v>
      </c>
      <c r="L347" s="22" t="n">
        <f aca="false">E347-F347-G347-H347-I347-J347-K347</f>
        <v>3952.8862912212</v>
      </c>
      <c r="M347" s="22" t="n">
        <f aca="false">($A347=Premissas!$C$18)*Premissas!$C$26*Premissas!$C$60</f>
        <v>0</v>
      </c>
      <c r="N347" s="22" t="n">
        <f aca="false">IF(AND($A347&gt;=Premissas!$C$18,$A347&lt;Premissas!$C$20),Premissas!$C$27/MAX(1,Premissas!$C$19),0)</f>
        <v>0</v>
      </c>
      <c r="O347" s="22" t="n">
        <f aca="false">IF($A347&gt;=Premissas!$C$18,Premissas!$C$60*(1+Premissas!$C$59)^((YEAR($A347)-YEAR(Premissas!$C$18))*12+MONTH($A347)-MONTH(Premissas!$C$18)),"")</f>
        <v>1382764.10546391</v>
      </c>
      <c r="P347" s="31" t="n">
        <f aca="false">(1+IF(YEAR($A347)&lt;=2026,Premissas!$C$49,IF(YEAR($A347)=2027,Premissas!$C$50,IF(YEAR($A347)=2028,Premissas!$C$51,Premissas!$C$52)))*(1-Premissas!$C$53))^(1/12)-1</f>
        <v>0.00682149336596227</v>
      </c>
      <c r="Q347" s="22" t="n">
        <f aca="false">($A347=Premissas!$C$16)*Premissas!$C$13</f>
        <v>0</v>
      </c>
      <c r="R347" s="22" t="n">
        <f aca="false">L347-M347-N347-Q347</f>
        <v>3952.8862912212</v>
      </c>
      <c r="S347" s="22" t="n">
        <f aca="false">S346+R347</f>
        <v>441926.341671103</v>
      </c>
      <c r="T347" s="22" t="n">
        <f aca="false">IF($A347&gt;=Premissas!$C$18,O347*(1-Premissas!$C$45)-Premissas!$C$46*MAX(0,O347*(1-Premissas!$C$45)-(SUM($Q$5:$Q$355)+Premissas!$C$26*Premissas!$C$60)),"")</f>
        <v>1144798.52861241</v>
      </c>
      <c r="U347" s="22" t="n">
        <f aca="false">IF($A347&gt;=Premissas!$C$18,S347+T347,"")</f>
        <v>1586724.87028352</v>
      </c>
      <c r="V347" s="22" t="n">
        <f aca="false">V346*(1+$P347)-R347</f>
        <v>1025960.34604531</v>
      </c>
      <c r="W347" s="22" t="n">
        <f aca="false">($A347=Premissas!$C$16)*Premissas!$C$9</f>
        <v>0</v>
      </c>
      <c r="X347" s="22" t="n">
        <f aca="false">L347-M347-N347-W347</f>
        <v>3952.8862912212</v>
      </c>
      <c r="Y347" s="22" t="n">
        <f aca="false">Y346+X347</f>
        <v>410998.341671103</v>
      </c>
      <c r="Z347" s="22" t="n">
        <f aca="false">IF($A347&gt;=Premissas!$C$18,O347*(1-Premissas!$C$45)-Premissas!$C$46*MAX(0,O347*(1-Premissas!$C$45)-(SUM($W$5:$W$355)+Premissas!$C$26*Premissas!$C$60)),"")</f>
        <v>1149437.72861241</v>
      </c>
      <c r="AA347" s="22" t="n">
        <f aca="false">IF($A347&gt;=Premissas!$C$18,Y347+Z347,"")</f>
        <v>1560436.07028352</v>
      </c>
      <c r="AB347" s="22" t="n">
        <f aca="false">AB346*(1+$P347)-X347</f>
        <v>1352657.50747756</v>
      </c>
      <c r="AC347" s="22" t="n">
        <f aca="false">AND($A347&gt;=Premissas!$C$16,$A347&lt;EDATE(Premissas!$C$16,3))*Premissas!$C$10/3*(1+Premissas!$C$56)^$C347</f>
        <v>0</v>
      </c>
      <c r="AD347" s="22" t="n">
        <f aca="false">L347-M347-N347-AC347</f>
        <v>3952.8862912212</v>
      </c>
      <c r="AE347" s="22" t="n">
        <f aca="false">AE346+AD347</f>
        <v>403377.877791078</v>
      </c>
      <c r="AF347" s="22" t="n">
        <f aca="false">IF($A347&gt;=Premissas!$C$18,O347*(1-Premissas!$C$45)-Premissas!$C$46*MAX(0,O347*(1-Premissas!$C$45)-(SUM($AC$5:$AC$355)+Premissas!$C$26*Premissas!$C$60)),"")</f>
        <v>1150580.79819442</v>
      </c>
      <c r="AG347" s="22" t="n">
        <f aca="false">IF($A347&gt;=Premissas!$C$18,AE347+AF347,"")</f>
        <v>1553958.67598549</v>
      </c>
      <c r="AH347" s="22" t="n">
        <f aca="false">AH346*(1+$P347)-AD347</f>
        <v>1404732.78295847</v>
      </c>
      <c r="AI347" s="22" t="n">
        <f aca="false">($A347=Premissas!$C$16)*0.2*Premissas!$C$11+AND($A347&gt;Premissas!$C$16,$A347&lt;=EDATE(Premissas!$C$16,43))*0.8*Premissas!$C$11/43*(1+Premissas!$C$56)^$C347</f>
        <v>0</v>
      </c>
      <c r="AJ347" s="22" t="n">
        <f aca="false">L347-M347-N347-AI347</f>
        <v>3952.8862912212</v>
      </c>
      <c r="AK347" s="22" t="n">
        <f aca="false">AK346+AJ347</f>
        <v>357513.392373017</v>
      </c>
      <c r="AL347" s="22" t="n">
        <f aca="false">IF($A347&gt;=Premissas!$C$18,O347*(1-Premissas!$C$45)-Premissas!$C$46*MAX(0,O347*(1-Premissas!$C$45)-(SUM($AI$5:$AI$355)+Premissas!$C$26*Premissas!$C$60)),"")</f>
        <v>1157460.47100713</v>
      </c>
      <c r="AM347" s="22" t="n">
        <f aca="false">IF($A347&gt;=Premissas!$C$18,AK347+AL347,"")</f>
        <v>1514973.86338014</v>
      </c>
      <c r="AN347" s="22" t="n">
        <f aca="false">AN346*(1+$P347)-AJ347</f>
        <v>1453321.99636773</v>
      </c>
      <c r="AO347" s="22" t="n">
        <f aca="false">V347+S347</f>
        <v>1467886.68771641</v>
      </c>
    </row>
    <row r="348" customFormat="false" ht="15" hidden="false" customHeight="false" outlineLevel="0" collapsed="false">
      <c r="A348" s="26" t="n">
        <f aca="false">DATE(YEAR(A347),MONTH(A347)+1,1)</f>
        <v>56735</v>
      </c>
      <c r="B348" s="22" t="str">
        <f aca="false">IF($A348&lt;Premissas!$C$18,"Obra",IF($A348&lt;Premissas!$C$20,"Entrega/mobília","Airbnb"))</f>
        <v>Airbnb</v>
      </c>
      <c r="C348" s="36" t="n">
        <f aca="false">(YEAR($A348)-YEAR(Premissas!$C$16))*12+MONTH($A348)-MONTH(Premissas!$C$16)</f>
        <v>343</v>
      </c>
      <c r="D348" s="33" t="n">
        <f aca="false">IF($A348&gt;=Premissas!$C$20,Premissas!$C$31*IF(((YEAR($A348)-YEAR(Premissas!$C$20))*12+MONTH($A348)-MONTH(Premissas!$C$20))&lt;Premissas!$C$33,Premissas!$C$34,1),0)</f>
        <v>0.62</v>
      </c>
      <c r="E348" s="22" t="n">
        <f aca="false">D348*Premissas!$C$30*Premissas!$C$32*(1+Premissas!$C$58)^$C348</f>
        <v>14266.6684259027</v>
      </c>
      <c r="F348" s="22" t="n">
        <f aca="false">E348*Premissas!$C$35</f>
        <v>2282.66694814444</v>
      </c>
      <c r="G348" s="22" t="n">
        <f aca="false">E348*Premissas!$C$36</f>
        <v>2853.33368518055</v>
      </c>
      <c r="H348" s="22" t="n">
        <f aca="false">IF($A348&gt;=Premissas!$C$18,Premissas!$C$37*(1+Premissas!$C$58)^$C348,0)</f>
        <v>1840.86044205196</v>
      </c>
      <c r="I348" s="22" t="n">
        <f aca="false">IF($A348&gt;=Premissas!$C$20,Premissas!$C$38*(1+Premissas!$C$58)^$C348,0)</f>
        <v>859.068206290917</v>
      </c>
      <c r="J348" s="22" t="n">
        <f aca="false">IF($A348&gt;=Premissas!$C$20,Premissas!$C$39*(1+Premissas!$C$58)^$C348,0)</f>
        <v>460.215110512991</v>
      </c>
      <c r="K348" s="22" t="n">
        <f aca="false">IF($A348&gt;=Premissas!$C$20,MAX(0,E348-F348-G348-H348)*Premissas!$C$41,0)</f>
        <v>2004.69702139459</v>
      </c>
      <c r="L348" s="22" t="n">
        <f aca="false">E348-F348-G348-H348-I348-J348-K348</f>
        <v>3965.82701232728</v>
      </c>
      <c r="M348" s="22" t="n">
        <f aca="false">($A348=Premissas!$C$18)*Premissas!$C$26*Premissas!$C$60</f>
        <v>0</v>
      </c>
      <c r="N348" s="22" t="n">
        <f aca="false">IF(AND($A348&gt;=Premissas!$C$18,$A348&lt;Premissas!$C$20),Premissas!$C$27/MAX(1,Premissas!$C$19),0)</f>
        <v>0</v>
      </c>
      <c r="O348" s="22" t="n">
        <f aca="false">IF($A348&gt;=Premissas!$C$18,Premissas!$C$60*(1+Premissas!$C$59)^((YEAR($A348)-YEAR(Premissas!$C$18))*12+MONTH($A348)-MONTH(Premissas!$C$18)),"")</f>
        <v>1388397.65759316</v>
      </c>
      <c r="P348" s="31" t="n">
        <f aca="false">(1+IF(YEAR($A348)&lt;=2026,Premissas!$C$49,IF(YEAR($A348)=2027,Premissas!$C$50,IF(YEAR($A348)=2028,Premissas!$C$51,Premissas!$C$52)))*(1-Premissas!$C$53))^(1/12)-1</f>
        <v>0.00682149336596227</v>
      </c>
      <c r="Q348" s="22" t="n">
        <f aca="false">($A348=Premissas!$C$16)*Premissas!$C$13</f>
        <v>0</v>
      </c>
      <c r="R348" s="22" t="n">
        <f aca="false">L348-M348-N348-Q348</f>
        <v>3965.82701232728</v>
      </c>
      <c r="S348" s="22" t="n">
        <f aca="false">S347+R348</f>
        <v>445892.16868343</v>
      </c>
      <c r="T348" s="22" t="n">
        <f aca="false">IF($A348&gt;=Premissas!$C$18,O348*(1-Premissas!$C$45)-Premissas!$C$46*MAX(0,O348*(1-Premissas!$C$45)-(SUM($Q$5:$Q$355)+Premissas!$C$26*Premissas!$C$60)),"")</f>
        <v>1149299.73676368</v>
      </c>
      <c r="U348" s="22" t="n">
        <f aca="false">IF($A348&gt;=Premissas!$C$18,S348+T348,"")</f>
        <v>1595191.90544711</v>
      </c>
      <c r="V348" s="22" t="n">
        <f aca="false">V347*(1+$P348)-R348</f>
        <v>1028993.10072727</v>
      </c>
      <c r="W348" s="22" t="n">
        <f aca="false">($A348=Premissas!$C$16)*Premissas!$C$9</f>
        <v>0</v>
      </c>
      <c r="X348" s="22" t="n">
        <f aca="false">L348-M348-N348-W348</f>
        <v>3965.82701232728</v>
      </c>
      <c r="Y348" s="22" t="n">
        <f aca="false">Y347+X348</f>
        <v>414964.168683431</v>
      </c>
      <c r="Z348" s="22" t="n">
        <f aca="false">IF($A348&gt;=Premissas!$C$18,O348*(1-Premissas!$C$45)-Premissas!$C$46*MAX(0,O348*(1-Premissas!$C$45)-(SUM($W$5:$W$355)+Premissas!$C$26*Premissas!$C$60)),"")</f>
        <v>1153938.93676368</v>
      </c>
      <c r="AA348" s="22" t="n">
        <f aca="false">IF($A348&gt;=Premissas!$C$18,Y348+Z348,"")</f>
        <v>1568903.10544711</v>
      </c>
      <c r="AB348" s="22" t="n">
        <f aca="false">AB347*(1+$P348)-X348</f>
        <v>1357918.82467891</v>
      </c>
      <c r="AC348" s="22" t="n">
        <f aca="false">AND($A348&gt;=Premissas!$C$16,$A348&lt;EDATE(Premissas!$C$16,3))*Premissas!$C$10/3*(1+Premissas!$C$56)^$C348</f>
        <v>0</v>
      </c>
      <c r="AD348" s="22" t="n">
        <f aca="false">L348-M348-N348-AC348</f>
        <v>3965.82701232728</v>
      </c>
      <c r="AE348" s="22" t="n">
        <f aca="false">AE347+AD348</f>
        <v>407343.704803406</v>
      </c>
      <c r="AF348" s="22" t="n">
        <f aca="false">IF($A348&gt;=Premissas!$C$18,O348*(1-Premissas!$C$45)-Premissas!$C$46*MAX(0,O348*(1-Premissas!$C$45)-(SUM($AC$5:$AC$355)+Premissas!$C$26*Premissas!$C$60)),"")</f>
        <v>1155082.00634568</v>
      </c>
      <c r="AG348" s="22" t="n">
        <f aca="false">IF($A348&gt;=Premissas!$C$18,AE348+AF348,"")</f>
        <v>1562425.71114909</v>
      </c>
      <c r="AH348" s="22" t="n">
        <f aca="false">AH347*(1+$P348)-AD348</f>
        <v>1410349.33130605</v>
      </c>
      <c r="AI348" s="22" t="n">
        <f aca="false">($A348=Premissas!$C$16)*0.2*Premissas!$C$11+AND($A348&gt;Premissas!$C$16,$A348&lt;=EDATE(Premissas!$C$16,43))*0.8*Premissas!$C$11/43*(1+Premissas!$C$56)^$C348</f>
        <v>0</v>
      </c>
      <c r="AJ348" s="22" t="n">
        <f aca="false">L348-M348-N348-AI348</f>
        <v>3965.82701232728</v>
      </c>
      <c r="AK348" s="22" t="n">
        <f aca="false">AK347+AJ348</f>
        <v>361479.219385344</v>
      </c>
      <c r="AL348" s="22" t="n">
        <f aca="false">IF($A348&gt;=Premissas!$C$18,O348*(1-Premissas!$C$45)-Premissas!$C$46*MAX(0,O348*(1-Premissas!$C$45)-(SUM($AI$5:$AI$355)+Premissas!$C$26*Premissas!$C$60)),"")</f>
        <v>1161961.67915839</v>
      </c>
      <c r="AM348" s="22" t="n">
        <f aca="false">IF($A348&gt;=Premissas!$C$18,AK348+AL348,"")</f>
        <v>1523440.89854374</v>
      </c>
      <c r="AN348" s="22" t="n">
        <f aca="false">AN347*(1+$P348)-AJ348</f>
        <v>1459269.99571223</v>
      </c>
      <c r="AO348" s="22" t="n">
        <f aca="false">V348+S348</f>
        <v>1474885.2694107</v>
      </c>
    </row>
    <row r="349" customFormat="false" ht="15" hidden="false" customHeight="false" outlineLevel="0" collapsed="false">
      <c r="A349" s="26" t="n">
        <f aca="false">DATE(YEAR(A348),MONTH(A348)+1,1)</f>
        <v>56766</v>
      </c>
      <c r="B349" s="22" t="str">
        <f aca="false">IF($A349&lt;Premissas!$C$18,"Obra",IF($A349&lt;Premissas!$C$20,"Entrega/mobília","Airbnb"))</f>
        <v>Airbnb</v>
      </c>
      <c r="C349" s="36" t="n">
        <f aca="false">(YEAR($A349)-YEAR(Premissas!$C$16))*12+MONTH($A349)-MONTH(Premissas!$C$16)</f>
        <v>344</v>
      </c>
      <c r="D349" s="33" t="n">
        <f aca="false">IF($A349&gt;=Premissas!$C$20,Premissas!$C$31*IF(((YEAR($A349)-YEAR(Premissas!$C$20))*12+MONTH($A349)-MONTH(Premissas!$C$20))&lt;Premissas!$C$33,Premissas!$C$34,1),0)</f>
        <v>0.62</v>
      </c>
      <c r="E349" s="22" t="n">
        <f aca="false">D349*Premissas!$C$30*Premissas!$C$32*(1+Premissas!$C$58)^$C349</f>
        <v>14313.373785888</v>
      </c>
      <c r="F349" s="22" t="n">
        <f aca="false">E349*Premissas!$C$35</f>
        <v>2290.13980574209</v>
      </c>
      <c r="G349" s="22" t="n">
        <f aca="false">E349*Premissas!$C$36</f>
        <v>2862.67475717761</v>
      </c>
      <c r="H349" s="22" t="n">
        <f aca="false">IF($A349&gt;=Premissas!$C$18,Premissas!$C$37*(1+Premissas!$C$58)^$C349,0)</f>
        <v>1846.88694011459</v>
      </c>
      <c r="I349" s="22" t="n">
        <f aca="false">IF($A349&gt;=Premissas!$C$20,Premissas!$C$38*(1+Premissas!$C$58)^$C349,0)</f>
        <v>861.880572053474</v>
      </c>
      <c r="J349" s="22" t="n">
        <f aca="false">IF($A349&gt;=Premissas!$C$20,Premissas!$C$39*(1+Premissas!$C$58)^$C349,0)</f>
        <v>461.721735028647</v>
      </c>
      <c r="K349" s="22" t="n">
        <f aca="false">IF($A349&gt;=Premissas!$C$20,MAX(0,E349-F349-G349-H349)*Premissas!$C$41,0)</f>
        <v>2011.25987778479</v>
      </c>
      <c r="L349" s="22" t="n">
        <f aca="false">E349-F349-G349-H349-I349-J349-K349</f>
        <v>3978.81009798686</v>
      </c>
      <c r="M349" s="22" t="n">
        <f aca="false">($A349=Premissas!$C$18)*Premissas!$C$26*Premissas!$C$60</f>
        <v>0</v>
      </c>
      <c r="N349" s="22" t="n">
        <f aca="false">IF(AND($A349&gt;=Premissas!$C$18,$A349&lt;Premissas!$C$20),Premissas!$C$27/MAX(1,Premissas!$C$19),0)</f>
        <v>0</v>
      </c>
      <c r="O349" s="22" t="n">
        <f aca="false">IF($A349&gt;=Premissas!$C$18,Premissas!$C$60*(1+Premissas!$C$59)^((YEAR($A349)-YEAR(Premissas!$C$18))*12+MONTH($A349)-MONTH(Premissas!$C$18)),"")</f>
        <v>1394054.16151112</v>
      </c>
      <c r="P349" s="31" t="n">
        <f aca="false">(1+IF(YEAR($A349)&lt;=2026,Premissas!$C$49,IF(YEAR($A349)=2027,Premissas!$C$50,IF(YEAR($A349)=2028,Premissas!$C$51,Premissas!$C$52)))*(1-Premissas!$C$53))^(1/12)-1</f>
        <v>0.00682149336596227</v>
      </c>
      <c r="Q349" s="22" t="n">
        <f aca="false">($A349=Premissas!$C$16)*Premissas!$C$13</f>
        <v>0</v>
      </c>
      <c r="R349" s="22" t="n">
        <f aca="false">L349-M349-N349-Q349</f>
        <v>3978.81009798686</v>
      </c>
      <c r="S349" s="22" t="n">
        <f aca="false">S348+R349</f>
        <v>449870.978781417</v>
      </c>
      <c r="T349" s="22" t="n">
        <f aca="false">IF($A349&gt;=Premissas!$C$18,O349*(1-Premissas!$C$45)-Premissas!$C$46*MAX(0,O349*(1-Premissas!$C$45)-(SUM($Q$5:$Q$355)+Premissas!$C$26*Premissas!$C$60)),"")</f>
        <v>1153819.28339413</v>
      </c>
      <c r="U349" s="22" t="n">
        <f aca="false">IF($A349&gt;=Premissas!$C$18,S349+T349,"")</f>
        <v>1603690.26217555</v>
      </c>
      <c r="V349" s="22" t="n">
        <f aca="false">V348*(1+$P349)-R349</f>
        <v>1032033.56023952</v>
      </c>
      <c r="W349" s="22" t="n">
        <f aca="false">($A349=Premissas!$C$16)*Premissas!$C$9</f>
        <v>0</v>
      </c>
      <c r="X349" s="22" t="n">
        <f aca="false">L349-M349-N349-W349</f>
        <v>3978.81009798686</v>
      </c>
      <c r="Y349" s="22" t="n">
        <f aca="false">Y348+X349</f>
        <v>418942.978781417</v>
      </c>
      <c r="Z349" s="22" t="n">
        <f aca="false">IF($A349&gt;=Premissas!$C$18,O349*(1-Premissas!$C$45)-Premissas!$C$46*MAX(0,O349*(1-Premissas!$C$45)-(SUM($W$5:$W$355)+Premissas!$C$26*Premissas!$C$60)),"")</f>
        <v>1158458.48339413</v>
      </c>
      <c r="AA349" s="22" t="n">
        <f aca="false">IF($A349&gt;=Premissas!$C$18,Y349+Z349,"")</f>
        <v>1577401.46217555</v>
      </c>
      <c r="AB349" s="22" t="n">
        <f aca="false">AB348*(1+$P349)-X349</f>
        <v>1363203.04883499</v>
      </c>
      <c r="AC349" s="22" t="n">
        <f aca="false">AND($A349&gt;=Premissas!$C$16,$A349&lt;EDATE(Premissas!$C$16,3))*Premissas!$C$10/3*(1+Premissas!$C$56)^$C349</f>
        <v>0</v>
      </c>
      <c r="AD349" s="22" t="n">
        <f aca="false">L349-M349-N349-AC349</f>
        <v>3978.81009798686</v>
      </c>
      <c r="AE349" s="22" t="n">
        <f aca="false">AE348+AD349</f>
        <v>411322.514901393</v>
      </c>
      <c r="AF349" s="22" t="n">
        <f aca="false">IF($A349&gt;=Premissas!$C$18,O349*(1-Premissas!$C$45)-Premissas!$C$46*MAX(0,O349*(1-Premissas!$C$45)-(SUM($AC$5:$AC$355)+Premissas!$C$26*Premissas!$C$60)),"")</f>
        <v>1159601.55297614</v>
      </c>
      <c r="AG349" s="22" t="n">
        <f aca="false">IF($A349&gt;=Premissas!$C$18,AE349+AF349,"")</f>
        <v>1570924.06787753</v>
      </c>
      <c r="AH349" s="22" t="n">
        <f aca="false">AH348*(1+$P349)-AD349</f>
        <v>1415991.20981525</v>
      </c>
      <c r="AI349" s="22" t="n">
        <f aca="false">($A349=Premissas!$C$16)*0.2*Premissas!$C$11+AND($A349&gt;Premissas!$C$16,$A349&lt;=EDATE(Premissas!$C$16,43))*0.8*Premissas!$C$11/43*(1+Premissas!$C$56)^$C349</f>
        <v>0</v>
      </c>
      <c r="AJ349" s="22" t="n">
        <f aca="false">L349-M349-N349-AI349</f>
        <v>3978.81009798686</v>
      </c>
      <c r="AK349" s="22" t="n">
        <f aca="false">AK348+AJ349</f>
        <v>365458.029483331</v>
      </c>
      <c r="AL349" s="22" t="n">
        <f aca="false">IF($A349&gt;=Premissas!$C$18,O349*(1-Premissas!$C$45)-Premissas!$C$46*MAX(0,O349*(1-Premissas!$C$45)-(SUM($AI$5:$AI$355)+Premissas!$C$26*Premissas!$C$60)),"")</f>
        <v>1166481.22578884</v>
      </c>
      <c r="AM349" s="22" t="n">
        <f aca="false">IF($A349&gt;=Premissas!$C$18,AK349+AL349,"")</f>
        <v>1531939.25527217</v>
      </c>
      <c r="AN349" s="22" t="n">
        <f aca="false">AN348*(1+$P349)-AJ349</f>
        <v>1465245.58620914</v>
      </c>
      <c r="AO349" s="22" t="n">
        <f aca="false">V349+S349</f>
        <v>1481904.53902093</v>
      </c>
    </row>
    <row r="350" customFormat="false" ht="15" hidden="false" customHeight="false" outlineLevel="0" collapsed="false">
      <c r="A350" s="26" t="n">
        <f aca="false">DATE(YEAR(A349),MONTH(A349)+1,1)</f>
        <v>56796</v>
      </c>
      <c r="B350" s="22" t="str">
        <f aca="false">IF($A350&lt;Premissas!$C$18,"Obra",IF($A350&lt;Premissas!$C$20,"Entrega/mobília","Airbnb"))</f>
        <v>Airbnb</v>
      </c>
      <c r="C350" s="36" t="n">
        <f aca="false">(YEAR($A350)-YEAR(Premissas!$C$16))*12+MONTH($A350)-MONTH(Premissas!$C$16)</f>
        <v>345</v>
      </c>
      <c r="D350" s="33" t="n">
        <f aca="false">IF($A350&gt;=Premissas!$C$20,Premissas!$C$31*IF(((YEAR($A350)-YEAR(Premissas!$C$20))*12+MONTH($A350)-MONTH(Premissas!$C$20))&lt;Premissas!$C$33,Premissas!$C$34,1),0)</f>
        <v>0.62</v>
      </c>
      <c r="E350" s="22" t="n">
        <f aca="false">D350*Premissas!$C$30*Premissas!$C$32*(1+Premissas!$C$58)^$C350</f>
        <v>14360.2320470684</v>
      </c>
      <c r="F350" s="22" t="n">
        <f aca="false">E350*Premissas!$C$35</f>
        <v>2297.63712753094</v>
      </c>
      <c r="G350" s="22" t="n">
        <f aca="false">E350*Premissas!$C$36</f>
        <v>2872.04640941368</v>
      </c>
      <c r="H350" s="22" t="n">
        <f aca="false">IF($A350&gt;=Premissas!$C$18,Premissas!$C$37*(1+Premissas!$C$58)^$C350,0)</f>
        <v>1852.93316736366</v>
      </c>
      <c r="I350" s="22" t="n">
        <f aca="false">IF($A350&gt;=Premissas!$C$20,Premissas!$C$38*(1+Premissas!$C$58)^$C350,0)</f>
        <v>864.70214476971</v>
      </c>
      <c r="J350" s="22" t="n">
        <f aca="false">IF($A350&gt;=Premissas!$C$20,Premissas!$C$39*(1+Premissas!$C$58)^$C350,0)</f>
        <v>463.233291840916</v>
      </c>
      <c r="K350" s="22" t="n">
        <f aca="false">IF($A350&gt;=Premissas!$C$20,MAX(0,E350-F350-G350-H350)*Premissas!$C$41,0)</f>
        <v>2017.84421925903</v>
      </c>
      <c r="L350" s="22" t="n">
        <f aca="false">E350-F350-G350-H350-I350-J350-K350</f>
        <v>3991.83568689045</v>
      </c>
      <c r="M350" s="22" t="n">
        <f aca="false">($A350=Premissas!$C$18)*Premissas!$C$26*Premissas!$C$60</f>
        <v>0</v>
      </c>
      <c r="N350" s="22" t="n">
        <f aca="false">IF(AND($A350&gt;=Premissas!$C$18,$A350&lt;Premissas!$C$20),Premissas!$C$27/MAX(1,Premissas!$C$19),0)</f>
        <v>0</v>
      </c>
      <c r="O350" s="22" t="n">
        <f aca="false">IF($A350&gt;=Premissas!$C$18,Premissas!$C$60*(1+Premissas!$C$59)^((YEAR($A350)-YEAR(Premissas!$C$18))*12+MONTH($A350)-MONTH(Premissas!$C$18)),"")</f>
        <v>1399733.71072623</v>
      </c>
      <c r="P350" s="31" t="n">
        <f aca="false">(1+IF(YEAR($A350)&lt;=2026,Premissas!$C$49,IF(YEAR($A350)=2027,Premissas!$C$50,IF(YEAR($A350)=2028,Premissas!$C$51,Premissas!$C$52)))*(1-Premissas!$C$53))^(1/12)-1</f>
        <v>0.00682149336596227</v>
      </c>
      <c r="Q350" s="22" t="n">
        <f aca="false">($A350=Premissas!$C$16)*Premissas!$C$13</f>
        <v>0</v>
      </c>
      <c r="R350" s="22" t="n">
        <f aca="false">L350-M350-N350-Q350</f>
        <v>3991.83568689045</v>
      </c>
      <c r="S350" s="22" t="n">
        <f aca="false">S349+R350</f>
        <v>453862.814468308</v>
      </c>
      <c r="T350" s="22" t="n">
        <f aca="false">IF($A350&gt;=Premissas!$C$18,O350*(1-Premissas!$C$45)-Premissas!$C$46*MAX(0,O350*(1-Premissas!$C$45)-(SUM($Q$5:$Q$355)+Premissas!$C$26*Premissas!$C$60)),"")</f>
        <v>1158357.243217</v>
      </c>
      <c r="U350" s="22" t="n">
        <f aca="false">IF($A350&gt;=Premissas!$C$18,S350+T350,"")</f>
        <v>1612220.05768531</v>
      </c>
      <c r="V350" s="22" t="n">
        <f aca="false">V349*(1+$P350)-R350</f>
        <v>1035081.73463725</v>
      </c>
      <c r="W350" s="22" t="n">
        <f aca="false">($A350=Premissas!$C$16)*Premissas!$C$9</f>
        <v>0</v>
      </c>
      <c r="X350" s="22" t="n">
        <f aca="false">L350-M350-N350-W350</f>
        <v>3991.83568689045</v>
      </c>
      <c r="Y350" s="22" t="n">
        <f aca="false">Y349+X350</f>
        <v>422934.814468308</v>
      </c>
      <c r="Z350" s="22" t="n">
        <f aca="false">IF($A350&gt;=Premissas!$C$18,O350*(1-Premissas!$C$45)-Premissas!$C$46*MAX(0,O350*(1-Premissas!$C$45)-(SUM($W$5:$W$355)+Premissas!$C$26*Premissas!$C$60)),"")</f>
        <v>1162996.443217</v>
      </c>
      <c r="AA350" s="22" t="n">
        <f aca="false">IF($A350&gt;=Premissas!$C$18,Y350+Z350,"")</f>
        <v>1585931.25768531</v>
      </c>
      <c r="AB350" s="22" t="n">
        <f aca="false">AB349*(1+$P350)-X350</f>
        <v>1368510.29370218</v>
      </c>
      <c r="AC350" s="22" t="n">
        <f aca="false">AND($A350&gt;=Premissas!$C$16,$A350&lt;EDATE(Premissas!$C$16,3))*Premissas!$C$10/3*(1+Premissas!$C$56)^$C350</f>
        <v>0</v>
      </c>
      <c r="AD350" s="22" t="n">
        <f aca="false">L350-M350-N350-AC350</f>
        <v>3991.83568689045</v>
      </c>
      <c r="AE350" s="22" t="n">
        <f aca="false">AE349+AD350</f>
        <v>415314.350588283</v>
      </c>
      <c r="AF350" s="22" t="n">
        <f aca="false">IF($A350&gt;=Premissas!$C$18,O350*(1-Premissas!$C$45)-Premissas!$C$46*MAX(0,O350*(1-Premissas!$C$45)-(SUM($AC$5:$AC$355)+Premissas!$C$26*Premissas!$C$60)),"")</f>
        <v>1164139.512799</v>
      </c>
      <c r="AG350" s="22" t="n">
        <f aca="false">IF($A350&gt;=Premissas!$C$18,AE350+AF350,"")</f>
        <v>1579453.86338729</v>
      </c>
      <c r="AH350" s="22" t="n">
        <f aca="false">AH349*(1+$P350)-AD350</f>
        <v>1421658.54877238</v>
      </c>
      <c r="AI350" s="22" t="n">
        <f aca="false">($A350=Premissas!$C$16)*0.2*Premissas!$C$11+AND($A350&gt;Premissas!$C$16,$A350&lt;=EDATE(Premissas!$C$16,43))*0.8*Premissas!$C$11/43*(1+Premissas!$C$56)^$C350</f>
        <v>0</v>
      </c>
      <c r="AJ350" s="22" t="n">
        <f aca="false">L350-M350-N350-AI350</f>
        <v>3991.83568689045</v>
      </c>
      <c r="AK350" s="22" t="n">
        <f aca="false">AK349+AJ350</f>
        <v>369449.865170221</v>
      </c>
      <c r="AL350" s="22" t="n">
        <f aca="false">IF($A350&gt;=Premissas!$C$18,O350*(1-Premissas!$C$45)-Premissas!$C$46*MAX(0,O350*(1-Premissas!$C$45)-(SUM($AI$5:$AI$355)+Premissas!$C$26*Premissas!$C$60)),"")</f>
        <v>1171019.18561171</v>
      </c>
      <c r="AM350" s="22" t="n">
        <f aca="false">IF($A350&gt;=Premissas!$C$18,AK350+AL350,"")</f>
        <v>1540469.05078194</v>
      </c>
      <c r="AN350" s="22" t="n">
        <f aca="false">AN349*(1+$P350)-AJ350</f>
        <v>1471248.91356808</v>
      </c>
      <c r="AO350" s="22" t="n">
        <f aca="false">V350+S350</f>
        <v>1488944.54910556</v>
      </c>
    </row>
    <row r="351" customFormat="false" ht="15" hidden="false" customHeight="false" outlineLevel="0" collapsed="false">
      <c r="A351" s="26" t="n">
        <f aca="false">DATE(YEAR(A350),MONTH(A350)+1,1)</f>
        <v>56827</v>
      </c>
      <c r="B351" s="22" t="str">
        <f aca="false">IF($A351&lt;Premissas!$C$18,"Obra",IF($A351&lt;Premissas!$C$20,"Entrega/mobília","Airbnb"))</f>
        <v>Airbnb</v>
      </c>
      <c r="C351" s="36" t="n">
        <f aca="false">(YEAR($A351)-YEAR(Premissas!$C$16))*12+MONTH($A351)-MONTH(Premissas!$C$16)</f>
        <v>346</v>
      </c>
      <c r="D351" s="33" t="n">
        <f aca="false">IF($A351&gt;=Premissas!$C$20,Premissas!$C$31*IF(((YEAR($A351)-YEAR(Premissas!$C$20))*12+MONTH($A351)-MONTH(Premissas!$C$20))&lt;Premissas!$C$33,Premissas!$C$34,1),0)</f>
        <v>0.62</v>
      </c>
      <c r="E351" s="22" t="n">
        <f aca="false">D351*Premissas!$C$30*Premissas!$C$32*(1+Premissas!$C$58)^$C351</f>
        <v>14407.2437100025</v>
      </c>
      <c r="F351" s="22" t="n">
        <f aca="false">E351*Premissas!$C$35</f>
        <v>2305.1589936004</v>
      </c>
      <c r="G351" s="22" t="n">
        <f aca="false">E351*Premissas!$C$36</f>
        <v>2881.4487420005</v>
      </c>
      <c r="H351" s="22" t="n">
        <f aca="false">IF($A351&gt;=Premissas!$C$18,Premissas!$C$37*(1+Premissas!$C$58)^$C351,0)</f>
        <v>1858.99918838742</v>
      </c>
      <c r="I351" s="22" t="n">
        <f aca="false">IF($A351&gt;=Premissas!$C$20,Premissas!$C$38*(1+Premissas!$C$58)^$C351,0)</f>
        <v>867.532954580795</v>
      </c>
      <c r="J351" s="22" t="n">
        <f aca="false">IF($A351&gt;=Premissas!$C$20,Premissas!$C$39*(1+Premissas!$C$58)^$C351,0)</f>
        <v>464.749797096854</v>
      </c>
      <c r="K351" s="22" t="n">
        <f aca="false">IF($A351&gt;=Premissas!$C$20,MAX(0,E351-F351-G351-H351)*Premissas!$C$41,0)</f>
        <v>2024.4501161539</v>
      </c>
      <c r="L351" s="22" t="n">
        <f aca="false">E351-F351-G351-H351-I351-J351-K351</f>
        <v>4004.90391818263</v>
      </c>
      <c r="M351" s="22" t="n">
        <f aca="false">($A351=Premissas!$C$18)*Premissas!$C$26*Premissas!$C$60</f>
        <v>0</v>
      </c>
      <c r="N351" s="22" t="n">
        <f aca="false">IF(AND($A351&gt;=Premissas!$C$18,$A351&lt;Premissas!$C$20),Premissas!$C$27/MAX(1,Premissas!$C$19),0)</f>
        <v>0</v>
      </c>
      <c r="O351" s="22" t="n">
        <f aca="false">IF($A351&gt;=Premissas!$C$18,Premissas!$C$60*(1+Premissas!$C$59)^((YEAR($A351)-YEAR(Premissas!$C$18))*12+MONTH($A351)-MONTH(Premissas!$C$18)),"")</f>
        <v>1405436.39912787</v>
      </c>
      <c r="P351" s="31" t="n">
        <f aca="false">(1+IF(YEAR($A351)&lt;=2026,Premissas!$C$49,IF(YEAR($A351)=2027,Premissas!$C$50,IF(YEAR($A351)=2028,Premissas!$C$51,Premissas!$C$52)))*(1-Premissas!$C$53))^(1/12)-1</f>
        <v>0.00682149336596227</v>
      </c>
      <c r="Q351" s="22" t="n">
        <f aca="false">($A351=Premissas!$C$16)*Premissas!$C$13</f>
        <v>0</v>
      </c>
      <c r="R351" s="22" t="n">
        <f aca="false">L351-M351-N351-Q351</f>
        <v>4004.90391818263</v>
      </c>
      <c r="S351" s="22" t="n">
        <f aca="false">S350+R351</f>
        <v>457867.71838649</v>
      </c>
      <c r="T351" s="22" t="n">
        <f aca="false">IF($A351&gt;=Premissas!$C$18,O351*(1-Premissas!$C$45)-Premissas!$C$46*MAX(0,O351*(1-Premissas!$C$45)-(SUM($Q$5:$Q$355)+Premissas!$C$26*Premissas!$C$60)),"")</f>
        <v>1162913.69124992</v>
      </c>
      <c r="U351" s="22" t="n">
        <f aca="false">IF($A351&gt;=Premissas!$C$18,S351+T351,"")</f>
        <v>1620781.40963641</v>
      </c>
      <c r="V351" s="22" t="n">
        <f aca="false">V350*(1+$P351)-R351</f>
        <v>1038137.63390513</v>
      </c>
      <c r="W351" s="22" t="n">
        <f aca="false">($A351=Premissas!$C$16)*Premissas!$C$9</f>
        <v>0</v>
      </c>
      <c r="X351" s="22" t="n">
        <f aca="false">L351-M351-N351-W351</f>
        <v>4004.90391818263</v>
      </c>
      <c r="Y351" s="22" t="n">
        <f aca="false">Y350+X351</f>
        <v>426939.718386491</v>
      </c>
      <c r="Z351" s="22" t="n">
        <f aca="false">IF($A351&gt;=Premissas!$C$18,O351*(1-Premissas!$C$45)-Premissas!$C$46*MAX(0,O351*(1-Premissas!$C$45)-(SUM($W$5:$W$355)+Premissas!$C$26*Premissas!$C$60)),"")</f>
        <v>1167552.89124992</v>
      </c>
      <c r="AA351" s="22" t="n">
        <f aca="false">IF($A351&gt;=Premissas!$C$18,Y351+Z351,"")</f>
        <v>1594492.60963641</v>
      </c>
      <c r="AB351" s="22" t="n">
        <f aca="false">AB350*(1+$P351)-X351</f>
        <v>1373840.67367374</v>
      </c>
      <c r="AC351" s="22" t="n">
        <f aca="false">AND($A351&gt;=Premissas!$C$16,$A351&lt;EDATE(Premissas!$C$16,3))*Premissas!$C$10/3*(1+Premissas!$C$56)^$C351</f>
        <v>0</v>
      </c>
      <c r="AD351" s="22" t="n">
        <f aca="false">L351-M351-N351-AC351</f>
        <v>4004.90391818263</v>
      </c>
      <c r="AE351" s="22" t="n">
        <f aca="false">AE350+AD351</f>
        <v>419319.254506466</v>
      </c>
      <c r="AF351" s="22" t="n">
        <f aca="false">IF($A351&gt;=Premissas!$C$18,O351*(1-Premissas!$C$45)-Premissas!$C$46*MAX(0,O351*(1-Premissas!$C$45)-(SUM($AC$5:$AC$355)+Premissas!$C$26*Premissas!$C$60)),"")</f>
        <v>1168695.96083192</v>
      </c>
      <c r="AG351" s="22" t="n">
        <f aca="false">IF($A351&gt;=Premissas!$C$18,AE351+AF351,"")</f>
        <v>1588015.21533838</v>
      </c>
      <c r="AH351" s="22" t="n">
        <f aca="false">AH350*(1+$P351)-AD351</f>
        <v>1427351.47921331</v>
      </c>
      <c r="AI351" s="22" t="n">
        <f aca="false">($A351=Premissas!$C$16)*0.2*Premissas!$C$11+AND($A351&gt;Premissas!$C$16,$A351&lt;=EDATE(Premissas!$C$16,43))*0.8*Premissas!$C$11/43*(1+Premissas!$C$56)^$C351</f>
        <v>0</v>
      </c>
      <c r="AJ351" s="22" t="n">
        <f aca="false">L351-M351-N351-AI351</f>
        <v>4004.90391818263</v>
      </c>
      <c r="AK351" s="22" t="n">
        <f aca="false">AK350+AJ351</f>
        <v>373454.769088404</v>
      </c>
      <c r="AL351" s="22" t="n">
        <f aca="false">IF($A351&gt;=Premissas!$C$18,O351*(1-Premissas!$C$45)-Premissas!$C$46*MAX(0,O351*(1-Premissas!$C$45)-(SUM($AI$5:$AI$355)+Premissas!$C$26*Premissas!$C$60)),"")</f>
        <v>1175575.63364463</v>
      </c>
      <c r="AM351" s="22" t="n">
        <f aca="false">IF($A351&gt;=Premissas!$C$18,AK351+AL351,"")</f>
        <v>1549030.40273303</v>
      </c>
      <c r="AN351" s="22" t="n">
        <f aca="false">AN350*(1+$P351)-AJ351</f>
        <v>1477280.12435348</v>
      </c>
      <c r="AO351" s="22" t="n">
        <f aca="false">V351+S351</f>
        <v>1496005.35229162</v>
      </c>
    </row>
    <row r="352" customFormat="false" ht="15" hidden="false" customHeight="false" outlineLevel="0" collapsed="false">
      <c r="A352" s="26" t="n">
        <f aca="false">DATE(YEAR(A351),MONTH(A351)+1,1)</f>
        <v>56858</v>
      </c>
      <c r="B352" s="22" t="str">
        <f aca="false">IF($A352&lt;Premissas!$C$18,"Obra",IF($A352&lt;Premissas!$C$20,"Entrega/mobília","Airbnb"))</f>
        <v>Airbnb</v>
      </c>
      <c r="C352" s="36" t="n">
        <f aca="false">(YEAR($A352)-YEAR(Premissas!$C$16))*12+MONTH($A352)-MONTH(Premissas!$C$16)</f>
        <v>347</v>
      </c>
      <c r="D352" s="33" t="n">
        <f aca="false">IF($A352&gt;=Premissas!$C$20,Premissas!$C$31*IF(((YEAR($A352)-YEAR(Premissas!$C$20))*12+MONTH($A352)-MONTH(Premissas!$C$20))&lt;Premissas!$C$33,Premissas!$C$34,1),0)</f>
        <v>0.62</v>
      </c>
      <c r="E352" s="22" t="n">
        <f aca="false">D352*Premissas!$C$30*Premissas!$C$32*(1+Premissas!$C$58)^$C352</f>
        <v>14454.4092768878</v>
      </c>
      <c r="F352" s="22" t="n">
        <f aca="false">E352*Premissas!$C$35</f>
        <v>2312.70548430204</v>
      </c>
      <c r="G352" s="22" t="n">
        <f aca="false">E352*Premissas!$C$36</f>
        <v>2890.88185537755</v>
      </c>
      <c r="H352" s="22" t="n">
        <f aca="false">IF($A352&gt;=Premissas!$C$18,Premissas!$C$37*(1+Premissas!$C$58)^$C352,0)</f>
        <v>1865.08506798552</v>
      </c>
      <c r="I352" s="22" t="n">
        <f aca="false">IF($A352&gt;=Premissas!$C$20,Premissas!$C$38*(1+Premissas!$C$58)^$C352,0)</f>
        <v>870.373031726575</v>
      </c>
      <c r="J352" s="22" t="n">
        <f aca="false">IF($A352&gt;=Premissas!$C$20,Premissas!$C$39*(1+Premissas!$C$58)^$C352,0)</f>
        <v>466.271266996379</v>
      </c>
      <c r="K352" s="22" t="n">
        <f aca="false">IF($A352&gt;=Premissas!$C$20,MAX(0,E352-F352-G352-H352)*Premissas!$C$41,0)</f>
        <v>2031.07763903623</v>
      </c>
      <c r="L352" s="22" t="n">
        <f aca="false">E352-F352-G352-H352-I352-J352-K352</f>
        <v>4018.01493146347</v>
      </c>
      <c r="M352" s="22" t="n">
        <f aca="false">($A352=Premissas!$C$18)*Premissas!$C$26*Premissas!$C$60</f>
        <v>0</v>
      </c>
      <c r="N352" s="22" t="n">
        <f aca="false">IF(AND($A352&gt;=Premissas!$C$18,$A352&lt;Premissas!$C$20),Premissas!$C$27/MAX(1,Premissas!$C$19),0)</f>
        <v>0</v>
      </c>
      <c r="O352" s="22" t="n">
        <f aca="false">IF($A352&gt;=Premissas!$C$18,Premissas!$C$60*(1+Premissas!$C$59)^((YEAR($A352)-YEAR(Premissas!$C$18))*12+MONTH($A352)-MONTH(Premissas!$C$18)),"")</f>
        <v>1411162.32098796</v>
      </c>
      <c r="P352" s="31" t="n">
        <f aca="false">(1+IF(YEAR($A352)&lt;=2026,Premissas!$C$49,IF(YEAR($A352)=2027,Premissas!$C$50,IF(YEAR($A352)=2028,Premissas!$C$51,Premissas!$C$52)))*(1-Premissas!$C$53))^(1/12)-1</f>
        <v>0.00682149336596227</v>
      </c>
      <c r="Q352" s="22" t="n">
        <f aca="false">($A352=Premissas!$C$16)*Premissas!$C$13</f>
        <v>0</v>
      </c>
      <c r="R352" s="22" t="n">
        <f aca="false">L352-M352-N352-Q352</f>
        <v>4018.01493146347</v>
      </c>
      <c r="S352" s="22" t="n">
        <f aca="false">S351+R352</f>
        <v>461885.733317954</v>
      </c>
      <c r="T352" s="22" t="n">
        <f aca="false">IF($A352&gt;=Premissas!$C$18,O352*(1-Premissas!$C$45)-Premissas!$C$46*MAX(0,O352*(1-Premissas!$C$45)-(SUM($Q$5:$Q$355)+Premissas!$C$26*Premissas!$C$60)),"")</f>
        <v>1167488.70281613</v>
      </c>
      <c r="U352" s="22" t="n">
        <f aca="false">IF($A352&gt;=Premissas!$C$18,S352+T352,"")</f>
        <v>1629374.43613408</v>
      </c>
      <c r="V352" s="22" t="n">
        <f aca="false">V351*(1+$P352)-R352</f>
        <v>1041201.2679563</v>
      </c>
      <c r="W352" s="22" t="n">
        <f aca="false">($A352=Premissas!$C$16)*Premissas!$C$9</f>
        <v>0</v>
      </c>
      <c r="X352" s="22" t="n">
        <f aca="false">L352-M352-N352-W352</f>
        <v>4018.01493146347</v>
      </c>
      <c r="Y352" s="22" t="n">
        <f aca="false">Y351+X352</f>
        <v>430957.733317954</v>
      </c>
      <c r="Z352" s="22" t="n">
        <f aca="false">IF($A352&gt;=Premissas!$C$18,O352*(1-Premissas!$C$45)-Premissas!$C$46*MAX(0,O352*(1-Premissas!$C$45)-(SUM($W$5:$W$355)+Premissas!$C$26*Premissas!$C$60)),"")</f>
        <v>1172127.90281613</v>
      </c>
      <c r="AA352" s="22" t="n">
        <f aca="false">IF($A352&gt;=Premissas!$C$18,Y352+Z352,"")</f>
        <v>1603085.63613408</v>
      </c>
      <c r="AB352" s="22" t="n">
        <f aca="false">AB351*(1+$P352)-X352</f>
        <v>1379194.30378363</v>
      </c>
      <c r="AC352" s="22" t="n">
        <f aca="false">AND($A352&gt;=Premissas!$C$16,$A352&lt;EDATE(Premissas!$C$16,3))*Premissas!$C$10/3*(1+Premissas!$C$56)^$C352</f>
        <v>0</v>
      </c>
      <c r="AD352" s="22" t="n">
        <f aca="false">L352-M352-N352-AC352</f>
        <v>4018.01493146347</v>
      </c>
      <c r="AE352" s="22" t="n">
        <f aca="false">AE351+AD352</f>
        <v>423337.269437929</v>
      </c>
      <c r="AF352" s="22" t="n">
        <f aca="false">IF($A352&gt;=Premissas!$C$18,O352*(1-Premissas!$C$45)-Premissas!$C$46*MAX(0,O352*(1-Premissas!$C$45)-(SUM($AC$5:$AC$355)+Premissas!$C$26*Premissas!$C$60)),"")</f>
        <v>1173270.97239813</v>
      </c>
      <c r="AG352" s="22" t="n">
        <f aca="false">IF($A352&gt;=Premissas!$C$18,AE352+AF352,"")</f>
        <v>1596608.24183606</v>
      </c>
      <c r="AH352" s="22" t="n">
        <f aca="false">AH351*(1+$P352)-AD352</f>
        <v>1433070.1329282</v>
      </c>
      <c r="AI352" s="22" t="n">
        <f aca="false">($A352=Premissas!$C$16)*0.2*Premissas!$C$11+AND($A352&gt;Premissas!$C$16,$A352&lt;=EDATE(Premissas!$C$16,43))*0.8*Premissas!$C$11/43*(1+Premissas!$C$56)^$C352</f>
        <v>0</v>
      </c>
      <c r="AJ352" s="22" t="n">
        <f aca="false">L352-M352-N352-AI352</f>
        <v>4018.01493146347</v>
      </c>
      <c r="AK352" s="22" t="n">
        <f aca="false">AK351+AJ352</f>
        <v>377472.784019867</v>
      </c>
      <c r="AL352" s="22" t="n">
        <f aca="false">IF($A352&gt;=Premissas!$C$18,O352*(1-Premissas!$C$45)-Premissas!$C$46*MAX(0,O352*(1-Premissas!$C$45)-(SUM($AI$5:$AI$355)+Premissas!$C$26*Premissas!$C$60)),"")</f>
        <v>1180150.64521084</v>
      </c>
      <c r="AM352" s="22" t="n">
        <f aca="false">IF($A352&gt;=Premissas!$C$18,AK352+AL352,"")</f>
        <v>1557623.42923071</v>
      </c>
      <c r="AN352" s="22" t="n">
        <f aca="false">AN351*(1+$P352)-AJ352</f>
        <v>1483339.36598997</v>
      </c>
      <c r="AO352" s="22" t="n">
        <f aca="false">V352+S352</f>
        <v>1503087.00127426</v>
      </c>
    </row>
    <row r="353" customFormat="false" ht="15" hidden="false" customHeight="false" outlineLevel="0" collapsed="false">
      <c r="A353" s="26" t="n">
        <f aca="false">DATE(YEAR(A352),MONTH(A352)+1,1)</f>
        <v>56888</v>
      </c>
      <c r="B353" s="22" t="str">
        <f aca="false">IF($A353&lt;Premissas!$C$18,"Obra",IF($A353&lt;Premissas!$C$20,"Entrega/mobília","Airbnb"))</f>
        <v>Airbnb</v>
      </c>
      <c r="C353" s="36" t="n">
        <f aca="false">(YEAR($A353)-YEAR(Premissas!$C$16))*12+MONTH($A353)-MONTH(Premissas!$C$16)</f>
        <v>348</v>
      </c>
      <c r="D353" s="33" t="n">
        <f aca="false">IF($A353&gt;=Premissas!$C$20,Premissas!$C$31*IF(((YEAR($A353)-YEAR(Premissas!$C$20))*12+MONTH($A353)-MONTH(Premissas!$C$20))&lt;Premissas!$C$33,Premissas!$C$34,1),0)</f>
        <v>0.62</v>
      </c>
      <c r="E353" s="22" t="n">
        <f aca="false">D353*Premissas!$C$30*Premissas!$C$32*(1+Premissas!$C$58)^$C353</f>
        <v>14501.7292515657</v>
      </c>
      <c r="F353" s="22" t="n">
        <f aca="false">E353*Premissas!$C$35</f>
        <v>2320.27668025051</v>
      </c>
      <c r="G353" s="22" t="n">
        <f aca="false">E353*Premissas!$C$36</f>
        <v>2900.34585031314</v>
      </c>
      <c r="H353" s="22" t="n">
        <f aca="false">IF($A353&gt;=Premissas!$C$18,Premissas!$C$37*(1+Premissas!$C$58)^$C353,0)</f>
        <v>1871.19087116977</v>
      </c>
      <c r="I353" s="22" t="n">
        <f aca="false">IF($A353&gt;=Premissas!$C$20,Premissas!$C$38*(1+Premissas!$C$58)^$C353,0)</f>
        <v>873.222406545891</v>
      </c>
      <c r="J353" s="22" t="n">
        <f aca="false">IF($A353&gt;=Premissas!$C$20,Premissas!$C$39*(1+Premissas!$C$58)^$C353,0)</f>
        <v>467.797717792442</v>
      </c>
      <c r="K353" s="22" t="n">
        <f aca="false">IF($A353&gt;=Premissas!$C$20,MAX(0,E353-F353-G353-H353)*Premissas!$C$41,0)</f>
        <v>2037.72685870388</v>
      </c>
      <c r="L353" s="22" t="n">
        <f aca="false">E353-F353-G353-H353-I353-J353-K353</f>
        <v>4031.16886679007</v>
      </c>
      <c r="M353" s="22" t="n">
        <f aca="false">($A353=Premissas!$C$18)*Premissas!$C$26*Premissas!$C$60</f>
        <v>0</v>
      </c>
      <c r="N353" s="22" t="n">
        <f aca="false">IF(AND($A353&gt;=Premissas!$C$18,$A353&lt;Premissas!$C$20),Premissas!$C$27/MAX(1,Premissas!$C$19),0)</f>
        <v>0</v>
      </c>
      <c r="O353" s="22" t="n">
        <f aca="false">IF($A353&gt;=Premissas!$C$18,Premissas!$C$60*(1+Premissas!$C$59)^((YEAR($A353)-YEAR(Premissas!$C$18))*12+MONTH($A353)-MONTH(Premissas!$C$18)),"")</f>
        <v>1416911.57096249</v>
      </c>
      <c r="P353" s="31" t="n">
        <f aca="false">(1+IF(YEAR($A353)&lt;=2026,Premissas!$C$49,IF(YEAR($A353)=2027,Premissas!$C$50,IF(YEAR($A353)=2028,Premissas!$C$51,Premissas!$C$52)))*(1-Premissas!$C$53))^(1/12)-1</f>
        <v>0.00682149336596227</v>
      </c>
      <c r="Q353" s="22" t="n">
        <f aca="false">($A353=Premissas!$C$16)*Premissas!$C$13</f>
        <v>0</v>
      </c>
      <c r="R353" s="22" t="n">
        <f aca="false">L353-M353-N353-Q353</f>
        <v>4031.16886679007</v>
      </c>
      <c r="S353" s="22" t="n">
        <f aca="false">S352+R353</f>
        <v>465916.902184744</v>
      </c>
      <c r="T353" s="22" t="n">
        <f aca="false">IF($A353&gt;=Premissas!$C$18,O353*(1-Premissas!$C$45)-Premissas!$C$46*MAX(0,O353*(1-Premissas!$C$45)-(SUM($Q$5:$Q$355)+Premissas!$C$26*Premissas!$C$60)),"")</f>
        <v>1172082.35354577</v>
      </c>
      <c r="U353" s="22" t="n">
        <f aca="false">IF($A353&gt;=Premissas!$C$18,S353+T353,"")</f>
        <v>1637999.25573052</v>
      </c>
      <c r="V353" s="22" t="n">
        <f aca="false">V352*(1+$P353)-R353</f>
        <v>1044272.64663151</v>
      </c>
      <c r="W353" s="22" t="n">
        <f aca="false">($A353=Premissas!$C$16)*Premissas!$C$9</f>
        <v>0</v>
      </c>
      <c r="X353" s="22" t="n">
        <f aca="false">L353-M353-N353-W353</f>
        <v>4031.16886679007</v>
      </c>
      <c r="Y353" s="22" t="n">
        <f aca="false">Y352+X353</f>
        <v>434988.902184744</v>
      </c>
      <c r="Z353" s="22" t="n">
        <f aca="false">IF($A353&gt;=Premissas!$C$18,O353*(1-Premissas!$C$45)-Premissas!$C$46*MAX(0,O353*(1-Premissas!$C$45)-(SUM($W$5:$W$355)+Premissas!$C$26*Premissas!$C$60)),"")</f>
        <v>1176721.55354577</v>
      </c>
      <c r="AA353" s="22" t="n">
        <f aca="false">IF($A353&gt;=Premissas!$C$18,Y353+Z353,"")</f>
        <v>1611710.45573052</v>
      </c>
      <c r="AB353" s="22" t="n">
        <f aca="false">AB352*(1+$P353)-X353</f>
        <v>1384571.29971047</v>
      </c>
      <c r="AC353" s="22" t="n">
        <f aca="false">AND($A353&gt;=Premissas!$C$16,$A353&lt;EDATE(Premissas!$C$16,3))*Premissas!$C$10/3*(1+Premissas!$C$56)^$C353</f>
        <v>0</v>
      </c>
      <c r="AD353" s="22" t="n">
        <f aca="false">L353-M353-N353-AC353</f>
        <v>4031.16886679007</v>
      </c>
      <c r="AE353" s="22" t="n">
        <f aca="false">AE352+AD353</f>
        <v>427368.438304719</v>
      </c>
      <c r="AF353" s="22" t="n">
        <f aca="false">IF($A353&gt;=Premissas!$C$18,O353*(1-Premissas!$C$45)-Premissas!$C$46*MAX(0,O353*(1-Premissas!$C$45)-(SUM($AC$5:$AC$355)+Premissas!$C$26*Premissas!$C$60)),"")</f>
        <v>1177864.62312778</v>
      </c>
      <c r="AG353" s="22" t="n">
        <f aca="false">IF($A353&gt;=Premissas!$C$18,AE353+AF353,"")</f>
        <v>1605233.0614325</v>
      </c>
      <c r="AH353" s="22" t="n">
        <f aca="false">AH352*(1+$P353)-AD353</f>
        <v>1438814.64246614</v>
      </c>
      <c r="AI353" s="22" t="n">
        <f aca="false">($A353=Premissas!$C$16)*0.2*Premissas!$C$11+AND($A353&gt;Premissas!$C$16,$A353&lt;=EDATE(Premissas!$C$16,43))*0.8*Premissas!$C$11/43*(1+Premissas!$C$56)^$C353</f>
        <v>0</v>
      </c>
      <c r="AJ353" s="22" t="n">
        <f aca="false">L353-M353-N353-AI353</f>
        <v>4031.16886679007</v>
      </c>
      <c r="AK353" s="22" t="n">
        <f aca="false">AK352+AJ353</f>
        <v>381503.952886657</v>
      </c>
      <c r="AL353" s="22" t="n">
        <f aca="false">IF($A353&gt;=Premissas!$C$18,O353*(1-Premissas!$C$45)-Premissas!$C$46*MAX(0,O353*(1-Premissas!$C$45)-(SUM($AI$5:$AI$355)+Premissas!$C$26*Premissas!$C$60)),"")</f>
        <v>1184744.29594049</v>
      </c>
      <c r="AM353" s="22" t="n">
        <f aca="false">IF($A353&gt;=Premissas!$C$18,AK353+AL353,"")</f>
        <v>1566248.24882714</v>
      </c>
      <c r="AN353" s="22" t="n">
        <f aca="false">AN352*(1+$P353)-AJ353</f>
        <v>1489426.78676775</v>
      </c>
      <c r="AO353" s="22" t="n">
        <f aca="false">V353+S353</f>
        <v>1510189.54881625</v>
      </c>
    </row>
    <row r="354" customFormat="false" ht="15" hidden="false" customHeight="false" outlineLevel="0" collapsed="false">
      <c r="A354" s="26" t="n">
        <f aca="false">DATE(YEAR(A353),MONTH(A353)+1,1)</f>
        <v>56919</v>
      </c>
      <c r="B354" s="22" t="str">
        <f aca="false">IF($A354&lt;Premissas!$C$18,"Obra",IF($A354&lt;Premissas!$C$20,"Entrega/mobília","Airbnb"))</f>
        <v>Airbnb</v>
      </c>
      <c r="C354" s="36" t="n">
        <f aca="false">(YEAR($A354)-YEAR(Premissas!$C$16))*12+MONTH($A354)-MONTH(Premissas!$C$16)</f>
        <v>349</v>
      </c>
      <c r="D354" s="33" t="n">
        <f aca="false">IF($A354&gt;=Premissas!$C$20,Premissas!$C$31*IF(((YEAR($A354)-YEAR(Premissas!$C$20))*12+MONTH($A354)-MONTH(Premissas!$C$20))&lt;Premissas!$C$33,Premissas!$C$34,1),0)</f>
        <v>0.62</v>
      </c>
      <c r="E354" s="22" t="n">
        <f aca="false">D354*Premissas!$C$30*Premissas!$C$32*(1+Premissas!$C$58)^$C354</f>
        <v>14549.2041395272</v>
      </c>
      <c r="F354" s="22" t="n">
        <f aca="false">E354*Premissas!$C$35</f>
        <v>2327.87266232435</v>
      </c>
      <c r="G354" s="22" t="n">
        <f aca="false">E354*Premissas!$C$36</f>
        <v>2909.84082790544</v>
      </c>
      <c r="H354" s="22" t="n">
        <f aca="false">IF($A354&gt;=Premissas!$C$18,Premissas!$C$37*(1+Premissas!$C$58)^$C354,0)</f>
        <v>1877.3166631648</v>
      </c>
      <c r="I354" s="22" t="n">
        <f aca="false">IF($A354&gt;=Premissas!$C$20,Premissas!$C$38*(1+Premissas!$C$58)^$C354,0)</f>
        <v>876.081109476908</v>
      </c>
      <c r="J354" s="22" t="n">
        <f aca="false">IF($A354&gt;=Premissas!$C$20,Premissas!$C$39*(1+Premissas!$C$58)^$C354,0)</f>
        <v>469.329165791201</v>
      </c>
      <c r="K354" s="22" t="n">
        <f aca="false">IF($A354&gt;=Premissas!$C$20,MAX(0,E354-F354-G354-H354)*Premissas!$C$41,0)</f>
        <v>2044.39784618647</v>
      </c>
      <c r="L354" s="22" t="n">
        <f aca="false">E354-F354-G354-H354-I354-J354-K354</f>
        <v>4044.36586467804</v>
      </c>
      <c r="M354" s="22" t="n">
        <f aca="false">($A354=Premissas!$C$18)*Premissas!$C$26*Premissas!$C$60</f>
        <v>0</v>
      </c>
      <c r="N354" s="22" t="n">
        <f aca="false">IF(AND($A354&gt;=Premissas!$C$18,$A354&lt;Premissas!$C$20),Premissas!$C$27/MAX(1,Premissas!$C$19),0)</f>
        <v>0</v>
      </c>
      <c r="O354" s="22" t="n">
        <f aca="false">IF($A354&gt;=Premissas!$C$18,Premissas!$C$60*(1+Premissas!$C$59)^((YEAR($A354)-YEAR(Premissas!$C$18))*12+MONTH($A354)-MONTH(Premissas!$C$18)),"")</f>
        <v>1422684.24409307</v>
      </c>
      <c r="P354" s="31" t="n">
        <f aca="false">(1+IF(YEAR($A354)&lt;=2026,Premissas!$C$49,IF(YEAR($A354)=2027,Premissas!$C$50,IF(YEAR($A354)=2028,Premissas!$C$51,Premissas!$C$52)))*(1-Premissas!$C$53))^(1/12)-1</f>
        <v>0.00682149336596227</v>
      </c>
      <c r="Q354" s="22" t="n">
        <f aca="false">($A354=Premissas!$C$16)*Premissas!$C$13</f>
        <v>0</v>
      </c>
      <c r="R354" s="22" t="n">
        <f aca="false">L354-M354-N354-Q354</f>
        <v>4044.36586467804</v>
      </c>
      <c r="S354" s="22" t="n">
        <f aca="false">S353+R354</f>
        <v>469961.268049422</v>
      </c>
      <c r="T354" s="22" t="n">
        <f aca="false">IF($A354&gt;=Premissas!$C$18,O354*(1-Premissas!$C$45)-Premissas!$C$46*MAX(0,O354*(1-Premissas!$C$45)-(SUM($Q$5:$Q$355)+Premissas!$C$26*Premissas!$C$60)),"")</f>
        <v>1176694.71937711</v>
      </c>
      <c r="U354" s="22" t="n">
        <f aca="false">IF($A354&gt;=Premissas!$C$18,S354+T354,"")</f>
        <v>1646655.98742653</v>
      </c>
      <c r="V354" s="22" t="n">
        <f aca="false">V353*(1+$P354)-R354</f>
        <v>1047351.77969808</v>
      </c>
      <c r="W354" s="22" t="n">
        <f aca="false">($A354=Premissas!$C$16)*Premissas!$C$9</f>
        <v>0</v>
      </c>
      <c r="X354" s="22" t="n">
        <f aca="false">L354-M354-N354-W354</f>
        <v>4044.36586467804</v>
      </c>
      <c r="Y354" s="22" t="n">
        <f aca="false">Y353+X354</f>
        <v>439033.268049422</v>
      </c>
      <c r="Z354" s="22" t="n">
        <f aca="false">IF($A354&gt;=Premissas!$C$18,O354*(1-Premissas!$C$45)-Premissas!$C$46*MAX(0,O354*(1-Premissas!$C$45)-(SUM($W$5:$W$355)+Premissas!$C$26*Premissas!$C$60)),"")</f>
        <v>1181333.91937711</v>
      </c>
      <c r="AA354" s="22" t="n">
        <f aca="false">IF($A354&gt;=Premissas!$C$18,Y354+Z354,"")</f>
        <v>1620367.18742653</v>
      </c>
      <c r="AB354" s="22" t="n">
        <f aca="false">AB353*(1+$P354)-X354</f>
        <v>1389971.77778147</v>
      </c>
      <c r="AC354" s="22" t="n">
        <f aca="false">AND($A354&gt;=Premissas!$C$16,$A354&lt;EDATE(Premissas!$C$16,3))*Premissas!$C$10/3*(1+Premissas!$C$56)^$C354</f>
        <v>0</v>
      </c>
      <c r="AD354" s="22" t="n">
        <f aca="false">L354-M354-N354-AC354</f>
        <v>4044.36586467804</v>
      </c>
      <c r="AE354" s="22" t="n">
        <f aca="false">AE353+AD354</f>
        <v>431412.804169397</v>
      </c>
      <c r="AF354" s="22" t="n">
        <f aca="false">IF($A354&gt;=Premissas!$C$18,O354*(1-Premissas!$C$45)-Premissas!$C$46*MAX(0,O354*(1-Premissas!$C$45)-(SUM($AC$5:$AC$355)+Premissas!$C$26*Premissas!$C$60)),"")</f>
        <v>1182476.98895912</v>
      </c>
      <c r="AG354" s="22" t="n">
        <f aca="false">IF($A354&gt;=Premissas!$C$18,AE354+AF354,"")</f>
        <v>1613889.79312851</v>
      </c>
      <c r="AH354" s="22" t="n">
        <f aca="false">AH353*(1+$P354)-AD354</f>
        <v>1444585.14113989</v>
      </c>
      <c r="AI354" s="22" t="n">
        <f aca="false">($A354=Premissas!$C$16)*0.2*Premissas!$C$11+AND($A354&gt;Premissas!$C$16,$A354&lt;=EDATE(Premissas!$C$16,43))*0.8*Premissas!$C$11/43*(1+Premissas!$C$56)^$C354</f>
        <v>0</v>
      </c>
      <c r="AJ354" s="22" t="n">
        <f aca="false">L354-M354-N354-AI354</f>
        <v>4044.36586467804</v>
      </c>
      <c r="AK354" s="22" t="n">
        <f aca="false">AK353+AJ354</f>
        <v>385548.318751335</v>
      </c>
      <c r="AL354" s="22" t="n">
        <f aca="false">IF($A354&gt;=Premissas!$C$18,O354*(1-Premissas!$C$45)-Premissas!$C$46*MAX(0,O354*(1-Premissas!$C$45)-(SUM($AI$5:$AI$355)+Premissas!$C$26*Premissas!$C$60)),"")</f>
        <v>1189356.66177182</v>
      </c>
      <c r="AM354" s="22" t="n">
        <f aca="false">IF($A354&gt;=Premissas!$C$18,AK354+AL354,"")</f>
        <v>1574904.98052316</v>
      </c>
      <c r="AN354" s="22" t="n">
        <f aca="false">AN353*(1+$P354)-AJ354</f>
        <v>1495542.53584809</v>
      </c>
      <c r="AO354" s="22" t="n">
        <f aca="false">V354+S354</f>
        <v>1517313.0477475</v>
      </c>
    </row>
    <row r="355" customFormat="false" ht="15" hidden="false" customHeight="false" outlineLevel="0" collapsed="false">
      <c r="A355" s="26" t="n">
        <f aca="false">DATE(YEAR(A354),MONTH(A354)+1,1)</f>
        <v>56949</v>
      </c>
      <c r="B355" s="22" t="str">
        <f aca="false">IF($A355&lt;Premissas!$C$18,"Obra",IF($A355&lt;Premissas!$C$20,"Entrega/mobília","Airbnb"))</f>
        <v>Airbnb</v>
      </c>
      <c r="C355" s="36" t="n">
        <f aca="false">(YEAR($A355)-YEAR(Premissas!$C$16))*12+MONTH($A355)-MONTH(Premissas!$C$16)</f>
        <v>350</v>
      </c>
      <c r="D355" s="33" t="n">
        <f aca="false">IF($A355&gt;=Premissas!$C$20,Premissas!$C$31*IF(((YEAR($A355)-YEAR(Premissas!$C$20))*12+MONTH($A355)-MONTH(Premissas!$C$20))&lt;Premissas!$C$33,Premissas!$C$34,1),0)</f>
        <v>0.62</v>
      </c>
      <c r="E355" s="22" t="n">
        <f aca="false">D355*Premissas!$C$30*Premissas!$C$32*(1+Premissas!$C$58)^$C355</f>
        <v>14596.8344479181</v>
      </c>
      <c r="F355" s="22" t="n">
        <f aca="false">E355*Premissas!$C$35</f>
        <v>2335.4935116669</v>
      </c>
      <c r="G355" s="22" t="n">
        <f aca="false">E355*Premissas!$C$36</f>
        <v>2919.36688958362</v>
      </c>
      <c r="H355" s="22" t="n">
        <f aca="false">IF($A355&gt;=Premissas!$C$18,Premissas!$C$37*(1+Premissas!$C$58)^$C355,0)</f>
        <v>1883.46250940879</v>
      </c>
      <c r="I355" s="22" t="n">
        <f aca="false">IF($A355&gt;=Premissas!$C$20,Premissas!$C$38*(1+Premissas!$C$58)^$C355,0)</f>
        <v>878.949171057435</v>
      </c>
      <c r="J355" s="22" t="n">
        <f aca="false">IF($A355&gt;=Premissas!$C$20,Premissas!$C$39*(1+Premissas!$C$58)^$C355,0)</f>
        <v>470.865627352197</v>
      </c>
      <c r="K355" s="22" t="n">
        <f aca="false">IF($A355&gt;=Premissas!$C$20,MAX(0,E355-F355-G355-H355)*Premissas!$C$41,0)</f>
        <v>2051.09067274617</v>
      </c>
      <c r="L355" s="22" t="n">
        <f aca="false">E355-F355-G355-H355-I355-J355-K355</f>
        <v>4057.606066103</v>
      </c>
      <c r="M355" s="22" t="n">
        <f aca="false">($A355=Premissas!$C$18)*Premissas!$C$26*Premissas!$C$60</f>
        <v>0</v>
      </c>
      <c r="N355" s="22" t="n">
        <f aca="false">IF(AND($A355&gt;=Premissas!$C$18,$A355&lt;Premissas!$C$20),Premissas!$C$27/MAX(1,Premissas!$C$19),0)</f>
        <v>0</v>
      </c>
      <c r="O355" s="22" t="n">
        <f aca="false">IF($A355&gt;=Premissas!$C$18,Premissas!$C$60*(1+Premissas!$C$59)^((YEAR($A355)-YEAR(Premissas!$C$18))*12+MONTH($A355)-MONTH(Premissas!$C$18)),"")</f>
        <v>1428480.43580855</v>
      </c>
      <c r="P355" s="31" t="n">
        <f aca="false">(1+IF(YEAR($A355)&lt;=2026,Premissas!$C$49,IF(YEAR($A355)=2027,Premissas!$C$50,IF(YEAR($A355)=2028,Premissas!$C$51,Premissas!$C$52)))*(1-Premissas!$C$53))^(1/12)-1</f>
        <v>0.00682149336596227</v>
      </c>
      <c r="Q355" s="22" t="n">
        <f aca="false">($A355=Premissas!$C$16)*Premissas!$C$13</f>
        <v>0</v>
      </c>
      <c r="R355" s="22" t="n">
        <f aca="false">L355-M355-N355-Q355</f>
        <v>4057.606066103</v>
      </c>
      <c r="S355" s="22" t="n">
        <f aca="false">S354+R355</f>
        <v>474018.874115525</v>
      </c>
      <c r="T355" s="22" t="n">
        <f aca="false">IF($A355&gt;=Premissas!$C$18,O355*(1-Premissas!$C$45)-Premissas!$C$46*MAX(0,O355*(1-Premissas!$C$45)-(SUM($Q$5:$Q$355)+Premissas!$C$26*Premissas!$C$60)),"")</f>
        <v>1181325.87655778</v>
      </c>
      <c r="U355" s="22" t="n">
        <f aca="false">IF($A355&gt;=Premissas!$C$18,S355+T355,"")</f>
        <v>1655344.75067331</v>
      </c>
      <c r="V355" s="22" t="n">
        <f aca="false">V354*(1+$P355)-R355</f>
        <v>1050438.67684902</v>
      </c>
      <c r="W355" s="22" t="n">
        <f aca="false">($A355=Premissas!$C$16)*Premissas!$C$9</f>
        <v>0</v>
      </c>
      <c r="X355" s="22" t="n">
        <f aca="false">L355-M355-N355-W355</f>
        <v>4057.606066103</v>
      </c>
      <c r="Y355" s="22" t="n">
        <f aca="false">Y354+X355</f>
        <v>443090.874115525</v>
      </c>
      <c r="Z355" s="22" t="n">
        <f aca="false">IF($A355&gt;=Premissas!$C$18,O355*(1-Premissas!$C$45)-Premissas!$C$46*MAX(0,O355*(1-Premissas!$C$45)-(SUM($W$5:$W$355)+Premissas!$C$26*Premissas!$C$60)),"")</f>
        <v>1185965.07655778</v>
      </c>
      <c r="AA355" s="22" t="n">
        <f aca="false">IF($A355&gt;=Premissas!$C$18,Y355+Z355,"")</f>
        <v>1629055.95067331</v>
      </c>
      <c r="AB355" s="22" t="n">
        <f aca="false">AB354*(1+$P355)-X355</f>
        <v>1395395.85497638</v>
      </c>
      <c r="AC355" s="22" t="n">
        <f aca="false">AND($A355&gt;=Premissas!$C$16,$A355&lt;EDATE(Premissas!$C$16,3))*Premissas!$C$10/3*(1+Premissas!$C$56)^$C355</f>
        <v>0</v>
      </c>
      <c r="AD355" s="22" t="n">
        <f aca="false">L355-M355-N355-AC355</f>
        <v>4057.606066103</v>
      </c>
      <c r="AE355" s="22" t="n">
        <f aca="false">AE354+AD355</f>
        <v>435470.4102355</v>
      </c>
      <c r="AF355" s="22" t="n">
        <f aca="false">IF($A355&gt;=Premissas!$C$18,O355*(1-Premissas!$C$45)-Premissas!$C$46*MAX(0,O355*(1-Premissas!$C$45)-(SUM($AC$5:$AC$355)+Premissas!$C$26*Premissas!$C$60)),"")</f>
        <v>1187108.14613978</v>
      </c>
      <c r="AG355" s="22" t="n">
        <f aca="false">IF($A355&gt;=Premissas!$C$18,AE355+AF355,"")</f>
        <v>1622578.55637529</v>
      </c>
      <c r="AH355" s="22" t="n">
        <f aca="false">AH354*(1+$P355)-AD355</f>
        <v>1450381.76303064</v>
      </c>
      <c r="AI355" s="22" t="n">
        <f aca="false">($A355=Premissas!$C$16)*0.2*Premissas!$C$11+AND($A355&gt;Premissas!$C$16,$A355&lt;=EDATE(Premissas!$C$16,43))*0.8*Premissas!$C$11/43*(1+Premissas!$C$56)^$C355</f>
        <v>0</v>
      </c>
      <c r="AJ355" s="22" t="n">
        <f aca="false">L355-M355-N355-AI355</f>
        <v>4057.606066103</v>
      </c>
      <c r="AK355" s="22" t="n">
        <f aca="false">AK354+AJ355</f>
        <v>389605.924817438</v>
      </c>
      <c r="AL355" s="22" t="n">
        <f aca="false">IF($A355&gt;=Premissas!$C$18,O355*(1-Premissas!$C$45)-Premissas!$C$46*MAX(0,O355*(1-Premissas!$C$45)-(SUM($AI$5:$AI$355)+Premissas!$C$26*Premissas!$C$60)),"")</f>
        <v>1193987.81895249</v>
      </c>
      <c r="AM355" s="22" t="n">
        <f aca="false">IF($A355&gt;=Premissas!$C$18,AK355+AL355,"")</f>
        <v>1583593.74376993</v>
      </c>
      <c r="AN355" s="22" t="n">
        <f aca="false">AN354*(1+$P355)-AJ355</f>
        <v>1501686.76326879</v>
      </c>
      <c r="AO355" s="22" t="n">
        <f aca="false">V355+S355</f>
        <v>1524457.55096454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2026-10-06T17:44:32Z</dcterms:created>
  <dc:creator>openpyxl</dc:creator>
  <dc:description/>
  <dc:language>en-US</dc:language>
  <cp:lastModifiedBy/>
  <dcterms:modified xsi:type="dcterms:W3CDTF">2026-10-06T17:45:15Z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